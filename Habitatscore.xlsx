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tth\Desktop\Python_HabitatScore\"/>
    </mc:Choice>
  </mc:AlternateContent>
  <xr:revisionPtr revIDLastSave="0" documentId="13_ncr:1_{426BF50E-C874-4D05-B92C-A2476722EB00}" xr6:coauthVersionLast="47" xr6:coauthVersionMax="47" xr10:uidLastSave="{00000000-0000-0000-0000-000000000000}"/>
  <bookViews>
    <workbookView xWindow="-120" yWindow="-120" windowWidth="29040" windowHeight="15720" xr2:uid="{00000000-000D-0000-FFFF-FFFF00000000}"/>
  </bookViews>
  <sheets>
    <sheet name="Cockpit" sheetId="1" r:id="rId1"/>
    <sheet name="A" sheetId="2" r:id="rId2"/>
    <sheet name="A1" sheetId="3" r:id="rId3"/>
    <sheet name="B" sheetId="4" r:id="rId4"/>
    <sheet name="C" sheetId="5" r:id="rId5"/>
    <sheet name="D" sheetId="6" r:id="rId6"/>
    <sheet name="E" sheetId="7" r:id="rId7"/>
    <sheet name="F" sheetId="9" r:id="rId8"/>
    <sheet name="G" sheetId="10" r:id="rId9"/>
  </sheets>
  <definedNames>
    <definedName name="_xlnm.Print_Titles" localSheetId="7">F!$1:$3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C14" i="1"/>
  <c r="B14" i="1"/>
  <c r="D14" i="1"/>
  <c r="D39" i="1"/>
  <c r="AD268" i="10" a="1"/>
  <c r="AD268" i="10" s="1"/>
  <c r="F321" i="9"/>
  <c r="F307" i="9"/>
  <c r="F233" i="9"/>
  <c r="F199" i="9"/>
  <c r="F153" i="9"/>
  <c r="F152" i="9"/>
  <c r="F124" i="9"/>
  <c r="F116" i="9"/>
  <c r="F7" i="9"/>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43" i="1"/>
  <c r="D42" i="1"/>
  <c r="D41" i="1"/>
  <c r="D40" i="1"/>
  <c r="D38" i="1"/>
  <c r="D37" i="1"/>
  <c r="D36" i="1"/>
  <c r="D34" i="1"/>
  <c r="D33" i="1"/>
  <c r="D32" i="1"/>
  <c r="D31" i="1"/>
  <c r="D30" i="1"/>
  <c r="D29" i="1"/>
  <c r="D28" i="1"/>
  <c r="D27" i="1"/>
  <c r="D26" i="1"/>
  <c r="D25" i="1"/>
  <c r="D24" i="1"/>
  <c r="D23" i="1"/>
  <c r="D22" i="1"/>
  <c r="D21" i="1"/>
  <c r="D20" i="1"/>
  <c r="D19" i="1"/>
  <c r="D18" i="1"/>
  <c r="D17" i="1"/>
  <c r="D16" i="1"/>
  <c r="D15" i="1"/>
  <c r="G14" i="1"/>
  <c r="F14" i="1"/>
  <c r="C18" i="1"/>
  <c r="G43" i="1"/>
  <c r="E42" i="1"/>
  <c r="F26" i="1"/>
  <c r="B39" i="1"/>
  <c r="I20" i="1"/>
  <c r="D47" i="1" l="1"/>
  <c r="D46" i="1"/>
  <c r="H40" i="1"/>
  <c r="C31" i="1"/>
  <c r="I42" i="1"/>
  <c r="C26" i="1"/>
  <c r="I39" i="1"/>
  <c r="B35" i="1"/>
  <c r="F15" i="1"/>
  <c r="E31" i="1"/>
  <c r="G39" i="1"/>
  <c r="F34" i="1"/>
  <c r="H34" i="1"/>
  <c r="H27" i="1"/>
  <c r="C43" i="1"/>
  <c r="E20" i="1"/>
  <c r="G24" i="1"/>
  <c r="F33" i="1"/>
  <c r="I40" i="1"/>
  <c r="I38" i="1"/>
  <c r="C29" i="1"/>
  <c r="C32" i="1"/>
  <c r="G15" i="1"/>
  <c r="E40" i="1"/>
  <c r="E35" i="1"/>
  <c r="G29" i="1"/>
  <c r="E39" i="1"/>
  <c r="C17" i="1"/>
  <c r="C30" i="1"/>
  <c r="B33" i="1"/>
  <c r="F25" i="1"/>
  <c r="I32" i="1"/>
  <c r="G40" i="1"/>
  <c r="H16" i="1"/>
  <c r="I25" i="1"/>
  <c r="G18" i="1"/>
  <c r="H23" i="1"/>
  <c r="I19" i="1"/>
  <c r="F42" i="1"/>
  <c r="G23" i="1"/>
  <c r="F22" i="1"/>
  <c r="H37" i="1"/>
  <c r="E16" i="1"/>
  <c r="G37" i="1"/>
  <c r="B28" i="1"/>
  <c r="E17" i="1"/>
  <c r="E21" i="1"/>
  <c r="F38" i="1"/>
  <c r="F37" i="1"/>
  <c r="C40" i="1"/>
  <c r="C36" i="1"/>
  <c r="F43" i="1"/>
  <c r="C21" i="1"/>
  <c r="C15" i="1"/>
  <c r="H28" i="1"/>
  <c r="B31" i="1"/>
  <c r="E27" i="1"/>
  <c r="E33" i="1"/>
  <c r="I30" i="1"/>
  <c r="B41" i="1"/>
  <c r="H26" i="1"/>
  <c r="B34" i="1"/>
  <c r="H39" i="1"/>
  <c r="B37" i="1"/>
  <c r="I22" i="1"/>
  <c r="C34" i="1"/>
  <c r="I33" i="1"/>
  <c r="I16" i="1"/>
  <c r="G38" i="1"/>
  <c r="I36" i="1"/>
  <c r="B26" i="1"/>
  <c r="C27" i="1"/>
  <c r="F31" i="1"/>
  <c r="I28" i="1"/>
  <c r="C38" i="1"/>
  <c r="E32" i="1"/>
  <c r="F19" i="1"/>
  <c r="E18" i="1"/>
  <c r="E41" i="1"/>
  <c r="E34" i="1"/>
  <c r="H36" i="1"/>
  <c r="B18" i="1"/>
  <c r="B40" i="1"/>
  <c r="B24" i="1"/>
  <c r="F39" i="1"/>
  <c r="E28" i="1"/>
  <c r="I14" i="1"/>
  <c r="G41" i="1"/>
  <c r="F28" i="1"/>
  <c r="F32" i="1"/>
  <c r="F16" i="1"/>
  <c r="H32" i="1"/>
  <c r="C33" i="1"/>
  <c r="F29" i="1"/>
  <c r="G26" i="1"/>
  <c r="E23" i="1"/>
  <c r="H30" i="1"/>
  <c r="G31" i="1"/>
  <c r="G20" i="1"/>
  <c r="I43" i="1"/>
  <c r="B15" i="1"/>
  <c r="H41" i="1"/>
  <c r="F24" i="1"/>
  <c r="H31" i="1"/>
  <c r="H24" i="1"/>
  <c r="F36" i="1"/>
  <c r="H14" i="1"/>
  <c r="E43" i="1"/>
  <c r="G16" i="1"/>
  <c r="C25" i="1"/>
  <c r="H20" i="1"/>
  <c r="H29" i="1"/>
  <c r="G35" i="1"/>
  <c r="B29" i="1"/>
  <c r="G30" i="1"/>
  <c r="I26" i="1"/>
  <c r="B38" i="1"/>
  <c r="I24" i="1"/>
  <c r="B27" i="1"/>
  <c r="C22" i="1"/>
  <c r="H25" i="1"/>
  <c r="I27" i="1"/>
  <c r="C28" i="1"/>
  <c r="G19" i="1"/>
  <c r="C20" i="1"/>
  <c r="I17" i="1"/>
  <c r="B42" i="1"/>
  <c r="F18" i="1"/>
  <c r="B21" i="1"/>
  <c r="C24" i="1"/>
  <c r="H38" i="1"/>
  <c r="E36" i="1"/>
  <c r="F17" i="1"/>
  <c r="H19" i="1"/>
  <c r="C42" i="1"/>
  <c r="E26" i="1"/>
  <c r="F20" i="1"/>
  <c r="H15" i="1"/>
  <c r="G33" i="1"/>
  <c r="E19" i="1"/>
  <c r="F35" i="1"/>
  <c r="H17" i="1"/>
  <c r="F41" i="1"/>
  <c r="H42" i="1"/>
  <c r="I34" i="1"/>
  <c r="C39" i="1"/>
  <c r="B22" i="1"/>
  <c r="E38" i="1"/>
  <c r="G32" i="1"/>
  <c r="E22" i="1"/>
  <c r="C16" i="1"/>
  <c r="B17" i="1"/>
  <c r="C19" i="1"/>
  <c r="H18" i="1"/>
  <c r="B19" i="1"/>
  <c r="E15" i="1"/>
  <c r="G28" i="1"/>
  <c r="H35" i="1"/>
  <c r="B32" i="1"/>
  <c r="E37" i="1"/>
  <c r="F23" i="1"/>
  <c r="G27" i="1"/>
  <c r="I23" i="1"/>
  <c r="B36" i="1"/>
  <c r="F27" i="1"/>
  <c r="H21" i="1"/>
  <c r="I37" i="1"/>
  <c r="G17" i="1"/>
  <c r="B16" i="1"/>
  <c r="G25" i="1"/>
  <c r="F40" i="1"/>
  <c r="I31" i="1"/>
  <c r="G22" i="1"/>
  <c r="F21" i="1"/>
  <c r="G34" i="1"/>
  <c r="I21" i="1"/>
  <c r="C35" i="1"/>
  <c r="E29" i="1"/>
  <c r="G42" i="1"/>
  <c r="I29" i="1"/>
  <c r="E24" i="1"/>
  <c r="H33" i="1"/>
  <c r="B20" i="1"/>
  <c r="C23" i="1"/>
  <c r="G36" i="1"/>
  <c r="B30" i="1"/>
  <c r="B25" i="1"/>
  <c r="C41" i="1"/>
  <c r="I15" i="1"/>
  <c r="I41" i="1"/>
  <c r="C37" i="1"/>
  <c r="B43" i="1"/>
  <c r="E14" i="1"/>
  <c r="I18" i="1"/>
  <c r="G21" i="1"/>
  <c r="I35" i="1"/>
  <c r="H43" i="1"/>
  <c r="B23" i="1"/>
  <c r="E25" i="1"/>
  <c r="H22" i="1"/>
  <c r="F30" i="1"/>
  <c r="E30" i="1"/>
  <c r="D50" i="1" l="1"/>
  <c r="D63" i="1"/>
  <c r="D51" i="1"/>
  <c r="D71" i="1"/>
  <c r="D62" i="1"/>
  <c r="D55" i="1"/>
  <c r="D77" i="1"/>
  <c r="D72" i="1"/>
  <c r="D74" i="1"/>
  <c r="D53" i="1"/>
  <c r="D54" i="1"/>
  <c r="D57" i="1"/>
  <c r="D69" i="1"/>
  <c r="D76" i="1"/>
  <c r="D58" i="1"/>
  <c r="E46" i="1"/>
  <c r="E47" i="1"/>
  <c r="H47" i="1"/>
  <c r="H46" i="1"/>
  <c r="B47" i="1"/>
  <c r="B46" i="1"/>
  <c r="F46" i="1"/>
  <c r="F47" i="1"/>
  <c r="I46" i="1"/>
  <c r="I47" i="1"/>
  <c r="G46" i="1"/>
  <c r="G47" i="1"/>
  <c r="C47" i="1"/>
  <c r="C46" i="1"/>
  <c r="D61" i="1"/>
  <c r="D70" i="1"/>
  <c r="D73" i="1"/>
  <c r="D75" i="1"/>
  <c r="D68" i="1"/>
  <c r="D65" i="1"/>
  <c r="D59" i="1"/>
  <c r="D52" i="1"/>
  <c r="D60" i="1"/>
  <c r="D49" i="1"/>
  <c r="D66" i="1"/>
  <c r="D56" i="1"/>
  <c r="D64" i="1"/>
  <c r="D67" i="1"/>
  <c r="D48" i="1"/>
  <c r="B48" i="1" l="1"/>
  <c r="I65" i="1"/>
  <c r="F48" i="1"/>
  <c r="E72" i="1"/>
  <c r="B75" i="1"/>
  <c r="C57" i="1"/>
  <c r="F77" i="1"/>
  <c r="I61" i="1"/>
  <c r="B68" i="1"/>
  <c r="B74" i="1"/>
  <c r="B57" i="1"/>
  <c r="G77" i="1"/>
  <c r="I76" i="1"/>
  <c r="I63" i="1"/>
  <c r="H62" i="1"/>
  <c r="I75" i="1"/>
  <c r="I49" i="1"/>
  <c r="C53" i="1"/>
  <c r="C69" i="1"/>
  <c r="H61" i="1"/>
  <c r="B52" i="1"/>
  <c r="I58" i="1"/>
  <c r="H76" i="1"/>
  <c r="C61" i="1"/>
  <c r="B53" i="1"/>
  <c r="B73" i="1"/>
  <c r="H72" i="1"/>
  <c r="H73" i="1"/>
  <c r="H60" i="1"/>
  <c r="H67" i="1"/>
  <c r="H59" i="1"/>
  <c r="C66" i="1"/>
  <c r="I60" i="1"/>
  <c r="B65" i="1"/>
  <c r="I64" i="1"/>
  <c r="H55" i="1"/>
  <c r="B67" i="1"/>
  <c r="H77" i="1"/>
  <c r="C49" i="1"/>
  <c r="I59" i="1"/>
  <c r="H74" i="1"/>
  <c r="E76" i="1"/>
  <c r="B59" i="1"/>
  <c r="H69" i="1"/>
  <c r="C77" i="1"/>
  <c r="H63" i="1"/>
  <c r="I67" i="1"/>
  <c r="G70" i="1"/>
  <c r="G52" i="1"/>
  <c r="G68" i="1"/>
  <c r="G61" i="1"/>
  <c r="C70" i="1"/>
  <c r="E71" i="1"/>
  <c r="E51" i="1"/>
  <c r="E48" i="1"/>
  <c r="C74" i="1"/>
  <c r="C54" i="1"/>
  <c r="B58" i="1"/>
  <c r="G67" i="1"/>
  <c r="I66" i="1"/>
  <c r="E64" i="1"/>
  <c r="H75" i="1"/>
  <c r="H66" i="1"/>
  <c r="I77" i="1"/>
  <c r="H68" i="1"/>
  <c r="I71" i="1"/>
  <c r="E50" i="1"/>
  <c r="B64" i="1"/>
  <c r="C67" i="1"/>
  <c r="H54" i="1"/>
  <c r="G51" i="1"/>
  <c r="H57" i="1"/>
  <c r="E63" i="1"/>
  <c r="H70" i="1"/>
  <c r="G72" i="1"/>
  <c r="H56" i="1"/>
  <c r="G69" i="1"/>
  <c r="G75" i="1"/>
  <c r="G64" i="1"/>
  <c r="B50" i="1"/>
  <c r="I51" i="1"/>
  <c r="E52" i="1"/>
  <c r="C58" i="1"/>
  <c r="H51" i="1"/>
  <c r="E56" i="1"/>
  <c r="G56" i="1"/>
  <c r="H52" i="1"/>
  <c r="G66" i="1"/>
  <c r="G71" i="1"/>
  <c r="B56" i="1"/>
  <c r="E66" i="1"/>
  <c r="B70" i="1"/>
  <c r="E62" i="1"/>
  <c r="H49" i="1"/>
  <c r="I72" i="1"/>
  <c r="I62" i="1"/>
  <c r="I69" i="1"/>
  <c r="G58" i="1"/>
  <c r="E73" i="1"/>
  <c r="E75" i="1"/>
  <c r="C63" i="1"/>
  <c r="C55" i="1"/>
  <c r="E61" i="1"/>
  <c r="E67" i="1"/>
  <c r="G53" i="1"/>
  <c r="B71" i="1"/>
  <c r="B62" i="1"/>
  <c r="C73" i="1"/>
  <c r="I74" i="1"/>
  <c r="C65" i="1"/>
  <c r="B77" i="1"/>
  <c r="G63" i="1"/>
  <c r="B76" i="1"/>
  <c r="H71" i="1"/>
  <c r="I56" i="1"/>
  <c r="E55" i="1"/>
  <c r="G62" i="1"/>
  <c r="G73" i="1"/>
  <c r="C64" i="1"/>
  <c r="C68" i="1"/>
  <c r="C72" i="1"/>
  <c r="C48" i="1"/>
  <c r="C76" i="1"/>
  <c r="C75" i="1"/>
  <c r="C52" i="1"/>
  <c r="C60" i="1"/>
  <c r="C56" i="1"/>
  <c r="G48" i="1"/>
  <c r="C51" i="1"/>
  <c r="I52" i="1"/>
  <c r="H50" i="1"/>
  <c r="B63" i="1"/>
  <c r="B54" i="1"/>
  <c r="I55" i="1"/>
  <c r="G57" i="1"/>
  <c r="B69" i="1"/>
  <c r="E74" i="1"/>
  <c r="H48" i="1"/>
  <c r="B60" i="1"/>
  <c r="G60" i="1"/>
  <c r="E77" i="1"/>
  <c r="E49" i="1"/>
  <c r="E58" i="1"/>
  <c r="I54" i="1"/>
  <c r="I73" i="1"/>
  <c r="I50" i="1"/>
  <c r="I48" i="1"/>
  <c r="F59" i="1"/>
  <c r="F70" i="1"/>
  <c r="F66" i="1"/>
  <c r="F53" i="1"/>
  <c r="F72" i="1"/>
  <c r="F73" i="1"/>
  <c r="F63" i="1"/>
  <c r="F49" i="1"/>
  <c r="F74" i="1"/>
  <c r="F76" i="1"/>
  <c r="F67" i="1"/>
  <c r="F71" i="1"/>
  <c r="F55" i="1"/>
  <c r="F57" i="1"/>
  <c r="F52" i="1"/>
  <c r="F75" i="1"/>
  <c r="F61" i="1"/>
  <c r="F56" i="1"/>
  <c r="F51" i="1"/>
  <c r="F62" i="1"/>
  <c r="F68" i="1"/>
  <c r="F64" i="1"/>
  <c r="F50" i="1"/>
  <c r="F54" i="1"/>
  <c r="F65" i="1"/>
  <c r="F60" i="1"/>
  <c r="F58" i="1"/>
  <c r="F69" i="1"/>
  <c r="I57" i="1"/>
  <c r="B55" i="1"/>
  <c r="C50" i="1"/>
  <c r="G54" i="1"/>
  <c r="E68" i="1"/>
  <c r="G74" i="1"/>
  <c r="B61" i="1"/>
  <c r="E57" i="1"/>
  <c r="I53" i="1"/>
  <c r="G49" i="1"/>
  <c r="E60" i="1"/>
  <c r="G76" i="1"/>
  <c r="E70" i="1"/>
  <c r="G65" i="1"/>
  <c r="E69" i="1"/>
  <c r="B51" i="1"/>
  <c r="B66" i="1"/>
  <c r="H53" i="1"/>
  <c r="I70" i="1"/>
  <c r="G50" i="1"/>
  <c r="E53" i="1"/>
  <c r="B49" i="1"/>
  <c r="E65" i="1"/>
  <c r="G59" i="1"/>
  <c r="E59" i="1"/>
  <c r="B72" i="1"/>
  <c r="H58" i="1"/>
  <c r="G55" i="1"/>
  <c r="I68" i="1"/>
  <c r="H65" i="1"/>
  <c r="C71" i="1"/>
  <c r="C62" i="1"/>
  <c r="H64" i="1"/>
  <c r="C59" i="1"/>
  <c r="E54" i="1"/>
  <c r="K57" i="1" l="1"/>
  <c r="K76" i="1"/>
  <c r="K59" i="1"/>
  <c r="K67" i="1"/>
  <c r="K64" i="1"/>
  <c r="K53" i="1"/>
  <c r="K63" i="1"/>
  <c r="K72" i="1"/>
  <c r="K58" i="1"/>
  <c r="K70" i="1"/>
  <c r="K75" i="1"/>
  <c r="K60" i="1"/>
  <c r="K49" i="1"/>
  <c r="K61" i="1"/>
  <c r="K71" i="1"/>
  <c r="K55" i="1"/>
  <c r="K69" i="1"/>
  <c r="K51" i="1"/>
  <c r="K74" i="1"/>
  <c r="K62" i="1"/>
  <c r="K50" i="1"/>
  <c r="K56" i="1"/>
  <c r="K52" i="1"/>
  <c r="K68" i="1"/>
  <c r="K54" i="1"/>
  <c r="K66" i="1"/>
  <c r="A1" i="1" l="1"/>
  <c r="A5" i="1"/>
  <c r="A2" i="1"/>
  <c r="A3" i="1"/>
  <c r="A4" i="1"/>
</calcChain>
</file>

<file path=xl/sharedStrings.xml><?xml version="1.0" encoding="utf-8"?>
<sst xmlns="http://schemas.openxmlformats.org/spreadsheetml/2006/main" count="31563" uniqueCount="6574">
  <si>
    <t>Qualité de l'air</t>
  </si>
  <si>
    <t>Coefficient fiscaux communaux</t>
  </si>
  <si>
    <t>Donnée</t>
  </si>
  <si>
    <t>Onglet du fichier</t>
  </si>
  <si>
    <t>Lien</t>
  </si>
  <si>
    <t>Les prix de l'immobilier par commune et par district vaudois</t>
  </si>
  <si>
    <t>A</t>
  </si>
  <si>
    <t>https://www.bcv.ch/pointsforts/dans-le-canton/bcv-immobilier/les-prix-de-l-immobilier-par-commune-et-par-district-vaudois2.html</t>
  </si>
  <si>
    <t>Liste de tous les arrêts TP Suisses par commune</t>
  </si>
  <si>
    <t>B</t>
  </si>
  <si>
    <t>Liste des arrêts (Aujourd'hui) — Fahrplanauskunft öV Schweiz</t>
  </si>
  <si>
    <t>Appart. Prix bas</t>
  </si>
  <si>
    <t>Maison prix bas</t>
  </si>
  <si>
    <t>Nombre approx. d'établissements commerciaux</t>
  </si>
  <si>
    <t>Indice (IQA)</t>
  </si>
  <si>
    <t>Total places</t>
  </si>
  <si>
    <t xml:space="preserve"> Impôt rentrée argent</t>
  </si>
  <si>
    <t>Total logements vacants</t>
  </si>
  <si>
    <t>Commerces Suisses par cantons/ commune</t>
  </si>
  <si>
    <t>C</t>
  </si>
  <si>
    <t>Recherche de la raison de commerce | Index central des raisons de commerce</t>
  </si>
  <si>
    <t>Appart. Prix haut</t>
  </si>
  <si>
    <t>Maison prix haut</t>
  </si>
  <si>
    <t>D</t>
  </si>
  <si>
    <t>https://www.lausanne.ch/portrait/carte-identite/environnement/qualite-de-l-air.html</t>
  </si>
  <si>
    <t>Score commune</t>
  </si>
  <si>
    <t>Proximité parc / places de jeux / lac</t>
  </si>
  <si>
    <t>E</t>
  </si>
  <si>
    <t>Assens</t>
  </si>
  <si>
    <t>Accueil extrafamilial et parascolaire</t>
  </si>
  <si>
    <t>F</t>
  </si>
  <si>
    <t>https://www.bfs.admin.ch/bfs/fr/home/actualites/quoi-de-neuf.gnpdetail.2024-0551.html</t>
  </si>
  <si>
    <t>Belmont-sur-Lausanne</t>
  </si>
  <si>
    <t>Coefficient communaux</t>
  </si>
  <si>
    <t>G</t>
  </si>
  <si>
    <t>https://www.vd.ch/etat-droit-finances/communes/finances-communales/arretes-dimposition-et-tableaux-des-impots-communaux</t>
  </si>
  <si>
    <t>Bourg-en-Lavaux</t>
  </si>
  <si>
    <t>Logements disponibles par communes</t>
  </si>
  <si>
    <t>H</t>
  </si>
  <si>
    <t>Communes_Logvac.xlsx</t>
  </si>
  <si>
    <t>Bremblens</t>
  </si>
  <si>
    <t>Bussigny</t>
  </si>
  <si>
    <t>Chavannes-près-Renens</t>
  </si>
  <si>
    <t>Cheseaux-sur-Lausanne</t>
  </si>
  <si>
    <t>Crissier</t>
  </si>
  <si>
    <t>Cugy</t>
  </si>
  <si>
    <t>Denges</t>
  </si>
  <si>
    <t>Echandens</t>
  </si>
  <si>
    <t>Ecublens</t>
  </si>
  <si>
    <t>Epalinges</t>
  </si>
  <si>
    <t>Etagnières</t>
  </si>
  <si>
    <t>Forel (Lavaux)</t>
  </si>
  <si>
    <t>Lausanne</t>
  </si>
  <si>
    <t>Le Mont-sur-Lausanne</t>
  </si>
  <si>
    <t>Lonay</t>
  </si>
  <si>
    <t>Lutry</t>
  </si>
  <si>
    <t>Morges</t>
  </si>
  <si>
    <t>Préverenges</t>
  </si>
  <si>
    <t>Prilly</t>
  </si>
  <si>
    <t>Pully</t>
  </si>
  <si>
    <t>Renens</t>
  </si>
  <si>
    <t>Saint-Barthélemy</t>
  </si>
  <si>
    <t>Sainte-Croix</t>
  </si>
  <si>
    <t>Saint-Sulpice</t>
  </si>
  <si>
    <t>Savigny</t>
  </si>
  <si>
    <t>Villars-Sainte-Croix</t>
  </si>
  <si>
    <t>Vaulion</t>
  </si>
  <si>
    <t>Z_score</t>
  </si>
  <si>
    <t xml:space="preserve">Moyenne </t>
  </si>
  <si>
    <t>Ecart type</t>
  </si>
  <si>
    <t>Commune</t>
  </si>
  <si>
    <t>Code DiDok</t>
  </si>
  <si>
    <t>Désignation officielle</t>
  </si>
  <si>
    <t>Désignation organisation commerciale</t>
  </si>
  <si>
    <t>Moyen de transport</t>
  </si>
  <si>
    <t>Canton</t>
  </si>
  <si>
    <t>Numéro Commune</t>
  </si>
  <si>
    <t>Localité</t>
  </si>
  <si>
    <t>Swiss Business Organisation ID</t>
  </si>
  <si>
    <t>Commentaire OFT</t>
  </si>
  <si>
    <t>Coordonnées E MN95</t>
  </si>
  <si>
    <t>Coordonnées N MN95</t>
  </si>
  <si>
    <t>Altitude</t>
  </si>
  <si>
    <t>Lien sur la carte</t>
  </si>
  <si>
    <t>Vufflens-Aclens, zone industr.</t>
  </si>
  <si>
    <t>Automobiles MBC</t>
  </si>
  <si>
    <t>BUS</t>
  </si>
  <si>
    <t>VD</t>
  </si>
  <si>
    <t>Aclens</t>
  </si>
  <si>
    <t>ch:1:sboid:100566</t>
  </si>
  <si>
    <t>46.56477268818526, 6.524742392767344</t>
  </si>
  <si>
    <t>Aclens, collège</t>
  </si>
  <si>
    <t>46.567228572318456, 6.510291141153921</t>
  </si>
  <si>
    <t>Agiez, Vers-le-Pont</t>
  </si>
  <si>
    <t>PostAuto AG</t>
  </si>
  <si>
    <t>Agiez</t>
  </si>
  <si>
    <t>ch:1:sboid:100602</t>
  </si>
  <si>
    <t>46.71919129431517, 6.511347735082323</t>
  </si>
  <si>
    <t>Agiez, L'Epine</t>
  </si>
  <si>
    <t>46.71582551025668, 6.507887226046329</t>
  </si>
  <si>
    <t>Aigle, Les Iles</t>
  </si>
  <si>
    <t>Transports Publics du Chablais (Bus)</t>
  </si>
  <si>
    <t>Aigle</t>
  </si>
  <si>
    <t>ch:1:sboid:100617</t>
  </si>
  <si>
    <t>46.29961661730584, 6.948697073079572</t>
  </si>
  <si>
    <t>Aigle, Biole</t>
  </si>
  <si>
    <t>46.309910755987055, 6.945241890286049</t>
  </si>
  <si>
    <t>Aigle, collège Planchette</t>
  </si>
  <si>
    <t>(Bus) ohne Fahrplandaten 2016 [beibehalten]</t>
  </si>
  <si>
    <t>46.31950460015498, 6.956658085456567</t>
  </si>
  <si>
    <t>Aigle-Parc Aventure</t>
  </si>
  <si>
    <t>Transports Publics du Chablais</t>
  </si>
  <si>
    <t>TRAIN</t>
  </si>
  <si>
    <t>ch:1:sboid:100008</t>
  </si>
  <si>
    <t>46.315300001126964, 6.986219994119313</t>
  </si>
  <si>
    <t>Aigle, Pautex</t>
  </si>
  <si>
    <t>46.31692190321954, 6.954344102473771</t>
  </si>
  <si>
    <t>Aigle, av. Margencel</t>
  </si>
  <si>
    <t>46.318163343780725, 6.964953361332843</t>
  </si>
  <si>
    <t>Aigle-Dépôt, gare</t>
  </si>
  <si>
    <t>46.31806335872635, 6.975548588579126</t>
  </si>
  <si>
    <t>Aigle, Fontanney</t>
  </si>
  <si>
    <t>46.31857051500889, 6.988548107424288</t>
  </si>
  <si>
    <t>Aigle, Dents-du-Midi</t>
  </si>
  <si>
    <t>46.313729866550396, 6.9589034211079</t>
  </si>
  <si>
    <t>Aigle, Champex</t>
  </si>
  <si>
    <t>46.31177419397323, 6.943485372920066</t>
  </si>
  <si>
    <t>Aigle, ch. des Lieugex</t>
  </si>
  <si>
    <t>46.3201851703714, 6.960157659596822</t>
  </si>
  <si>
    <t>Aigle-Place-du-Marché (DIAB)</t>
  </si>
  <si>
    <t>(Zug)</t>
  </si>
  <si>
    <t>46.31668999858064, 6.969829998461089</t>
  </si>
  <si>
    <t>Schweizerische Bundesbahnen SBB</t>
  </si>
  <si>
    <t>ch:1:sboid:100001</t>
  </si>
  <si>
    <t>46.316855418598124, 6.963683211861402</t>
  </si>
  <si>
    <t>Aigle-Château</t>
  </si>
  <si>
    <t>46.31687170607126, 6.97892136108901</t>
  </si>
  <si>
    <t>Aigle-Place-du-Marché</t>
  </si>
  <si>
    <t>46.317239994000715, 6.970339995448264</t>
  </si>
  <si>
    <t>Aigle, Pré Neyroud</t>
  </si>
  <si>
    <t>46.3018036496258, 6.944809449285151</t>
  </si>
  <si>
    <t>Aigle, gare</t>
  </si>
  <si>
    <t>46.31615583128023, 6.964607382328524</t>
  </si>
  <si>
    <t>Aigle, place du Marché</t>
  </si>
  <si>
    <t>46.31737568585273, 6.9702184049401295</t>
  </si>
  <si>
    <t>Pont-de-Drapel</t>
  </si>
  <si>
    <t>46.31985999970431, 6.986520004273106</t>
  </si>
  <si>
    <t>Fontanney</t>
  </si>
  <si>
    <t>46.31831999450118, 6.982299999546069</t>
  </si>
  <si>
    <t>Aigle, Grand-Pré</t>
  </si>
  <si>
    <t>46.316830850819, 6.9375968369801955</t>
  </si>
  <si>
    <t>Aigle, Levant</t>
  </si>
  <si>
    <t>46.31666574611651, 6.95966940254503</t>
  </si>
  <si>
    <t>RBC Chablais</t>
  </si>
  <si>
    <t>46.3227520902552, 6.9626350459755155</t>
  </si>
  <si>
    <t>Aigle, Pré d'Emoz/écoles</t>
  </si>
  <si>
    <t>46.32167183919654, 6.956483007024112</t>
  </si>
  <si>
    <t>Aigle, Novassales</t>
  </si>
  <si>
    <t>46.31456471306193, 6.962738839240221</t>
  </si>
  <si>
    <t>Aigle, Vergers</t>
  </si>
  <si>
    <t>bis 2018: Aigle, hôpital</t>
  </si>
  <si>
    <t>46.31199556571619, 6.9636052087107245</t>
  </si>
  <si>
    <t>Aigle, rte d'Evian</t>
  </si>
  <si>
    <t>46.318209436951534, 6.958824831624484</t>
  </si>
  <si>
    <t>Aigle, La Mêlée</t>
  </si>
  <si>
    <t>46.31817341640464, 6.938090780183085</t>
  </si>
  <si>
    <t>Aigle, Valerette</t>
  </si>
  <si>
    <t>46.31065324343813, 6.967433533095001</t>
  </si>
  <si>
    <t>Aigle [voie 11-16]</t>
  </si>
  <si>
    <t>46.316342609309636, 6.964099417232659</t>
  </si>
  <si>
    <t>Aigle, Golf</t>
  </si>
  <si>
    <t>46.315396936375215, 6.949086764936207</t>
  </si>
  <si>
    <t>Aigle-Dépôt</t>
  </si>
  <si>
    <t>46.318289994546745, 6.975370001409716</t>
  </si>
  <si>
    <t>Aigle, Les Glariers</t>
  </si>
  <si>
    <t>(neue Hst per 12.2017 aber keine Fahrplandaten)</t>
  </si>
  <si>
    <t>46.32065776499928, 6.967723103787464</t>
  </si>
  <si>
    <t>Plambuit</t>
  </si>
  <si>
    <t>46.32734999369797, 7.023969993526004</t>
  </si>
  <si>
    <t>Aigle, piscine</t>
  </si>
  <si>
    <t>46.32185081398912, 6.962622938313034</t>
  </si>
  <si>
    <t>Aigle, La Chapelle</t>
  </si>
  <si>
    <t>46.312811936831636, 6.96736284366535</t>
  </si>
  <si>
    <t>En Châlex</t>
  </si>
  <si>
    <t>46.30383325051869, 6.969049275811245</t>
  </si>
  <si>
    <t>Aigle, Marjolin</t>
  </si>
  <si>
    <t>46.3078612296431, 6.967723842556987</t>
  </si>
  <si>
    <t>Aigle, médiathèque</t>
  </si>
  <si>
    <t>46.319431213187656, 6.964825430504725</t>
  </si>
  <si>
    <t>Aigle, Charmettes</t>
  </si>
  <si>
    <t>46.31012560278968, 6.963881219363302</t>
  </si>
  <si>
    <t>Aigle, Orlons</t>
  </si>
  <si>
    <t>46.31069768911773, 6.9380429534726</t>
  </si>
  <si>
    <t>Aigle, Marais</t>
  </si>
  <si>
    <t>46.30337426435545, 6.941926612804922</t>
  </si>
  <si>
    <t>Aigle, Artisans</t>
  </si>
  <si>
    <t>46.31475167092162, 6.939368689797344</t>
  </si>
  <si>
    <t>Allaman, Château</t>
  </si>
  <si>
    <t>Allaman</t>
  </si>
  <si>
    <t>46.47149624448524, 6.396761418716595</t>
  </si>
  <si>
    <t>Allaman, gare</t>
  </si>
  <si>
    <t>46.47587445793586, 6.399648803097864</t>
  </si>
  <si>
    <t>Allaman, Grand-Rue</t>
  </si>
  <si>
    <t>46.46974489677017, 6.39638113595995</t>
  </si>
  <si>
    <t>46.47575352079991, 6.399697079747334</t>
  </si>
  <si>
    <t>Borex, Le Chanelet</t>
  </si>
  <si>
    <t>Transports Publics de la Région Nyonnaise</t>
  </si>
  <si>
    <t>Arnex-sur-Nyon</t>
  </si>
  <si>
    <t>ch:1:sboid:100540</t>
  </si>
  <si>
    <t>46.37785174714398, 6.184110330826253</t>
  </si>
  <si>
    <t>46.37472404465474, 6.193359473751702</t>
  </si>
  <si>
    <t>Arnex, gare</t>
  </si>
  <si>
    <t>Arnex-sur-Orbe</t>
  </si>
  <si>
    <t>46.698023685523275, 6.5191388259570076</t>
  </si>
  <si>
    <t>Arnex, poste</t>
  </si>
  <si>
    <t>46.69483855259485, 6.519075502111243</t>
  </si>
  <si>
    <t>Arnex</t>
  </si>
  <si>
    <t>46.6980776528438, 6.51890716328841</t>
  </si>
  <si>
    <t>Bassins, gare</t>
  </si>
  <si>
    <t>Arzier-Le Muids</t>
  </si>
  <si>
    <t>(Bus) ohne Fahrplandaten 12.2016/2018</t>
  </si>
  <si>
    <t>46.460710536633194, 6.222769946135759</t>
  </si>
  <si>
    <t>Arzier, gare</t>
  </si>
  <si>
    <t>Nyon-St-Cergue-Morez Ersatzverkehr</t>
  </si>
  <si>
    <t>ch:1:sboid:1100073</t>
  </si>
  <si>
    <t>46.45885520350323, 6.210908344524017</t>
  </si>
  <si>
    <t>Le Muids</t>
  </si>
  <si>
    <t>Nyon-St-Cergue-Morez</t>
  </si>
  <si>
    <t>ch:1:sboid:100047</t>
  </si>
  <si>
    <t>46.45429999374498, 6.215429993950875</t>
  </si>
  <si>
    <t>La Chèvrerie-Monterêt</t>
  </si>
  <si>
    <t>46.44848000803234, 6.1835100034959805</t>
  </si>
  <si>
    <t>Le Muids, bif. gare</t>
  </si>
  <si>
    <t>46.45478881938066, 6.218678202071574</t>
  </si>
  <si>
    <t>Bassins</t>
  </si>
  <si>
    <t>46.460569994939625, 6.222309998990778</t>
  </si>
  <si>
    <t>Arzier</t>
  </si>
  <si>
    <t>46.45863999465857, 6.211649997069147</t>
  </si>
  <si>
    <t>Lausanne-Echallens-Bercher</t>
  </si>
  <si>
    <t>ch:1:sboid:100036</t>
  </si>
  <si>
    <t>46.613149996036185, 6.620530001497214</t>
  </si>
  <si>
    <t>Assens, gare</t>
  </si>
  <si>
    <t>Transports Publics de la Région Lausannoise sa</t>
  </si>
  <si>
    <t>ch:1:sboid:100122</t>
  </si>
  <si>
    <t>46.61329265676556, 6.620830172592719</t>
  </si>
  <si>
    <t>Bioley-Orjulaz, chapelle</t>
  </si>
  <si>
    <t>Bioley-Orjulaz</t>
  </si>
  <si>
    <t>46.62159484613944, 6.597254446720099</t>
  </si>
  <si>
    <t>Montherod, village</t>
  </si>
  <si>
    <t>Aubonne</t>
  </si>
  <si>
    <t>Montherod</t>
  </si>
  <si>
    <t>46.49879181833153, 6.366196726582003</t>
  </si>
  <si>
    <t>Montherod, Battoir</t>
  </si>
  <si>
    <t>46.49865922549443, 6.371214970736722</t>
  </si>
  <si>
    <t>Pizy, village</t>
  </si>
  <si>
    <t>Pizy</t>
  </si>
  <si>
    <t>46.4918760803042, 6.355105446859123</t>
  </si>
  <si>
    <t>Aubonne, hôpital</t>
  </si>
  <si>
    <t>46.49267668076557, 6.389543511907031</t>
  </si>
  <si>
    <t>Aubonne, Curzilles</t>
  </si>
  <si>
    <t>46.49014065420075, 6.37900296920259</t>
  </si>
  <si>
    <t>Pizy, Le Courtillet</t>
  </si>
  <si>
    <t>46.500652028221104, 6.338735716170575</t>
  </si>
  <si>
    <t>Aubonne, Le Bornalet</t>
  </si>
  <si>
    <t>46.49158371813273, 6.395895253746815</t>
  </si>
  <si>
    <t>Aubonne, Roveray</t>
  </si>
  <si>
    <t>46.48125808090954, 6.401043106552921</t>
  </si>
  <si>
    <t>Aubonne, Bougy-St-Martin</t>
  </si>
  <si>
    <t>46.49349001825613, 6.385085774947924</t>
  </si>
  <si>
    <t>Signal-de-Bougy, Parc Pré Vert</t>
  </si>
  <si>
    <t>Bougy-Villars</t>
  </si>
  <si>
    <t>46.48516437712718, 6.355070540523862</t>
  </si>
  <si>
    <t>Aubonne, La Praz</t>
  </si>
  <si>
    <t>46.488826526254336, 6.399347958586517</t>
  </si>
  <si>
    <t>Aubonne, gare</t>
  </si>
  <si>
    <t>46.49384165966593, 6.392946852330956</t>
  </si>
  <si>
    <t>Aubonne, Pré-Baulan</t>
  </si>
  <si>
    <t>(Bus) ohne Fahrplandaten 12.2018</t>
  </si>
  <si>
    <t>46.495715310802204, 6.3690845491940635</t>
  </si>
  <si>
    <t>Aubonne, La Levette</t>
  </si>
  <si>
    <t>46.48508534726661, 6.400474786753574</t>
  </si>
  <si>
    <t>Avenches, poste</t>
  </si>
  <si>
    <t>Avenches</t>
  </si>
  <si>
    <t>(Bus) ohne Fahrplandaten 12.2016 [beibehalten]</t>
  </si>
  <si>
    <t>46.88093123399027, 7.039644445060025</t>
  </si>
  <si>
    <t>Avenches, L'Eau-Noire</t>
  </si>
  <si>
    <t>46.90210546219474, 7.044565965496157</t>
  </si>
  <si>
    <t>Avenches, Bibracte</t>
  </si>
  <si>
    <t>46.87669203340947, 7.038967602272889</t>
  </si>
  <si>
    <t>Avenches, Milavy</t>
  </si>
  <si>
    <t>46.87670269402595, 7.031805029088613</t>
  </si>
  <si>
    <t>Avenches, Hôtel de Ville</t>
  </si>
  <si>
    <t>46.879908719411, 7.040491661515199</t>
  </si>
  <si>
    <t>Oleyres, Les Carrières</t>
  </si>
  <si>
    <t>Oleyres</t>
  </si>
  <si>
    <t>46.85544769454535, 7.037211355056684</t>
  </si>
  <si>
    <t>Avenches, Faubourg</t>
  </si>
  <si>
    <t>Service d'automobiles TPF</t>
  </si>
  <si>
    <t>ch:1:sboid:100633</t>
  </si>
  <si>
    <t>46.87814293129093, 7.042301999667975</t>
  </si>
  <si>
    <t>Avenches Plage</t>
  </si>
  <si>
    <t>Lacs de Neuchâtel et Morat</t>
  </si>
  <si>
    <t>BOAT</t>
  </si>
  <si>
    <t>ch:1:sboid:100148</t>
  </si>
  <si>
    <t>Bedarfshalt</t>
  </si>
  <si>
    <t>46.90569097255497, 7.048630883762216</t>
  </si>
  <si>
    <t>46.88460159766171, 7.0409253236567135</t>
  </si>
  <si>
    <t>Avenches, EMS Marc-Aurèle</t>
  </si>
  <si>
    <t>46.88154955977959, 7.044139763990888</t>
  </si>
  <si>
    <t>Avenches, Le Paon</t>
  </si>
  <si>
    <t>46.87662790003373, 7.0335371861811655</t>
  </si>
  <si>
    <t>Avenches, Collège Sous-Ville</t>
  </si>
  <si>
    <t>46.87945637030937, 7.037189084661411</t>
  </si>
  <si>
    <t>Avenches, route du Lac</t>
  </si>
  <si>
    <t>46.89491832506502, 7.052505446485615</t>
  </si>
  <si>
    <t>Avenches, plage</t>
  </si>
  <si>
    <t>46.90114531575748, 7.0478671669097395</t>
  </si>
  <si>
    <t>Avenches, Pré-Vert</t>
  </si>
  <si>
    <t>46.885874249733945, 7.046141603097115</t>
  </si>
  <si>
    <t>Avenches, Joli-Val</t>
  </si>
  <si>
    <t>46.87611874572066, 7.042238249518947</t>
  </si>
  <si>
    <t>Avenches, Bois de Châtel</t>
  </si>
  <si>
    <t>46.86754062953069, 7.043245980643021</t>
  </si>
  <si>
    <t>Donatyre, village</t>
  </si>
  <si>
    <t>Donatyre</t>
  </si>
  <si>
    <t>46.87545544947485, 7.058203800744052</t>
  </si>
  <si>
    <t>Avenches, Montmezard</t>
  </si>
  <si>
    <t>46.87886877066017, 7.038925144185087</t>
  </si>
  <si>
    <t>Avenches, gare</t>
  </si>
  <si>
    <t>46.88464291658027, 7.041243716437001</t>
  </si>
  <si>
    <t>Avenches, Haras Fédéral</t>
  </si>
  <si>
    <t>46.88613254053382, 7.02010879194588</t>
  </si>
  <si>
    <t>Oleyres, collège</t>
  </si>
  <si>
    <t>46.853222829274074, 7.038919497690416</t>
  </si>
  <si>
    <t>Donatyre, école</t>
  </si>
  <si>
    <t>bis 2018: Donatyre, croisée</t>
  </si>
  <si>
    <t>46.877199368902204, 7.058576401856821</t>
  </si>
  <si>
    <t>Ballaigues, cure</t>
  </si>
  <si>
    <t>Transports Vallée de Joux-Yverdon-Ste-Croix</t>
  </si>
  <si>
    <t>Ballaigues</t>
  </si>
  <si>
    <t>ch:1:sboid:100694</t>
  </si>
  <si>
    <t>46.72908859384227, 6.41073719984595</t>
  </si>
  <si>
    <t>Ballaigues, poste</t>
  </si>
  <si>
    <t>46.72912385842083, 6.413812614743324</t>
  </si>
  <si>
    <t>Ballaigues, Jura-Rosaly</t>
  </si>
  <si>
    <t>46.73289994623634, 6.428667573016799</t>
  </si>
  <si>
    <t>Ballaigues, Vers-chez-Barrat</t>
  </si>
  <si>
    <t>46.72871439138754, 6.407318121946539</t>
  </si>
  <si>
    <t>Ballaigues, collège</t>
  </si>
  <si>
    <t>46.73033250043713, 6.415163378827366</t>
  </si>
  <si>
    <t>Ballaigues, Maillefer</t>
  </si>
  <si>
    <t>46.72939031007999, 6.417932705333199</t>
  </si>
  <si>
    <t>Ballens</t>
  </si>
  <si>
    <t>Transports de la région Morges-Bière-Cossonay</t>
  </si>
  <si>
    <t>ch:1:sboid:100012</t>
  </si>
  <si>
    <t>46.552259998028006, 6.374459998099317</t>
  </si>
  <si>
    <t>Ballens, bif. Froideville</t>
  </si>
  <si>
    <t>46.552530031272745, 6.386249125276141</t>
  </si>
  <si>
    <t>Ballens, village</t>
  </si>
  <si>
    <t>46.55427826886924, 6.375640021798666</t>
  </si>
  <si>
    <t>Ballens-Froideville</t>
  </si>
  <si>
    <t>46.5496599962626, 6.390230001204272</t>
  </si>
  <si>
    <t>Bassins, Piscine</t>
  </si>
  <si>
    <t>46.466953816553136, 6.232837613663515</t>
  </si>
  <si>
    <t>Bassins, La Cézille</t>
  </si>
  <si>
    <t>46.446359457315204, 6.232749573377579</t>
  </si>
  <si>
    <t>Bassins, Tillette</t>
  </si>
  <si>
    <t>46.463139147546435, 6.231985192386081</t>
  </si>
  <si>
    <t>Baulmes, gare</t>
  </si>
  <si>
    <t>Baulmes</t>
  </si>
  <si>
    <t>46.78877703938734, 6.524032723665713</t>
  </si>
  <si>
    <t>Six-Fontaines</t>
  </si>
  <si>
    <t>ch:1:sboid:100074</t>
  </si>
  <si>
    <t>46.77422433176137, 6.498768601780947</t>
  </si>
  <si>
    <t>Baulmes, Cul de Villars</t>
  </si>
  <si>
    <t>46.77111015189566, 6.5061454307876465</t>
  </si>
  <si>
    <t>Baulmes, poste</t>
  </si>
  <si>
    <t>46.789790942175074, 6.522298501363579</t>
  </si>
  <si>
    <t>Trois-Villes</t>
  </si>
  <si>
    <t>46.80091487296346, 6.532680954395865</t>
  </si>
  <si>
    <t>46.788748694963836, 6.52428177918298</t>
  </si>
  <si>
    <t>Bavois, gare</t>
  </si>
  <si>
    <t>SBB Infrastruktur AG Bahnersatz</t>
  </si>
  <si>
    <t>Bavois</t>
  </si>
  <si>
    <t>ch:1:sboid:1100021</t>
  </si>
  <si>
    <t>46.68693026104728, 6.561546369973865</t>
  </si>
  <si>
    <t>46.68767991038704, 6.559334852363642</t>
  </si>
  <si>
    <t>Begnins, Grange-Grèche</t>
  </si>
  <si>
    <t>Begnins</t>
  </si>
  <si>
    <t>46.453131232885326, 6.253816344009105</t>
  </si>
  <si>
    <t>Begnins, La Chataigneraie</t>
  </si>
  <si>
    <t>46.444675197863326, 6.245320439685961</t>
  </si>
  <si>
    <t>Begnins, Bellevue</t>
  </si>
  <si>
    <t>46.44292171004487, 6.246257079312485</t>
  </si>
  <si>
    <t>Begnins, Bois-du-Four</t>
  </si>
  <si>
    <t>46.4487397401577, 6.246844828844126</t>
  </si>
  <si>
    <t>Begnins, scierie</t>
  </si>
  <si>
    <t>46.44355702935328, 6.239111071012621</t>
  </si>
  <si>
    <t>Begnins, poste</t>
  </si>
  <si>
    <t>46.44021998560908, 6.24770904548224</t>
  </si>
  <si>
    <t>Begnins, Les Clavières</t>
  </si>
  <si>
    <t>46.45802255312831, 6.256989847662134</t>
  </si>
  <si>
    <t>Begnins, Charbonnier</t>
  </si>
  <si>
    <t>46.43741604233817, 6.249709663550235</t>
  </si>
  <si>
    <t>Belmont-sur-L., Cochène</t>
  </si>
  <si>
    <t>arrêt taxibus TL 10.952</t>
  </si>
  <si>
    <t>46.516412398287564, 6.678812437545404</t>
  </si>
  <si>
    <t>Belmont-sur-L., Chaffeises</t>
  </si>
  <si>
    <t>46.5141194001315, 6.67360632950752</t>
  </si>
  <si>
    <t>Belmont-sur-L., Rueyres</t>
  </si>
  <si>
    <t>46.51516852438834, 6.6771098372883815</t>
  </si>
  <si>
    <t>Belmont-sur-L., Signal</t>
  </si>
  <si>
    <t>46.52640700736734, 6.688277715070415</t>
  </si>
  <si>
    <t>Belmont-sur-L., Crau-au-Fer</t>
  </si>
  <si>
    <t>46.52447493884856, 6.688591268684656</t>
  </si>
  <si>
    <t>Belmont-sur-L., Pertuis</t>
  </si>
  <si>
    <t>46.52484295419422, 6.691192811711163</t>
  </si>
  <si>
    <t>Belmont-sur-L., Bas-Monts</t>
  </si>
  <si>
    <t>46.53252235706733, 6.694814629754814</t>
  </si>
  <si>
    <t>Belmont-sur-L., Rouvène</t>
  </si>
  <si>
    <t>46.52139610460443, 6.674780515652149</t>
  </si>
  <si>
    <t>Belmont-sur-L., Chatruffe</t>
  </si>
  <si>
    <t>46.52198975890962, 6.682826261735864</t>
  </si>
  <si>
    <t>Belmont-sur-L., Coin d'En Haut</t>
  </si>
  <si>
    <t>46.51984987203864, 6.680036858199885</t>
  </si>
  <si>
    <t>Belmont-sur-L., Champ-Chamot</t>
  </si>
  <si>
    <t>46.522663915576, 6.685449447098423</t>
  </si>
  <si>
    <t>Belmont-sur-L., Malavaux</t>
  </si>
  <si>
    <t>46.52060605340599, 6.676355551149121</t>
  </si>
  <si>
    <t>Belmont-sur-L., Raffort</t>
  </si>
  <si>
    <t>46.52525713953116, 6.68175093332927</t>
  </si>
  <si>
    <t>Belmont-sur-L., Courtillet</t>
  </si>
  <si>
    <t>46.52219016440286, 6.680503651925827</t>
  </si>
  <si>
    <t>Belmont-sur-L., Chapons</t>
  </si>
  <si>
    <t>46.51728064054511, 6.676819452612046</t>
  </si>
  <si>
    <t>Belmont-sur-L., Burenoz</t>
  </si>
  <si>
    <t>46.52119209108641, 6.672541826257908</t>
  </si>
  <si>
    <t>Belmont-sur-L., Arnier</t>
  </si>
  <si>
    <t>46.52305581580578, 6.678119533022935</t>
  </si>
  <si>
    <t>Belmont-sur-L., Léchire</t>
  </si>
  <si>
    <t>46.52057175268026, 6.6846836349471985</t>
  </si>
  <si>
    <t>Belmont-sur-L., centre</t>
  </si>
  <si>
    <t>46.51960350312494, 6.678441779296739</t>
  </si>
  <si>
    <t>Belmont-sur-L., Champ Preveire</t>
  </si>
  <si>
    <t>46.528091896567254, 6.684604790195125</t>
  </si>
  <si>
    <t>Belmont-sur-L., Blessoney</t>
  </si>
  <si>
    <t>46.51951429040541, 6.683942530495115</t>
  </si>
  <si>
    <t>Belmont-sur-L., Grands Champs</t>
  </si>
  <si>
    <t>46.522411564043395, 6.67729450625041</t>
  </si>
  <si>
    <t>Belmont-sur-L., Cita</t>
  </si>
  <si>
    <t>46.518376992926015, 6.680674419500143</t>
  </si>
  <si>
    <t>Belmont-sur-L., Au Devin</t>
  </si>
  <si>
    <t>46.524464682118555, 6.685685015283394</t>
  </si>
  <si>
    <t>Belmont-sur-L., Chaffiause</t>
  </si>
  <si>
    <t>46.52997418322071, 6.6889972198340555</t>
  </si>
  <si>
    <t>Belmont-sur-L., Pâquis</t>
  </si>
  <si>
    <t>46.52022203250592, 6.677175476899063</t>
  </si>
  <si>
    <t>Belmont-sur-Yverdon, Battoir</t>
  </si>
  <si>
    <t>Belmont-sur-Yverdon</t>
  </si>
  <si>
    <t>46.74515029042106, 6.626338733939529</t>
  </si>
  <si>
    <t>Belmont-sur-Yverdon, Les Prés</t>
  </si>
  <si>
    <t>46.74029549739073, 6.621727391272555</t>
  </si>
  <si>
    <t>Bercher, Vers l'Eglise</t>
  </si>
  <si>
    <t>Bercher</t>
  </si>
  <si>
    <t>46.695097529661595, 6.712979157825109</t>
  </si>
  <si>
    <t>46.692879995511746, 6.703650002855575</t>
  </si>
  <si>
    <t>Bercher, Vieux-Collège</t>
  </si>
  <si>
    <t>46.6922917097149, 6.711709582043442</t>
  </si>
  <si>
    <t>Bercher, 7 Fontaines</t>
  </si>
  <si>
    <t>46.69029641352971, 6.706376494337158</t>
  </si>
  <si>
    <t>Bercher, village</t>
  </si>
  <si>
    <t>46.69226868770209, 6.7081146343272975</t>
  </si>
  <si>
    <t>Bercher, gare</t>
  </si>
  <si>
    <t>46.6924729264189, 6.703509914700638</t>
  </si>
  <si>
    <t>Berolle, église</t>
  </si>
  <si>
    <t>Berolle</t>
  </si>
  <si>
    <t>46.557747977968205, 6.336345322369586</t>
  </si>
  <si>
    <t>Berolle, Les Molliettes</t>
  </si>
  <si>
    <t>46.56087092681659, 6.341310876756063</t>
  </si>
  <si>
    <t>Bettens, village</t>
  </si>
  <si>
    <t>Bettens</t>
  </si>
  <si>
    <t>46.626544983512815, 6.575958051920197</t>
  </si>
  <si>
    <t>Bettens, croisée</t>
  </si>
  <si>
    <t>46.6290173417194, 6.578125419195744</t>
  </si>
  <si>
    <t>Bex-Place-du-Marché</t>
  </si>
  <si>
    <t>Bex</t>
  </si>
  <si>
    <t>46.25091000071232, 7.014429994280276</t>
  </si>
  <si>
    <t>Bex, Mines de Sel</t>
  </si>
  <si>
    <t>46.277589864690285, 7.026166701427727</t>
  </si>
  <si>
    <t>Gryon, La Benjamine</t>
  </si>
  <si>
    <t>Gryon</t>
  </si>
  <si>
    <t>arrêt ligne 12.161</t>
  </si>
  <si>
    <t>46.28375949904726, 7.1233024559910865</t>
  </si>
  <si>
    <t>Gryon, rte de Bovonne</t>
  </si>
  <si>
    <t>46.282029048198304, 7.115787289176213</t>
  </si>
  <si>
    <t>Bex, Le Châtel</t>
  </si>
  <si>
    <t>46.235542510313984, 7.025812122930635</t>
  </si>
  <si>
    <t>Bex, Vasselin</t>
  </si>
  <si>
    <t>46.22522851228402, 7.01680357341081</t>
  </si>
  <si>
    <t>Bex, La Ruaz</t>
  </si>
  <si>
    <t>46.25298060816052, 7.007745128586748</t>
  </si>
  <si>
    <t>Bex, Grand-Moulin</t>
  </si>
  <si>
    <t>46.25272501373415, 7.023541737989856</t>
  </si>
  <si>
    <t>Bex, Servanne</t>
  </si>
  <si>
    <t>46.24868193237209, 7.015209163768538</t>
  </si>
  <si>
    <t>Fenalet-sur-Bex, Grande Salle</t>
  </si>
  <si>
    <t>Fenalet-sur-Bex</t>
  </si>
  <si>
    <t>46.27101164684239, 7.025529207502855</t>
  </si>
  <si>
    <t>Gryon, Solalex</t>
  </si>
  <si>
    <t>46.288556018295175, 7.137120037253095</t>
  </si>
  <si>
    <t>Bex, Stand</t>
  </si>
  <si>
    <t>46.24544214418238, 7.014965249556948</t>
  </si>
  <si>
    <t>Bex Pont-Neuf</t>
  </si>
  <si>
    <t>46.25052000203482, 7.020820004865023</t>
  </si>
  <si>
    <t>46.251464582286516, 7.000669902355405</t>
  </si>
  <si>
    <t>Les Posses</t>
  </si>
  <si>
    <t>Les Posses-sur-Bex</t>
  </si>
  <si>
    <t>46.2711699995858, 7.050890003341065</t>
  </si>
  <si>
    <t>Bex, Pré Meuran</t>
  </si>
  <si>
    <t>46.266354889245754, 7.02224736396886</t>
  </si>
  <si>
    <t>Bex, temple</t>
  </si>
  <si>
    <t>46.25124354588302, 7.012245602424358</t>
  </si>
  <si>
    <t>Bex, rte de Chiètres</t>
  </si>
  <si>
    <t>46.23686133347338, 7.009437388116575</t>
  </si>
  <si>
    <t>Bex place de la gare</t>
  </si>
  <si>
    <t>46.25083266720314, 7.001265618945799</t>
  </si>
  <si>
    <t>Les Plans-sur-Bex,Pont de Nant</t>
  </si>
  <si>
    <t>Les Plans-sur-Bex</t>
  </si>
  <si>
    <t>46.251824648888636, 7.110637534318145</t>
  </si>
  <si>
    <t>Bex, L'Allex</t>
  </si>
  <si>
    <t>46.24731758239739, 7.012671323115866</t>
  </si>
  <si>
    <t>Bex, Pont-Neuf</t>
  </si>
  <si>
    <t>46.250355688557875, 7.020175458247229</t>
  </si>
  <si>
    <t>Bex, pl. du Marché</t>
  </si>
  <si>
    <t>46.25089213856789, 7.01447872200726</t>
  </si>
  <si>
    <t>Les Posses-sur-Bex, gare</t>
  </si>
  <si>
    <t>46.2707531298777, 7.051552838518127</t>
  </si>
  <si>
    <t>Bex, En Rond</t>
  </si>
  <si>
    <t>46.26005747098022, 7.033305625224297</t>
  </si>
  <si>
    <t>Bex, sous-gare</t>
  </si>
  <si>
    <t>46.25123738551919, 7.000319487878002</t>
  </si>
  <si>
    <t>Bex, Planche-de-Fy</t>
  </si>
  <si>
    <t>46.26305009804593, 7.003903827635855</t>
  </si>
  <si>
    <t>Bex, La Pâtissière</t>
  </si>
  <si>
    <t>46.23048275051946, 7.027133872627054</t>
  </si>
  <si>
    <t>Bex, Cotterd</t>
  </si>
  <si>
    <t>46.245919803582005, 7.0090061967284285</t>
  </si>
  <si>
    <t>Bex, Grand Chêne</t>
  </si>
  <si>
    <t>46.233922290344054, 7.013740318279554</t>
  </si>
  <si>
    <t>Bex, Gribannaz</t>
  </si>
  <si>
    <t>46.24601298987783, 7.00061593194586</t>
  </si>
  <si>
    <t>Bex, Courtraits</t>
  </si>
  <si>
    <t>46.24778350078383, 6.997741323062456</t>
  </si>
  <si>
    <t>Bex, Le Chêne</t>
  </si>
  <si>
    <t>46.26661063645529, 7.027417566216774</t>
  </si>
  <si>
    <t>Bex, rte d'Aigle</t>
  </si>
  <si>
    <t>46.25402031266325, 7.006751308469191</t>
  </si>
  <si>
    <t>Bex, bif. Salaz</t>
  </si>
  <si>
    <t>46.27077237581736, 7.0160880607395315</t>
  </si>
  <si>
    <t>Bex, route de Rivarotte</t>
  </si>
  <si>
    <t>46.24928083413016, 7.00525550795295</t>
  </si>
  <si>
    <t>Fenalet-sur-Bex, village</t>
  </si>
  <si>
    <t>46.27187143514711, 7.026949600603828</t>
  </si>
  <si>
    <t>Bex, Les Dévens</t>
  </si>
  <si>
    <t>46.270190496728524, 7.0175448348817815</t>
  </si>
  <si>
    <t>Bex, Le Chavalet</t>
  </si>
  <si>
    <t>46.266863112840404, 7.00593566564337</t>
  </si>
  <si>
    <t>Bex, Résidence</t>
  </si>
  <si>
    <t>46.24794382492501, 7.022333527219483</t>
  </si>
  <si>
    <t>Bex, En Bellin</t>
  </si>
  <si>
    <t>46.25806527418604, 7.001272166965749</t>
  </si>
  <si>
    <t>Bex, Domaine du Rhône</t>
  </si>
  <si>
    <t>46.243451972004195, 6.991030531798012</t>
  </si>
  <si>
    <t>Bex, Les Besses</t>
  </si>
  <si>
    <t>46.230560528004695, 7.014818296619232</t>
  </si>
  <si>
    <t>Bex, La Pelouse</t>
  </si>
  <si>
    <t>46.232444501362195, 7.008050722161439</t>
  </si>
  <si>
    <t>Bex, Les Salines</t>
  </si>
  <si>
    <t>46.25484539266986, 7.027740159706844</t>
  </si>
  <si>
    <t>Bex, Foyer Dents-du-Midi</t>
  </si>
  <si>
    <t>46.25660902747199, 7.030346450405432</t>
  </si>
  <si>
    <t>Gryon, chemin de Chalméry</t>
  </si>
  <si>
    <t>46.27261100702272, 7.0503201774439725</t>
  </si>
  <si>
    <t>Les Salines</t>
  </si>
  <si>
    <t>46.25483999901063, 7.027639995820213</t>
  </si>
  <si>
    <t>Foyer Dents-du-Midi</t>
  </si>
  <si>
    <t>46.25638999964525, 7.029840005915152</t>
  </si>
  <si>
    <t>La Ruaz</t>
  </si>
  <si>
    <t>46.2530799960641, 7.007719998986622</t>
  </si>
  <si>
    <t>Les Posses-sur-Bex, Hameau</t>
  </si>
  <si>
    <t>46.271071189858475, 7.047269814403159</t>
  </si>
  <si>
    <t>Grand-Moulin</t>
  </si>
  <si>
    <t>46.252620000085905, 7.023219998127118</t>
  </si>
  <si>
    <t>Frenières-sur-Bex, bif.</t>
  </si>
  <si>
    <t>Frenières-sur-Bex</t>
  </si>
  <si>
    <t>46.26000195071752, 7.069955222223409</t>
  </si>
  <si>
    <t>Bex, route des Monts bif.</t>
  </si>
  <si>
    <t>46.264504251667496, 7.037018680762522</t>
  </si>
  <si>
    <t>Bex, Les Véneresses</t>
  </si>
  <si>
    <t>46.26397644068502, 7.058631092902527</t>
  </si>
  <si>
    <t>Bex, Valentines</t>
  </si>
  <si>
    <t>46.24737586369449, 7.027617265156749</t>
  </si>
  <si>
    <t>Gryon-Chalméry</t>
  </si>
  <si>
    <t>46.273639994112585, 7.051909995439043</t>
  </si>
  <si>
    <t>Fontannaz-Seulaz</t>
  </si>
  <si>
    <t>46.267599999752434, 7.055849997044436</t>
  </si>
  <si>
    <t>Gryon, Combe à Jordan</t>
  </si>
  <si>
    <t>46.28498216669191, 7.123035836503789</t>
  </si>
  <si>
    <t>Bévieux</t>
  </si>
  <si>
    <t>46.258989996088324, 7.0308800049877735</t>
  </si>
  <si>
    <t>Bévieux, gare</t>
  </si>
  <si>
    <t>46.25856381582986, 7.031096911448927</t>
  </si>
  <si>
    <t>Les Plans-sur-Bex, village</t>
  </si>
  <si>
    <t>bis 2018: Les Plans-sur-Bex, poste</t>
  </si>
  <si>
    <t>46.25690842333612, 7.092982506316987</t>
  </si>
  <si>
    <t>Bex, place de la gare</t>
  </si>
  <si>
    <t>46.25128143433952, 7.0010026561309395</t>
  </si>
  <si>
    <t>Les Plans-sur-Bex, Le Chamois</t>
  </si>
  <si>
    <t>46.25565793579709, 7.090033709976112</t>
  </si>
  <si>
    <t>Bex, Les Luisances</t>
  </si>
  <si>
    <t>46.26527651166969, 7.02666241278948</t>
  </si>
  <si>
    <t>Bière-Jonction</t>
  </si>
  <si>
    <t>Bière</t>
  </si>
  <si>
    <t>46.541819802489364, 6.351796489459302</t>
  </si>
  <si>
    <t>Bière-Casernes</t>
  </si>
  <si>
    <t>Güterverkehr</t>
  </si>
  <si>
    <t>46.52853000243222, 6.351970004487234</t>
  </si>
  <si>
    <t>Bière, gare</t>
  </si>
  <si>
    <t>46.537566608438816, 6.337085016650491</t>
  </si>
  <si>
    <t>46.53743999364509, 6.336909994066487</t>
  </si>
  <si>
    <t>Bière, collège</t>
  </si>
  <si>
    <t>(Bus) ohne Fahrplandaten 2016 [zu löschen]</t>
  </si>
  <si>
    <t>46.53639255133148, 6.339403405998071</t>
  </si>
  <si>
    <t>Bioley-Magnoux, collège</t>
  </si>
  <si>
    <t>Bioley-Magnoux</t>
  </si>
  <si>
    <t>46.72569536114465, 6.710617602078139</t>
  </si>
  <si>
    <t>Bioley-Magnoux, Moulin agr.</t>
  </si>
  <si>
    <t>46.71686080742512, 6.711927280343712</t>
  </si>
  <si>
    <t>Clies</t>
  </si>
  <si>
    <t>Montreux-Vevey-Riviera (cev)</t>
  </si>
  <si>
    <t>Blonay - Saint-Légier</t>
  </si>
  <si>
    <t>St-Légier-La Chiésaz</t>
  </si>
  <si>
    <t>ch:1:sboid:100023</t>
  </si>
  <si>
    <t>46.467760001915, 6.854909996765118</t>
  </si>
  <si>
    <t>La Chiésaz</t>
  </si>
  <si>
    <t>46.46950999820902, 6.88213000031258</t>
  </si>
  <si>
    <t>Lally</t>
  </si>
  <si>
    <t>Blonay</t>
  </si>
  <si>
    <t>46.479209995866945, 6.914029995211585</t>
  </si>
  <si>
    <t>St-Légier, gare</t>
  </si>
  <si>
    <t>Transports publics Vevey-Montreux-Chillon-Villeneuve</t>
  </si>
  <si>
    <t>ch:1:sboid:100675</t>
  </si>
  <si>
    <t>arrêt provisoire été 2020, utilisable aussi pour bus de remplacement</t>
  </si>
  <si>
    <t>46.470916462327224, 6.871941321888595</t>
  </si>
  <si>
    <t>Chantemerle-près-Blonay</t>
  </si>
  <si>
    <t>46.46164999640413, 6.906540001927894</t>
  </si>
  <si>
    <t>St-Légier, route de la Gare</t>
  </si>
  <si>
    <t>46.472048707422495, 6.871695091381628</t>
  </si>
  <si>
    <t>Château-de-Blonay, gare</t>
  </si>
  <si>
    <t>46.46794793725102, 6.892100259070412</t>
  </si>
  <si>
    <t>St-Légier, collège La Chiésaz</t>
  </si>
  <si>
    <t>46.470775728597964, 6.880403380536096</t>
  </si>
  <si>
    <t>St-Légier, Bottassioux</t>
  </si>
  <si>
    <t>46.47270261269957, 6.869344554385279</t>
  </si>
  <si>
    <t>Blonay, Champ Dodoz</t>
  </si>
  <si>
    <t>46.4641367616099, 6.890051286634981</t>
  </si>
  <si>
    <t>Blonay, Novalles</t>
  </si>
  <si>
    <t>46.46318851878554, 6.88090067690959</t>
  </si>
  <si>
    <t>Blonay, Antiquaire</t>
  </si>
  <si>
    <t>46.4625613105622, 6.886921460353604</t>
  </si>
  <si>
    <t>Château-de-Blonay</t>
  </si>
  <si>
    <t>46.46834999771031, 6.891749997286764</t>
  </si>
  <si>
    <t>St-Légier-Gare</t>
  </si>
  <si>
    <t>46.47052999791263, 6.87192999514584</t>
  </si>
  <si>
    <t>Tusinge</t>
  </si>
  <si>
    <t>46.47384999687032, 6.896250000779065</t>
  </si>
  <si>
    <t>Prélaz-sur-Blonay</t>
  </si>
  <si>
    <t>46.46779221317629, 6.897886839543974</t>
  </si>
  <si>
    <t>Blonay, gare</t>
  </si>
  <si>
    <t>46.465590557165726, 6.895743285592778</t>
  </si>
  <si>
    <t>Les Chevalleyres, gare</t>
  </si>
  <si>
    <t>46.476494990848764, 6.897131682807365</t>
  </si>
  <si>
    <t>St-Légier, Pont de Fenil</t>
  </si>
  <si>
    <t>46.47882431266202, 6.865868639212175</t>
  </si>
  <si>
    <t>St-Légier, Grangette</t>
  </si>
  <si>
    <t>46.47662001536361, 6.866390554815359</t>
  </si>
  <si>
    <t>St-Légier, village</t>
  </si>
  <si>
    <t>46.471740014836584, 6.876790547350572</t>
  </si>
  <si>
    <t>St-Légier, Ferreyres</t>
  </si>
  <si>
    <t>46.47400520349722, 6.866183049541511</t>
  </si>
  <si>
    <t>La Châ</t>
  </si>
  <si>
    <t>Coopérative des Pléiades</t>
  </si>
  <si>
    <t>CHAIRLIFT</t>
  </si>
  <si>
    <t>ch:1:sboid:100988</t>
  </si>
  <si>
    <t>SBA.74.006.9</t>
  </si>
  <si>
    <t>46.48988177176069, 6.913447143239351</t>
  </si>
  <si>
    <t>Château-d'Hauteville</t>
  </si>
  <si>
    <t>46.46846999966136, 6.865290004267839</t>
  </si>
  <si>
    <t>Les Pléiades</t>
  </si>
  <si>
    <t>46.483359994184944, 6.909939996396287</t>
  </si>
  <si>
    <t>St-Légier, tennis</t>
  </si>
  <si>
    <t>46.475929101545034, 6.858112322501199</t>
  </si>
  <si>
    <t>Blonay, Portaz</t>
  </si>
  <si>
    <t>46.46161213289501, 6.892629451479852</t>
  </si>
  <si>
    <t>Blonay, village</t>
  </si>
  <si>
    <t>46.46416103466257, 6.894039210929408</t>
  </si>
  <si>
    <t>Blonay, Planaz</t>
  </si>
  <si>
    <t>46.45991002220859, 6.896370556093767</t>
  </si>
  <si>
    <t>Bois-de-Chexbres</t>
  </si>
  <si>
    <t>46.47327999986844, 6.901529994631869</t>
  </si>
  <si>
    <t>Les Motalles</t>
  </si>
  <si>
    <t>SBA.74.006.1</t>
  </si>
  <si>
    <t>46.48790286866705, 6.919340218328184</t>
  </si>
  <si>
    <t>St-Légier, Plateau de la Veyre</t>
  </si>
  <si>
    <t>46.47317091147093, 6.860563759025952</t>
  </si>
  <si>
    <t>Hauteville</t>
  </si>
  <si>
    <t>46.46625999502058, 6.8608899965644365</t>
  </si>
  <si>
    <t>St-Légier-Village</t>
  </si>
  <si>
    <t>46.47101999970897, 6.876569995069464</t>
  </si>
  <si>
    <t>46.46568999526654, 6.895940002913107</t>
  </si>
  <si>
    <t>Fayaux</t>
  </si>
  <si>
    <t>46.46997999961394, 6.907630005853654</t>
  </si>
  <si>
    <t>Les Chevalleyres</t>
  </si>
  <si>
    <t>46.47559000215196, 6.898119996016441</t>
  </si>
  <si>
    <t>Ondallaz-L'Alliaz</t>
  </si>
  <si>
    <t>46.473159995180886, 6.913960000840379</t>
  </si>
  <si>
    <t>Château-d'Hauteville, gare</t>
  </si>
  <si>
    <t>46.468590904460854, 6.863880601575637</t>
  </si>
  <si>
    <t>St-Légier, La Veyre-d'En-Haut</t>
  </si>
  <si>
    <t>46.476869500827114, 6.863227592179004</t>
  </si>
  <si>
    <t>Blonay, Tusinge</t>
  </si>
  <si>
    <t>46.47474488418433, 6.89512717673873</t>
  </si>
  <si>
    <t>Blonay, Mottex</t>
  </si>
  <si>
    <t>46.460781216764445, 6.88529940490059</t>
  </si>
  <si>
    <t>Blonay, Champsavaux</t>
  </si>
  <si>
    <t>46.462367058707365, 6.888604999008433</t>
  </si>
  <si>
    <t>Bains-de-l'Alliaz</t>
  </si>
  <si>
    <t>46.481038810924325, 6.9271935461542995</t>
  </si>
  <si>
    <t>Blonay, Forchex</t>
  </si>
  <si>
    <t>46.45809725893559, 6.8893955164393015</t>
  </si>
  <si>
    <t>Bofflens, Sur Chaumy</t>
  </si>
  <si>
    <t>Bofflens</t>
  </si>
  <si>
    <t>46.70370242897971, 6.499570568588654</t>
  </si>
  <si>
    <t>Bofflens, laiterie</t>
  </si>
  <si>
    <t>46.705024923363865, 6.498488270910315</t>
  </si>
  <si>
    <t>Bogis-Bossey</t>
  </si>
  <si>
    <t>46.35201752839267, 6.165192530219492</t>
  </si>
  <si>
    <t>Onnens-Bonvillars PMP</t>
  </si>
  <si>
    <t>Bonvillars</t>
  </si>
  <si>
    <t>46.831137299809505, 6.684652022000772</t>
  </si>
  <si>
    <t>Bonvillars, Flusel</t>
  </si>
  <si>
    <t>46.8336678350387, 6.66357804918676</t>
  </si>
  <si>
    <t>Bonvillars, la Croix</t>
  </si>
  <si>
    <t>46.833936834308105, 6.682213954234318</t>
  </si>
  <si>
    <t>Bonvillars, village</t>
  </si>
  <si>
    <t>46.83871500394617, 6.671646136823744</t>
  </si>
  <si>
    <t>Bonvillars, La Cour</t>
  </si>
  <si>
    <t>46.836952401366105, 6.66772552037879</t>
  </si>
  <si>
    <t>Bonvillars, bas du village</t>
  </si>
  <si>
    <t>46.837128189917884, 6.672455321760901</t>
  </si>
  <si>
    <t>Borex, centre</t>
  </si>
  <si>
    <t>Borex</t>
  </si>
  <si>
    <t>46.37855811174729, 6.1769409278399054</t>
  </si>
  <si>
    <t>Bottens, croisée</t>
  </si>
  <si>
    <t>Bottens</t>
  </si>
  <si>
    <t>46.61677960834887, 6.660035251039706</t>
  </si>
  <si>
    <t>Bottens, La Rustériaz</t>
  </si>
  <si>
    <t>46.60646854819286, 6.66638417844937</t>
  </si>
  <si>
    <t>Bougy-Villars, Dessus</t>
  </si>
  <si>
    <t>46.480151788135075, 6.359624834137733</t>
  </si>
  <si>
    <t>Bougy-Villars, centre</t>
  </si>
  <si>
    <t>46.478764875376854, 6.354755911824212</t>
  </si>
  <si>
    <t>Boulens, Moulin de l'Augine</t>
  </si>
  <si>
    <t>Boulens</t>
  </si>
  <si>
    <t>46.67742523454164, 6.7250847282068085</t>
  </si>
  <si>
    <t>Boulens, croisée</t>
  </si>
  <si>
    <t>46.68033381137865, 6.7198309828183165</t>
  </si>
  <si>
    <t>Cully (lac)</t>
  </si>
  <si>
    <t>CGN SA</t>
  </si>
  <si>
    <t>Cully</t>
  </si>
  <si>
    <t>ch:1:sboid:100143</t>
  </si>
  <si>
    <t>46.4874719542918, 6.731615508497017</t>
  </si>
  <si>
    <t>Cully, Maison de Commune</t>
  </si>
  <si>
    <t>46.487982472365765, 6.729712016040308</t>
  </si>
  <si>
    <t>Villette (Lavaux), gare</t>
  </si>
  <si>
    <t>Villette (Lavaux)</t>
  </si>
  <si>
    <t>46.49532208500827, 6.707274036153384</t>
  </si>
  <si>
    <t>Grandvaux, Le Tronchet</t>
  </si>
  <si>
    <t>Grandvaux</t>
  </si>
  <si>
    <t>46.514104565118515, 6.728022528480152</t>
  </si>
  <si>
    <t>Grandvaux, Pra Grana</t>
  </si>
  <si>
    <t>46.50281452437497, 6.7146552271566495</t>
  </si>
  <si>
    <t>Aran, Pra Forny</t>
  </si>
  <si>
    <t>Aran</t>
  </si>
  <si>
    <t>46.50532487580781, 6.711358410148335</t>
  </si>
  <si>
    <t>Grandvaux, Chincuz</t>
  </si>
  <si>
    <t>46.51091658045317, 6.723214394267437</t>
  </si>
  <si>
    <t>46.49694824046734, 6.722650186115819</t>
  </si>
  <si>
    <t>Epesses, gare</t>
  </si>
  <si>
    <t>46.489473207494974, 6.7453954869973</t>
  </si>
  <si>
    <t>Riex, fontaine</t>
  </si>
  <si>
    <t>Riex</t>
  </si>
  <si>
    <t>46.49337184811767, 6.735719586613959</t>
  </si>
  <si>
    <t>Cully, Hôpital de Lavaux</t>
  </si>
  <si>
    <t>46.49049770874658, 6.724933236311269</t>
  </si>
  <si>
    <t>Epesses, village</t>
  </si>
  <si>
    <t>Epesses</t>
  </si>
  <si>
    <t>46.49183672972652, 6.746472329666485</t>
  </si>
  <si>
    <t>Epesses, Crêt-Dessus</t>
  </si>
  <si>
    <t>46.492297463624006, 6.743848340095784</t>
  </si>
  <si>
    <t>Grandvaux, Le Signal</t>
  </si>
  <si>
    <t>46.50474777361111, 6.715065039444638</t>
  </si>
  <si>
    <t>Grandvaux, Crêt-Mouton</t>
  </si>
  <si>
    <t>46.508812882029815, 6.717720734196449</t>
  </si>
  <si>
    <t>Grandvaux, gare</t>
  </si>
  <si>
    <t>46.496922441926756, 6.722334322962578</t>
  </si>
  <si>
    <t>Grandvaux, Le Bougnon</t>
  </si>
  <si>
    <t>46.494857348800956, 6.715874737132626</t>
  </si>
  <si>
    <t>Villette VD</t>
  </si>
  <si>
    <t>46.49542481880895, 6.707377298812546</t>
  </si>
  <si>
    <t>Riex, Mouniaz</t>
  </si>
  <si>
    <t>46.493659394118986, 6.734217895955771</t>
  </si>
  <si>
    <t>Grandvaux, gare sud</t>
  </si>
  <si>
    <t>46.49660605828709, 6.720671134369956</t>
  </si>
  <si>
    <t>46.48932879519122, 6.745166034120104</t>
  </si>
  <si>
    <t>46.48856179169186, 6.727151466849018</t>
  </si>
  <si>
    <t>Grandvaux, Chenaux</t>
  </si>
  <si>
    <t>Chenaux</t>
  </si>
  <si>
    <t>46.494278578796774, 6.7282049218068405</t>
  </si>
  <si>
    <t>Grandvaux, Genevrey</t>
  </si>
  <si>
    <t>46.49878159111072, 6.7161870350620445</t>
  </si>
  <si>
    <t>Cully, gare</t>
  </si>
  <si>
    <t>46.48854894759959, 6.726899599534595</t>
  </si>
  <si>
    <t>Bournens, école</t>
  </si>
  <si>
    <t>Bournens</t>
  </si>
  <si>
    <t>46.6037526076271, 6.5635047876114</t>
  </si>
  <si>
    <t>Bournens, Au Mont</t>
  </si>
  <si>
    <t>46.600955063513155, 6.56353709024505</t>
  </si>
  <si>
    <t>Boussens, village</t>
  </si>
  <si>
    <t>Boussens</t>
  </si>
  <si>
    <t>46.602817717750355, 6.58368568333111</t>
  </si>
  <si>
    <t>Boussens, Chevrine</t>
  </si>
  <si>
    <t>46.60720502796239, 6.58331595982913</t>
  </si>
  <si>
    <t>Bremblens, bas du village</t>
  </si>
  <si>
    <t>46.54492789593728, 6.51448040882846</t>
  </si>
  <si>
    <t>Bretigny-sur-Morrens, croisée</t>
  </si>
  <si>
    <t>Bretigny-sur-Morrens</t>
  </si>
  <si>
    <t>46.59810301012002, 6.646888256320964</t>
  </si>
  <si>
    <t>Bretonnières, rue de la Gare</t>
  </si>
  <si>
    <t>Bretonnières</t>
  </si>
  <si>
    <t>46.712276023470935, 6.474598433484571</t>
  </si>
  <si>
    <t>46.715055329929, 6.474732504265312</t>
  </si>
  <si>
    <t>Buchillon, Grands-Bois</t>
  </si>
  <si>
    <t>Buchillon</t>
  </si>
  <si>
    <t>46.472812200938215, 6.413162752627645</t>
  </si>
  <si>
    <t>Buchillon, collège</t>
  </si>
  <si>
    <t>46.47163751179448, 6.420511633791021</t>
  </si>
  <si>
    <t>Les Rasses, Grand-Hôtel</t>
  </si>
  <si>
    <t>Bullet</t>
  </si>
  <si>
    <t>Les Rasses</t>
  </si>
  <si>
    <t>46.82788725688412, 6.534498096697381</t>
  </si>
  <si>
    <t>Bullet, village</t>
  </si>
  <si>
    <t>46.83088037457349, 6.55466527487357</t>
  </si>
  <si>
    <t>Bullet, bif. Granges Champod</t>
  </si>
  <si>
    <t>46.84736104627469, 6.578749107628847</t>
  </si>
  <si>
    <t>Bullet, Les Cluds</t>
  </si>
  <si>
    <t>46.843938742459066, 6.561824847650254</t>
  </si>
  <si>
    <t>Bullet, bif. Les Cluds</t>
  </si>
  <si>
    <t>46.8377326415398, 6.565017101652887</t>
  </si>
  <si>
    <t>Les Rasses, village</t>
  </si>
  <si>
    <t>46.828987415989985, 6.538810010058542</t>
  </si>
  <si>
    <t>Bullet, Grande Salle</t>
  </si>
  <si>
    <t>46.828710841811116, 6.55063183917477</t>
  </si>
  <si>
    <t>Gilly-Bursinel</t>
  </si>
  <si>
    <t>Bursinel</t>
  </si>
  <si>
    <t>46.445068155021595, 6.30636325595947</t>
  </si>
  <si>
    <t>Bursinel, village</t>
  </si>
  <si>
    <t>46.43898507131791, 6.305372773118576</t>
  </si>
  <si>
    <t>Gilly-Bursinel, gare sud</t>
  </si>
  <si>
    <t>46.443544552948225, 6.306995259257782</t>
  </si>
  <si>
    <t>Bursinel, Château</t>
  </si>
  <si>
    <t>46.44092982720027, 6.307323191901461</t>
  </si>
  <si>
    <t>Bursins, village</t>
  </si>
  <si>
    <t>Bursins</t>
  </si>
  <si>
    <t>46.452299672331804, 6.2910361486991855</t>
  </si>
  <si>
    <t>Bursins, Bourdouzan</t>
  </si>
  <si>
    <t>46.45083415314107, 6.287578853374848</t>
  </si>
  <si>
    <t>Burtigny, village</t>
  </si>
  <si>
    <t>Burtigny</t>
  </si>
  <si>
    <t>46.4672399411349, 6.2574526566997655</t>
  </si>
  <si>
    <t>Burtigny, Le Battoir</t>
  </si>
  <si>
    <t>46.46500756670003, 6.260795365895952</t>
  </si>
  <si>
    <t>Burtigny, Les Oches</t>
  </si>
  <si>
    <t>46.47050423749145, 6.2555845093810705</t>
  </si>
  <si>
    <t>Archy (bif)</t>
  </si>
  <si>
    <t>46.5422333878847, 6.5587921121162704</t>
  </si>
  <si>
    <t>Bussigny, Tatironne</t>
  </si>
  <si>
    <t>46.55280336864576, 6.549542444415987</t>
  </si>
  <si>
    <t>Bussigny, Condémine</t>
  </si>
  <si>
    <t>46.55550268879043, 6.5607001333912685</t>
  </si>
  <si>
    <t>Bussigny, Sullens</t>
  </si>
  <si>
    <t>46.552753438746926, 6.561162094242082</t>
  </si>
  <si>
    <t>Bussigny, Croix de Plan</t>
  </si>
  <si>
    <t>46.548084343647645, 6.563480639591005</t>
  </si>
  <si>
    <t>Bussigny, Rente</t>
  </si>
  <si>
    <t>46.55709031605553, 6.5624218597455055</t>
  </si>
  <si>
    <t>Bussigny, Buyère</t>
  </si>
  <si>
    <t>46.549941530019495, 6.5635300990060195</t>
  </si>
  <si>
    <t>Bussigny, Reculan</t>
  </si>
  <si>
    <t>46.54216421401348, 6.5543596269747955</t>
  </si>
  <si>
    <t>Archy A (bif)</t>
  </si>
  <si>
    <t>46.5434935850315, 6.563771693221457</t>
  </si>
  <si>
    <t>Bussigny, Vallon</t>
  </si>
  <si>
    <t>46.54344851231627, 6.553659240767924</t>
  </si>
  <si>
    <t>Bussigny, St-Germain</t>
  </si>
  <si>
    <t>46.551090627275705, 6.545691105217682</t>
  </si>
  <si>
    <t>Bussigny, Jordil</t>
  </si>
  <si>
    <t>46.55219643885844, 6.547209258018465</t>
  </si>
  <si>
    <t>Bussigny, Colline</t>
  </si>
  <si>
    <t>46.557384986332444, 6.553475439721557</t>
  </si>
  <si>
    <t>46.547590367464494, 6.551826149226752</t>
  </si>
  <si>
    <t>Bussigny, gare sud</t>
  </si>
  <si>
    <t>46.54692594120441, 6.551951157483463</t>
  </si>
  <si>
    <t>Bussigny, gare</t>
  </si>
  <si>
    <t>46.5475027212628, 6.552289609905032</t>
  </si>
  <si>
    <t>Bussigny, Sauge</t>
  </si>
  <si>
    <t>46.55561953382395, 6.553734394699015</t>
  </si>
  <si>
    <t>Bussigny, Vieux-Four</t>
  </si>
  <si>
    <t>46.553659933781475, 6.557404770270198</t>
  </si>
  <si>
    <t>Bussigny-Scheuchzer (bif)</t>
  </si>
  <si>
    <t>46.54487664019374, 6.555569551049765</t>
  </si>
  <si>
    <t>Bussigny Est (bif)</t>
  </si>
  <si>
    <t>46.54495879880434, 6.558439131141427</t>
  </si>
  <si>
    <t>Bussigny, Sottelles</t>
  </si>
  <si>
    <t>46.55525688590014, 6.550610537611016</t>
  </si>
  <si>
    <t>Bussigny, Dallaz</t>
  </si>
  <si>
    <t>46.552318037424754, 6.551441247689841</t>
  </si>
  <si>
    <t>Bussigny, Riettaz</t>
  </si>
  <si>
    <t>46.55352218388739, 6.559363075708922</t>
  </si>
  <si>
    <t>Bussigny, Grand-Record</t>
  </si>
  <si>
    <t>46.55001888056769, 6.551935384515484</t>
  </si>
  <si>
    <t>Bussigny, Cocagne</t>
  </si>
  <si>
    <t>46.554728687762726, 6.561821168602274</t>
  </si>
  <si>
    <t>Bussigny, Bosquet</t>
  </si>
  <si>
    <t>46.545460350601964, 6.554565725446675</t>
  </si>
  <si>
    <t>Bussy-sur-Moudon, collège</t>
  </si>
  <si>
    <t>Bussy-sur-Moudon</t>
  </si>
  <si>
    <t>46.686613994744576, 6.811239628756275</t>
  </si>
  <si>
    <t>Bussy-sur-Moudon, La Cauderie</t>
  </si>
  <si>
    <t>46.69082374123718, 6.807935377943582</t>
  </si>
  <si>
    <t>Bussy-sur-Moudon, village</t>
  </si>
  <si>
    <t>46.68489436478712, 6.809351181891898</t>
  </si>
  <si>
    <t>Bussy-sur-Moudon,Foulaz-Verney</t>
  </si>
  <si>
    <t>46.68405666830593, 6.807530951900503</t>
  </si>
  <si>
    <t>Chamblon, village-hôpital</t>
  </si>
  <si>
    <t>Chamblon</t>
  </si>
  <si>
    <t>46.77866438171928, 6.606012976529116</t>
  </si>
  <si>
    <t>Chamblon, réservoir</t>
  </si>
  <si>
    <t>46.778116866121145, 6.601180040350855</t>
  </si>
  <si>
    <t>Chamblon, casernes</t>
  </si>
  <si>
    <t>46.777968738644645, 6.597990931220629</t>
  </si>
  <si>
    <t>Chamblon, La Meunière</t>
  </si>
  <si>
    <t>46.77712777264153, 6.6059785874588295</t>
  </si>
  <si>
    <t>Champagne, Le Moulin</t>
  </si>
  <si>
    <t>Champagne</t>
  </si>
  <si>
    <t>46.8266297784171, 6.660442265465451</t>
  </si>
  <si>
    <t>Champagne, Chèzeaux</t>
  </si>
  <si>
    <t>46.8311000104769, 6.656720006561959</t>
  </si>
  <si>
    <t>Champagne, collège</t>
  </si>
  <si>
    <t>46.83154354770385, 6.659427366769623</t>
  </si>
  <si>
    <t>Champtauroz, église</t>
  </si>
  <si>
    <t>Champtauroz</t>
  </si>
  <si>
    <t>46.76026449450373, 6.787604052613625</t>
  </si>
  <si>
    <t>La Gaité (Champtauroz)</t>
  </si>
  <si>
    <t>46.757597689334546, 6.780633488446678</t>
  </si>
  <si>
    <t>Champvent, Croix fédérale</t>
  </si>
  <si>
    <t>Champvent</t>
  </si>
  <si>
    <t>46.78285361453897, 6.572658530067841</t>
  </si>
  <si>
    <t>Essert-sous-Ch., bif. gare</t>
  </si>
  <si>
    <t>Essert-sous-Champvent</t>
  </si>
  <si>
    <t>46.79267027513069, 6.579449793575529</t>
  </si>
  <si>
    <t>Essert-sous-Champvent, gare</t>
  </si>
  <si>
    <t>(Bus) hors service [zu löschen]</t>
  </si>
  <si>
    <t>46.7951496482146, 6.579711469750071</t>
  </si>
  <si>
    <t>Champvent, village</t>
  </si>
  <si>
    <t>46.78371479677669, 6.574823469814778</t>
  </si>
  <si>
    <t>Champvent, Le Battoir</t>
  </si>
  <si>
    <t>46.78265805484526, 6.568509263901435</t>
  </si>
  <si>
    <t>Essert-sous-Champvent, village</t>
  </si>
  <si>
    <t>46.79282272197204, 6.58370431432517</t>
  </si>
  <si>
    <t>46.79535565452993, 6.5801564221418465</t>
  </si>
  <si>
    <t>Villars-sous-Champvent</t>
  </si>
  <si>
    <t>46.786433581676334, 6.583204751412106</t>
  </si>
  <si>
    <t>La Baume, chemin des Roches</t>
  </si>
  <si>
    <t>Montreux-Vevey-Riviera (vcp)</t>
  </si>
  <si>
    <t>Chardonne</t>
  </si>
  <si>
    <t>ch:1:sboid:100126</t>
  </si>
  <si>
    <t>46.47901628462446, 6.836019911583143</t>
  </si>
  <si>
    <t>Mont-Pèlerin, funi</t>
  </si>
  <si>
    <t>Le Mont-Pèlerin</t>
  </si>
  <si>
    <t>46.482204757248496, 6.831699881708842</t>
  </si>
  <si>
    <t>Chardonne, funi</t>
  </si>
  <si>
    <t>46.47688564615531, 6.832905472212347</t>
  </si>
  <si>
    <t>Mont-Pèlerin</t>
  </si>
  <si>
    <t>CABLE_RAILWAY</t>
  </si>
  <si>
    <t>SBA.61.050.9</t>
  </si>
  <si>
    <t>46.481889292537396, 6.831586218203728</t>
  </si>
  <si>
    <t>Corseaux, Gonelles</t>
  </si>
  <si>
    <t>46.47128001723722, 6.812530544565111</t>
  </si>
  <si>
    <t>La Baume</t>
  </si>
  <si>
    <t>SBA.61.050.5</t>
  </si>
  <si>
    <t>46.479015174901996, 6.832438869737848</t>
  </si>
  <si>
    <t>Beau-Site</t>
  </si>
  <si>
    <t>SBA.61.050.3</t>
  </si>
  <si>
    <t>46.47384789690553, 6.8351269861969985</t>
  </si>
  <si>
    <t>Chardonne-Jongny</t>
  </si>
  <si>
    <t>SBA.61.050.4</t>
  </si>
  <si>
    <t>46.47701241615621, 6.833060310677547</t>
  </si>
  <si>
    <t>Chardonne, rte de Châtel</t>
  </si>
  <si>
    <t>46.47713321177095, 6.837160749921604</t>
  </si>
  <si>
    <t>L'Etivaz, Devant-de-l'Etivaz</t>
  </si>
  <si>
    <t>Château-d'Oex</t>
  </si>
  <si>
    <t>L'Etivaz</t>
  </si>
  <si>
    <t>46.434052772044694, 7.127330642577882</t>
  </si>
  <si>
    <t>L'Etivaz, Bains-de-l'Etivaz</t>
  </si>
  <si>
    <t>46.42531138619178, 7.134835046715854</t>
  </si>
  <si>
    <t>L'Etivaz, Les Vieux Bains</t>
  </si>
  <si>
    <t>46.42596647696509, 7.140997620804385</t>
  </si>
  <si>
    <t>Montreux-Oberland Bernois</t>
  </si>
  <si>
    <t>ch:1:sboid:100045</t>
  </si>
  <si>
    <t>46.47475772503844, 7.132098927359337</t>
  </si>
  <si>
    <t>Les Moulins, Pont-de-Pierre</t>
  </si>
  <si>
    <t>Les Moulins</t>
  </si>
  <si>
    <t>46.464637094824546, 7.1141621232534735</t>
  </si>
  <si>
    <t>Pra-Perron</t>
  </si>
  <si>
    <t>Château-d'Oex-La Braye</t>
  </si>
  <si>
    <t>CABLE_CAR</t>
  </si>
  <si>
    <t>ch:1:sboid:100189</t>
  </si>
  <si>
    <t>SBA.71.012.9  Anlagen sind seit mehreren Jahren ausser Betrieb aber nicht zurückgebaut. Eine Übernahme der Anlagen mit anschliessender Wiederaufnahme des Betriebs beider Anlagen ist derzeit im Gang. Wann der Betrieb wieder aufgenommen werden kann, ist jedoch noch nicht klar. Wird der Betrieb bis 31. Dezember 2024 nicht wiederaufgenommen, werden wir den Rückbau dieser beiden Seilbahnanlagen verfügen.</t>
  </si>
  <si>
    <t>46.46165642058336, 7.142545280794608</t>
  </si>
  <si>
    <t>L'Etivaz, Le Bouraz</t>
  </si>
  <si>
    <t>46.43222472502282, 7.133221912599838</t>
  </si>
  <si>
    <t>La Lécherette, village</t>
  </si>
  <si>
    <t>La Lécherette</t>
  </si>
  <si>
    <t>bis 2018: La Lécherette, poste</t>
  </si>
  <si>
    <t>46.42022166986607, 7.106702171924018</t>
  </si>
  <si>
    <t>Château-d'Oex, Granges d'Oex</t>
  </si>
  <si>
    <t>46.463422097269564, 7.123503317621698</t>
  </si>
  <si>
    <t>Les Moulins, Les Crêts</t>
  </si>
  <si>
    <t>46.45769440394718, 7.114854651685578</t>
  </si>
  <si>
    <t>L'Etivaz, four à pain</t>
  </si>
  <si>
    <t>46.437364681270545, 7.124618136594453</t>
  </si>
  <si>
    <t>Les Combes</t>
  </si>
  <si>
    <t>Flendruz</t>
  </si>
  <si>
    <t>46.477470000670024, 7.1718299957100795</t>
  </si>
  <si>
    <t>Château-d'Oex, Le Petit-Pré</t>
  </si>
  <si>
    <t>46.471326651084915, 7.125787753047292</t>
  </si>
  <si>
    <t>Château-d'Oex La Palaz, gare</t>
  </si>
  <si>
    <t>46.475899165544305, 7.143534893384292</t>
  </si>
  <si>
    <t>Les Granges-Gérignoz, gare</t>
  </si>
  <si>
    <t>46.473672648787584, 7.155825327878392</t>
  </si>
  <si>
    <t>Château-d'Oex (téléphérique)</t>
  </si>
  <si>
    <t>SBA.71.012.1  Anlagen sind seit mehreren Jahren ausser Betrieb aber nicht zurückgebaut. Eine Übernahme der Anlagen mit anschliessender Wiederaufnahme des Betriebs beider Anlagen ist derzeit im Gang. Wann der Betrieb wieder aufgenommen werden kann, ist jedoch noch nicht klar. Wird der Betrieb bis 31. Dezember 2024 nicht wiederaufgenommen, werden wir den Rückbau dieser beiden Seilbahnanlagen verfügen.</t>
  </si>
  <si>
    <t>46.47452463957224, 7.1340373375254815</t>
  </si>
  <si>
    <t>Château-d'Oex, gare</t>
  </si>
  <si>
    <t>46.47448426356586, 7.132409985838166</t>
  </si>
  <si>
    <t>Château-d'Oex La Palaz</t>
  </si>
  <si>
    <t>46.475899946402855, 7.143834371407269</t>
  </si>
  <si>
    <t>Les Moulins, village</t>
  </si>
  <si>
    <t>46.4607461523642, 7.106309997108878</t>
  </si>
  <si>
    <t>Les Moulins, La Rosettaz</t>
  </si>
  <si>
    <t>46.45852215312176, 7.12125396112683</t>
  </si>
  <si>
    <t>L'Etivaz, Maison de L'Etivaz</t>
  </si>
  <si>
    <t>46.42385437761792, 7.145158954590578</t>
  </si>
  <si>
    <t>Les Granges-Gérignoz</t>
  </si>
  <si>
    <t>46.47416521951939, 7.154950370976045</t>
  </si>
  <si>
    <t>Les Moulins, Les Chabloz</t>
  </si>
  <si>
    <t>46.45575034755749, 7.117664773610451</t>
  </si>
  <si>
    <t>La Lécherette,cont.de la Borne</t>
  </si>
  <si>
    <t>46.4270325912136, 7.1132950711141385</t>
  </si>
  <si>
    <t>La Montagnette (La Braye)</t>
  </si>
  <si>
    <t>SBA.73.073.9  Anlagen sind seit mehreren Jahren ausser Betrieb aber nicht zurückgebaut. Eine Übernahme der Anlagen mit anschliessender Wiederaufnahme des Betriebs beider Anlagen ist derzeit im Gang. Wann der Betrieb wieder aufgenommen werden kann, ist jedoch noch nicht klar. Wird der Betrieb bis 31. Dezember 2024 nicht wiederaufgenommen, werden wir den Rückbau dieser beiden Seilbahnanlagen verfügen.</t>
  </si>
  <si>
    <t>46.44785658377916, 7.1458224204655325</t>
  </si>
  <si>
    <t>Les Combes, gare</t>
  </si>
  <si>
    <t>46.4775441947169, 7.172042671202223</t>
  </si>
  <si>
    <t>Pra-Perron (2ème sect.)</t>
  </si>
  <si>
    <t>SBA.73.073.1 reiner Betriebspunkt, VP=8501372  Anlagen sind seit mehreren Jahren ausser Betrieb aber nicht zurückgebaut. Eine Übernahme der Anlagen mit anschliessender Wiederaufnahme des Betriebs beider Anlagen ist derzeit im Gang. Wann der Betrieb wieder aufgenommen werden kann, ist jedoch noch nicht klar. Wird der Betrieb bis 31. Dezember 2024 nicht wiederaufgenommen, werden wir den Rückbau dieser beiden Seilbahnanlagen verfügen.</t>
  </si>
  <si>
    <t>46.461584081191425, 7.142402484575175</t>
  </si>
  <si>
    <t>Chavannes-de-Bogis, poste</t>
  </si>
  <si>
    <t>Chavannes-de-Bogis</t>
  </si>
  <si>
    <t>46.34727130512804, 6.164301358121526</t>
  </si>
  <si>
    <t>Chavannes-de-Bogis, douane</t>
  </si>
  <si>
    <t>46.34558508764741, 6.153007514393238</t>
  </si>
  <si>
    <t>Chavannes-de-Bogis,La Sallivaz</t>
  </si>
  <si>
    <t>46.34304026599855, 6.1587365067886966</t>
  </si>
  <si>
    <t>Chavannes-de-Bogis, village</t>
  </si>
  <si>
    <t>46.34357097929476, 6.162130083134939</t>
  </si>
  <si>
    <t>Chavannes-de-B., centre comm.</t>
  </si>
  <si>
    <t>(Bus) fermé le 08.12.2012, réouverture possible</t>
  </si>
  <si>
    <t>46.334038316640495, 6.156119806560918</t>
  </si>
  <si>
    <t>Chavannes-des-Bois</t>
  </si>
  <si>
    <t>46.31474322398248, 6.132814912372972</t>
  </si>
  <si>
    <t>Chavannes-le-Chêne, Hôtel</t>
  </si>
  <si>
    <t>Chavannes-le-Chêne</t>
  </si>
  <si>
    <t>46.776707097602944, 6.777951117279361</t>
  </si>
  <si>
    <t>Chavannes-le-Veyron, St-Denis</t>
  </si>
  <si>
    <t>Chavannes-le-Veyron</t>
  </si>
  <si>
    <t>46.60727826259263, 6.458693637370935</t>
  </si>
  <si>
    <t>Chavannes-le-Veyron, croisée</t>
  </si>
  <si>
    <t>46.60933267204505, 6.450070248407399</t>
  </si>
  <si>
    <t>Chavannes-R., Cèdres</t>
  </si>
  <si>
    <t>46.53015536077546, 6.5729082905317595</t>
  </si>
  <si>
    <t>Chavannes-R., Préfaully</t>
  </si>
  <si>
    <t>46.53358495932188, 6.579097384192819</t>
  </si>
  <si>
    <t>Chavannes-R., Glycines</t>
  </si>
  <si>
    <t>46.536282678931194, 6.576577599853879</t>
  </si>
  <si>
    <t>Chavannes-R., Plaine</t>
  </si>
  <si>
    <t>46.52856596753229, 6.5723485052124655</t>
  </si>
  <si>
    <t>Chavannes-R., Plaine/collège</t>
  </si>
  <si>
    <t>46.52612352930865, 6.571339873536613</t>
  </si>
  <si>
    <t>Chavannes-R., Hôtel de Ville</t>
  </si>
  <si>
    <t>46.53310418593937, 6.577405100964074</t>
  </si>
  <si>
    <t>Chavannes-R., Concorde</t>
  </si>
  <si>
    <t>46.5323431904716, 6.574320159721632</t>
  </si>
  <si>
    <t>Ecublens VD, Cerisaie</t>
  </si>
  <si>
    <t>BUS|METRO</t>
  </si>
  <si>
    <t>46.52774965708211, 6.566547049552765</t>
  </si>
  <si>
    <t>Chavannes-R., Talluchet</t>
  </si>
  <si>
    <t>46.52865446727222, 6.583447296605436</t>
  </si>
  <si>
    <t>Chavannes-R., UNIL-Chamberonne</t>
  </si>
  <si>
    <t>METRO</t>
  </si>
  <si>
    <t>46.52421736051204, 6.584707286509311</t>
  </si>
  <si>
    <t>Chavannes-R., Dorigny</t>
  </si>
  <si>
    <t>46.52675707132441, 6.583914420551607</t>
  </si>
  <si>
    <t>Chavannes-R., Planta</t>
  </si>
  <si>
    <t>46.5341955280614, 6.573026073100299</t>
  </si>
  <si>
    <t>Chavannes-R., Berges</t>
  </si>
  <si>
    <t>46.527490230863265, 6.574971260323647</t>
  </si>
  <si>
    <t>Chavannes-R., Crochy</t>
  </si>
  <si>
    <t>46.53271482596744, 6.569973444786963</t>
  </si>
  <si>
    <t>Chavannes-R., UNIL-Mouline</t>
  </si>
  <si>
    <t>46.524992115589, 6.578895151801527</t>
  </si>
  <si>
    <t>Renens VD, gare/Epenex</t>
  </si>
  <si>
    <t>46.5372726013495, 6.577800091677204</t>
  </si>
  <si>
    <t>Chavannes-R., Blancherie</t>
  </si>
  <si>
    <t>46.53184300115742, 6.578897365363326</t>
  </si>
  <si>
    <t>Chavannes-R., Mouline</t>
  </si>
  <si>
    <t>46.52617402195309, 6.579345568474897</t>
  </si>
  <si>
    <t>Chavannes-sur-Moudon, La Puçaz</t>
  </si>
  <si>
    <t>Chavannes-sur-Moudon</t>
  </si>
  <si>
    <t>46.66075537875841, 6.821888813862646</t>
  </si>
  <si>
    <t>Chavannes-sur-Moudon, village</t>
  </si>
  <si>
    <t>46.65754413646474, 6.808808193217393</t>
  </si>
  <si>
    <t>Chavannes-sur-Moudon, Burinaux</t>
  </si>
  <si>
    <t>46.666984045746105, 6.829226732117346</t>
  </si>
  <si>
    <t>Chavannes-sur-Moudon, La Croix</t>
  </si>
  <si>
    <t>46.65112429739561, 6.801306331410796</t>
  </si>
  <si>
    <t>Essert-Pittet</t>
  </si>
  <si>
    <t>Chavornay</t>
  </si>
  <si>
    <t>46.72767332068426, 6.580655818453199</t>
  </si>
  <si>
    <t>Chavornay-Industrie</t>
  </si>
  <si>
    <t>46.71332956913597, 6.559448846228569</t>
  </si>
  <si>
    <t>Essert-Pittet, gare</t>
  </si>
  <si>
    <t>46.727652544247235, 6.580853446134709</t>
  </si>
  <si>
    <t>Chavornay, gare</t>
  </si>
  <si>
    <t>46.710129333411096, 6.567949622401504</t>
  </si>
  <si>
    <t>Chavornay, route de Corcelles</t>
  </si>
  <si>
    <t>46.70727768041499, 6.576234560228073</t>
  </si>
  <si>
    <t>Corcelles-sur-Chav., village</t>
  </si>
  <si>
    <t>Corcelles-sur-Chavornay</t>
  </si>
  <si>
    <t>46.70415062040496, 6.600803524727558</t>
  </si>
  <si>
    <t>Corcelles-sur-Chav., Longeraie</t>
  </si>
  <si>
    <t>46.703528725923675, 6.6055469159996365</t>
  </si>
  <si>
    <t>Chavornay Sud (bif)</t>
  </si>
  <si>
    <t>46.70884617310625, 6.567864586909136</t>
  </si>
  <si>
    <t>Corcelles-sur-Chav., Tuilerie</t>
  </si>
  <si>
    <t>46.69792503272467, 6.618041925326509</t>
  </si>
  <si>
    <t>46.71008452939175, 6.568163247022746</t>
  </si>
  <si>
    <t>Corcelles-sur-Chav., rte Chav.</t>
  </si>
  <si>
    <t>46.703085108207034, 6.599041694658889</t>
  </si>
  <si>
    <t>Chêne-Pâquier, anc. poste</t>
  </si>
  <si>
    <t>Chêne-Pâquier</t>
  </si>
  <si>
    <t>46.77048289169374, 6.768849684838176</t>
  </si>
  <si>
    <t>Chêne-Pâquier, La Cure</t>
  </si>
  <si>
    <t>46.77087871202045, 6.764275418255633</t>
  </si>
  <si>
    <t>Chêne-Pâquier, En Braye</t>
  </si>
  <si>
    <t>46.76543966254719, 6.778678603458855</t>
  </si>
  <si>
    <t>Cheseaux-N., gymnase d'Yverdon</t>
  </si>
  <si>
    <t>Cheseaux-Noréaz</t>
  </si>
  <si>
    <t>46.780334676829334, 6.668000021151687</t>
  </si>
  <si>
    <t>Cheseaux-Noréaz, Le Pré</t>
  </si>
  <si>
    <t>46.78297523963167, 6.67356126196118</t>
  </si>
  <si>
    <t>Cheseaux</t>
  </si>
  <si>
    <t>46.584349999896595, 6.605959999906374</t>
  </si>
  <si>
    <t>Les Ripes, gare</t>
  </si>
  <si>
    <t>46.591027636090324, 6.6070370560087035</t>
  </si>
  <si>
    <t>Cheseaux-sur-L., Martheray</t>
  </si>
  <si>
    <t>46.58162409364906, 6.597094448476301</t>
  </si>
  <si>
    <t>Cheseaux-sur-L., Pâquis</t>
  </si>
  <si>
    <t>46.58686420689887, 6.603784870454417</t>
  </si>
  <si>
    <t>Cheseaux-sur-L., Châtelard</t>
  </si>
  <si>
    <t>46.57809776024438, 6.592270104907647</t>
  </si>
  <si>
    <t>Cheseaux-sur-L., gare</t>
  </si>
  <si>
    <t>46.58416618069625, 6.605118309508782</t>
  </si>
  <si>
    <t>Chéserex, Au Courtillet</t>
  </si>
  <si>
    <t>Chéserex</t>
  </si>
  <si>
    <t>46.399330722475746, 6.173118757968279</t>
  </si>
  <si>
    <t>Chéserex, A l'Oche</t>
  </si>
  <si>
    <t>46.40036443929461, 6.175393252072154</t>
  </si>
  <si>
    <t>Chéserex, poste</t>
  </si>
  <si>
    <t>46.40033875960403, 6.171553540352913</t>
  </si>
  <si>
    <t>Chessel, village</t>
  </si>
  <si>
    <t>Chessel</t>
  </si>
  <si>
    <t>bis 2018: Chessel, poste</t>
  </si>
  <si>
    <t>46.349722641900115, 6.893565312042277</t>
  </si>
  <si>
    <t>Chessel, Grand-Bois</t>
  </si>
  <si>
    <t>46.355662095070485, 6.899650949807908</t>
  </si>
  <si>
    <t>Chevilly, Fontaines</t>
  </si>
  <si>
    <t>Chevilly</t>
  </si>
  <si>
    <t>46.642379510122694, 6.478485002905539</t>
  </si>
  <si>
    <t>Chevroux</t>
  </si>
  <si>
    <t>46.89973593112839, 6.8966518513747825</t>
  </si>
  <si>
    <t>Chevroux, La Motte</t>
  </si>
  <si>
    <t>46.88810554206082, 6.910244632542726</t>
  </si>
  <si>
    <t>Chevroux, port</t>
  </si>
  <si>
    <t>46.890890255573815, 6.903616986340332</t>
  </si>
  <si>
    <t>Chevroux, village</t>
  </si>
  <si>
    <t>46.888166007047815, 6.905835365916997</t>
  </si>
  <si>
    <t>Chevroux, Eglise</t>
  </si>
  <si>
    <t>46.887667239055496, 6.906903113617769</t>
  </si>
  <si>
    <t>Chexbres, Les Pergolas</t>
  </si>
  <si>
    <t>Chexbres</t>
  </si>
  <si>
    <t>46.484489907278906, 6.774006732933673</t>
  </si>
  <si>
    <t>Chexbres-Village</t>
  </si>
  <si>
    <t>46.48105723603592, 6.778537790555145</t>
  </si>
  <si>
    <t>Chexbres-Village, gare</t>
  </si>
  <si>
    <t>46.481171356698965, 6.778787746989401</t>
  </si>
  <si>
    <t>Chexbres, poste</t>
  </si>
  <si>
    <t>46.48198540430548, 6.77645975500724</t>
  </si>
  <si>
    <t>Chigny, village</t>
  </si>
  <si>
    <t>Chigny</t>
  </si>
  <si>
    <t>46.52006930389871, 6.476772356482542</t>
  </si>
  <si>
    <t>46.51601999349658, 6.472250001212633</t>
  </si>
  <si>
    <t>Clarmont, village</t>
  </si>
  <si>
    <t>Clarmont</t>
  </si>
  <si>
    <t>46.54689147354841, 6.4499572751531495</t>
  </si>
  <si>
    <t>Coinsins, Les Vettanes</t>
  </si>
  <si>
    <t>Coinsins</t>
  </si>
  <si>
    <t>46.427785533817, 6.243337565671632</t>
  </si>
  <si>
    <t>Coinsins, Auberge</t>
  </si>
  <si>
    <t>46.424290521211326, 6.235283425181369</t>
  </si>
  <si>
    <t>Commugny, Monthoux</t>
  </si>
  <si>
    <t>Commugny</t>
  </si>
  <si>
    <t>46.322375388536194, 6.173419799261759</t>
  </si>
  <si>
    <t>Commugny, Pins/centre comm.</t>
  </si>
  <si>
    <t>46.33025252954004, 6.15707945668391</t>
  </si>
  <si>
    <t>Commugny, centre</t>
  </si>
  <si>
    <t>46.31793445804558, 6.175341178795124</t>
  </si>
  <si>
    <t>Concise</t>
  </si>
  <si>
    <t>46.85088154377158, 6.723157409168141</t>
  </si>
  <si>
    <t>Concise, Les Biolles</t>
  </si>
  <si>
    <t>46.873493584921654, 6.7288412389032235</t>
  </si>
  <si>
    <t>Concise, Camp de Vaumarcus</t>
  </si>
  <si>
    <t>46.869666263786904, 6.7516887437467465</t>
  </si>
  <si>
    <t>Concise (bateau)</t>
  </si>
  <si>
    <t>46.847606804747905, 6.720638006887824</t>
  </si>
  <si>
    <t>Concise, Prise-Gaulaz</t>
  </si>
  <si>
    <t>46.86244977544945, 6.729301961473859</t>
  </si>
  <si>
    <t>Concise, La Raisse</t>
  </si>
  <si>
    <t>46.8642627940679, 6.749187244187812</t>
  </si>
  <si>
    <t>La Lance (diag)</t>
  </si>
  <si>
    <t>46.859538709811005, 6.741350395801742</t>
  </si>
  <si>
    <t>Concise, Platet-Christine</t>
  </si>
  <si>
    <t>46.87083577166307, 6.731080036571241</t>
  </si>
  <si>
    <t>Concise, village</t>
  </si>
  <si>
    <t>46.85176654654877, 6.719818529548706</t>
  </si>
  <si>
    <t>Concise, haut du village</t>
  </si>
  <si>
    <t>46.85717390422557, 6.719969095736718</t>
  </si>
  <si>
    <t>Concise, Bas-du-Pavé</t>
  </si>
  <si>
    <t>46.85494678718092, 6.719146536507618</t>
  </si>
  <si>
    <t>Coppet (lac)</t>
  </si>
  <si>
    <t>Coppet</t>
  </si>
  <si>
    <t>46.3149895466107, 6.1928957433092116</t>
  </si>
  <si>
    <t>Coppet, Les Rojalets</t>
  </si>
  <si>
    <t>46.3225760070007, 6.188218945596087</t>
  </si>
  <si>
    <t>Coppet, route du Jura</t>
  </si>
  <si>
    <t>46.32558509767003, 6.186559929142336</t>
  </si>
  <si>
    <t>Coppet, gare</t>
  </si>
  <si>
    <t>46.31719843299809, 6.188159309527355</t>
  </si>
  <si>
    <t>Coppet, chemin des Rannaux</t>
  </si>
  <si>
    <t>46.32654693868448, 6.183694977533398</t>
  </si>
  <si>
    <t>Coppet, Les Marais</t>
  </si>
  <si>
    <t>46.328830864755524, 6.179276227942977</t>
  </si>
  <si>
    <t>46.31739357074577, 6.187827380950365</t>
  </si>
  <si>
    <t>Coppet, route de Tannay</t>
  </si>
  <si>
    <t>46.31458357245246, 6.184503698809015</t>
  </si>
  <si>
    <t>Corbeyrier, Café de Luan</t>
  </si>
  <si>
    <t>Corbeyrier</t>
  </si>
  <si>
    <t>46.35995545137497, 6.977438290049358</t>
  </si>
  <si>
    <t>Corbeyrier, Luan</t>
  </si>
  <si>
    <t>46.35789011331809, 6.973947818906307</t>
  </si>
  <si>
    <t>Corbeyrier, place Champillon</t>
  </si>
  <si>
    <t>46.341587330458445, 6.956201901224377</t>
  </si>
  <si>
    <t>Corbeyrier, En Saconnex</t>
  </si>
  <si>
    <t>46.34512365183934, 6.962795193879262</t>
  </si>
  <si>
    <t>Corbeyrier, Vers la Doey</t>
  </si>
  <si>
    <t>46.35190859287402, 6.96116364683682</t>
  </si>
  <si>
    <t>Corbeyrier, Vers-la-Crête</t>
  </si>
  <si>
    <t>46.34653309220635, 6.962107331587967</t>
  </si>
  <si>
    <t>Corbeyrier, poste</t>
  </si>
  <si>
    <t>46.34857725187912, 6.960478521266446</t>
  </si>
  <si>
    <t>Corbeyrier, Vers-Cort</t>
  </si>
  <si>
    <t>46.343000232734354, 6.960566700291549</t>
  </si>
  <si>
    <t>Corcelles-le-Jorat, Le Torel</t>
  </si>
  <si>
    <t>Corcelles-le-Jorat</t>
  </si>
  <si>
    <t>46.60210248060606, 6.742473748126652</t>
  </si>
  <si>
    <t>Corcelles-le-Jorat, village</t>
  </si>
  <si>
    <t>46.60644628188937, 6.742274125111316</t>
  </si>
  <si>
    <t>Corcelles-le-Jt, Champ-la-Dame</t>
  </si>
  <si>
    <t>46.61183316323615, 6.743470852238135</t>
  </si>
  <si>
    <t>Corcelles-près-Concise,village</t>
  </si>
  <si>
    <t>Corcelles-près-Concise</t>
  </si>
  <si>
    <t>46.84722011032607, 6.7093247534799225</t>
  </si>
  <si>
    <t>Corcelles-Nord, gare</t>
  </si>
  <si>
    <t>Corcelles-près-Payerne</t>
  </si>
  <si>
    <t>46.83525603623571, 6.961021083246317</t>
  </si>
  <si>
    <t>Bossy Bois (embr)</t>
  </si>
  <si>
    <t>46.82833754061834, 6.960459573091767</t>
  </si>
  <si>
    <t>Corcelles-Sud</t>
  </si>
  <si>
    <t>46.828847373303596, 6.957192176936627</t>
  </si>
  <si>
    <t>Corcelles-Nord</t>
  </si>
  <si>
    <t>46.835262111706534, 6.96029447415191</t>
  </si>
  <si>
    <t>Corcelles-Sud, gare</t>
  </si>
  <si>
    <t>46.82918909444342, 6.956791381069689</t>
  </si>
  <si>
    <t>Corseaux, collège</t>
  </si>
  <si>
    <t>Corseaux</t>
  </si>
  <si>
    <t>46.47151196677767, 6.829082628250711</t>
  </si>
  <si>
    <t>Vevey, Corseaux Plage</t>
  </si>
  <si>
    <t>46.46807232963877, 6.833360948049361</t>
  </si>
  <si>
    <t>Corseaux, Félix-Cornu</t>
  </si>
  <si>
    <t>46.47223321247665, 6.820952776227541</t>
  </si>
  <si>
    <t>Corseaux-Cornalles</t>
  </si>
  <si>
    <t>46.47045139363703, 6.824780802917796</t>
  </si>
  <si>
    <t>Corseaux, salle de gym</t>
  </si>
  <si>
    <t>46.47126449287737, 6.829810263670987</t>
  </si>
  <si>
    <t>Beau-Site, route de Châtel</t>
  </si>
  <si>
    <t>46.47363268870595, 6.838644981622461</t>
  </si>
  <si>
    <t>Corseaux, Châno</t>
  </si>
  <si>
    <t>46.470933871549995, 6.816944406718527</t>
  </si>
  <si>
    <t>Corseaux, Chatacombe</t>
  </si>
  <si>
    <t>46.47191764730552, 6.817532033757591</t>
  </si>
  <si>
    <t>Corseaux, village</t>
  </si>
  <si>
    <t>46.47186436419722, 6.83261016257068</t>
  </si>
  <si>
    <t>Corseaux, Grand-Pin</t>
  </si>
  <si>
    <t>46.47173469230099, 6.8260014068229955</t>
  </si>
  <si>
    <t>Corseaux, Délassement</t>
  </si>
  <si>
    <t>46.47111600795157, 6.840311569323383</t>
  </si>
  <si>
    <t>Corseaux, Cerisiers</t>
  </si>
  <si>
    <t>46.4704480286521, 6.826559202465233</t>
  </si>
  <si>
    <t>Corseaux, Maraîche</t>
  </si>
  <si>
    <t>46.47111161078802, 6.822478947438901</t>
  </si>
  <si>
    <t>SBA.61.050.2</t>
  </si>
  <si>
    <t>46.47166514688936, 6.835737254519253</t>
  </si>
  <si>
    <t>Corsier-sur-Vevey, village</t>
  </si>
  <si>
    <t>Corsier-sur-Vevey</t>
  </si>
  <si>
    <t>46.470330268717106, 6.841677008568165</t>
  </si>
  <si>
    <t>Monts-de-Corsier, Mur-Blanc</t>
  </si>
  <si>
    <t>Les Monts-de-Corsier</t>
  </si>
  <si>
    <t>46.50958136386343, 6.890389269739497</t>
  </si>
  <si>
    <t>Fenil-sur-Corsier,zone indust.</t>
  </si>
  <si>
    <t>Fenil-sur-Corsier</t>
  </si>
  <si>
    <t>46.48358732583628, 6.866111184269344</t>
  </si>
  <si>
    <t>Fenil-sur-Corsier, Pont</t>
  </si>
  <si>
    <t>46.48186774061802, 6.862976063967459</t>
  </si>
  <si>
    <t>Corsier-sur-Vevey, Riant-Mont</t>
  </si>
  <si>
    <t>46.47195123020204, 6.847956232330187</t>
  </si>
  <si>
    <t>Corsier-sur-Vevey, Sous-Nant</t>
  </si>
  <si>
    <t>46.47771700702842, 6.852304078393001</t>
  </si>
  <si>
    <t>Corsier-sur-Vevey, Châtelard</t>
  </si>
  <si>
    <t>46.47036120352638, 6.845279252770474</t>
  </si>
  <si>
    <t>Monts-de-Corsier, Banderette</t>
  </si>
  <si>
    <t>46.50760184374109, 6.888442000389895</t>
  </si>
  <si>
    <t>Corsier-sur-Vevey, Nant</t>
  </si>
  <si>
    <t>46.47911733968555, 6.853585499009893</t>
  </si>
  <si>
    <t>Monts-de-Corsier, Dautère</t>
  </si>
  <si>
    <t>46.49837947194931, 6.875287815043782</t>
  </si>
  <si>
    <t>Vevey, Marronniers</t>
  </si>
  <si>
    <t>46.46814002231814, 6.840470549037384</t>
  </si>
  <si>
    <t>Corsier-sur-Vevey, Omballes</t>
  </si>
  <si>
    <t>46.4789806456856, 6.856738297261021</t>
  </si>
  <si>
    <t>Mts-de-Corsier, Petit Hautigny</t>
  </si>
  <si>
    <t>46.501325978619164, 6.878084033353893</t>
  </si>
  <si>
    <t>Corsier-sur-Vevey, Chaplin</t>
  </si>
  <si>
    <t>46.47598001652993, 6.8517005505039625</t>
  </si>
  <si>
    <t>Fenil-sur-Corsier, vieille rte</t>
  </si>
  <si>
    <t>46.48637071197206, 6.8697403780292925</t>
  </si>
  <si>
    <t>Corsier-sur-Vevey, Champ-Ban</t>
  </si>
  <si>
    <t>46.476980852807735, 6.8495462504625495</t>
  </si>
  <si>
    <t>Monts-de-Corsier, La Chaux</t>
  </si>
  <si>
    <t>46.48712529438118, 6.8603889159025595</t>
  </si>
  <si>
    <t>Vevey, av. de Corsier</t>
  </si>
  <si>
    <t>46.468634309896714, 6.8426844011524794</t>
  </si>
  <si>
    <t>Corsier-Vevey, Cure d'Attalens</t>
  </si>
  <si>
    <t>bis 2018: Corsier-sur-Vevey, Terreaux</t>
  </si>
  <si>
    <t>46.47316950507528, 6.846358315175234</t>
  </si>
  <si>
    <t>Monts-de-Corsier, Longpraz</t>
  </si>
  <si>
    <t>46.49401501301707, 6.870962086840033</t>
  </si>
  <si>
    <t>Monts-de-Corsier, L'Hautigny</t>
  </si>
  <si>
    <t>46.50393986859208, 6.88228085940281</t>
  </si>
  <si>
    <t>Cossonay-Ville, Chavannes</t>
  </si>
  <si>
    <t>Cossonay</t>
  </si>
  <si>
    <t>Cossonay-Ville</t>
  </si>
  <si>
    <t>46.61281866799968, 6.503124922374987</t>
  </si>
  <si>
    <t>Cossonay-Ville, centre</t>
  </si>
  <si>
    <t>46.612163453078686, 6.508057587649797</t>
  </si>
  <si>
    <t>Cossonay-Ville, Bicentenaire</t>
  </si>
  <si>
    <t>46.614635113166266, 6.502428241062667</t>
  </si>
  <si>
    <t>Cossonay-Ville, Tannaz</t>
  </si>
  <si>
    <t>46.616696035865715, 6.507620503387257</t>
  </si>
  <si>
    <t>Transports de la Région Morges-Bière-Cossonay</t>
  </si>
  <si>
    <t>ch:1:sboid:100301</t>
  </si>
  <si>
    <t>SBA.61.009.9</t>
  </si>
  <si>
    <t>46.61204442053583, 6.50989886636899</t>
  </si>
  <si>
    <t>Cossonay-Ville, Pré aux Moines</t>
  </si>
  <si>
    <t>46.60993848311549, 6.50759841925459</t>
  </si>
  <si>
    <t>Cossonay-Ville, La Condémine</t>
  </si>
  <si>
    <t>46.61007015179851, 6.502014853503527</t>
  </si>
  <si>
    <t>Cossonay-Ville, Champ-Vionnet</t>
  </si>
  <si>
    <t>46.618482985674554, 6.508425741588336</t>
  </si>
  <si>
    <t>Allens, village</t>
  </si>
  <si>
    <t>Allens</t>
  </si>
  <si>
    <t>46.599961849458545, 6.509985844607706</t>
  </si>
  <si>
    <t>Cossonay-Ville, Chien-Boeuf</t>
  </si>
  <si>
    <t>46.60680867930625, 6.507704617819958</t>
  </si>
  <si>
    <t>Crans VD</t>
  </si>
  <si>
    <t>Crans (VD)</t>
  </si>
  <si>
    <t>46.35874979020708, 6.212464218089284</t>
  </si>
  <si>
    <t>Crans VD, La Versoix</t>
  </si>
  <si>
    <t>46.35925212756032, 6.207566884019947</t>
  </si>
  <si>
    <t>Crans VD, Les Landes</t>
  </si>
  <si>
    <t>46.36397688917315, 6.220628201648693</t>
  </si>
  <si>
    <t>Crans VD, Châtillon</t>
  </si>
  <si>
    <t>46.356665825596515, 6.203051734270513</t>
  </si>
  <si>
    <t>Crans VD, Port</t>
  </si>
  <si>
    <t>46.3588977034515, 6.215622987510578</t>
  </si>
  <si>
    <t>Crans VD, village</t>
  </si>
  <si>
    <t>46.3586427745384, 6.20545879672217</t>
  </si>
  <si>
    <t>Crassier, collège secondaire</t>
  </si>
  <si>
    <t>Crassier</t>
  </si>
  <si>
    <t>46.377335681734166, 6.170406740823139</t>
  </si>
  <si>
    <t>Crassier, Ancienne Gare</t>
  </si>
  <si>
    <t>46.37323176746382, 6.165968105964242</t>
  </si>
  <si>
    <t>Crassier, La Scie du Verger</t>
  </si>
  <si>
    <t>46.38000508064098, 6.158672327044095</t>
  </si>
  <si>
    <t>Crassier, Ferme du Château</t>
  </si>
  <si>
    <t>46.37498689810889, 6.162040389306367</t>
  </si>
  <si>
    <t>Crassier, Levrioux</t>
  </si>
  <si>
    <t>46.36974656217973, 6.1680644579202495</t>
  </si>
  <si>
    <t>Crissier, Noutes</t>
  </si>
  <si>
    <t>46.543510447911466, 6.57946101889275</t>
  </si>
  <si>
    <t>Crissier, Jura</t>
  </si>
  <si>
    <t>46.54200600858459, 6.57326601256219</t>
  </si>
  <si>
    <t>Crissier, Marcolet</t>
  </si>
  <si>
    <t>46.54693011105802, 6.5748691516720985</t>
  </si>
  <si>
    <t>Crissier, Timonet</t>
  </si>
  <si>
    <t>46.55576439024944, 6.573697672784948</t>
  </si>
  <si>
    <t>Villars-Ste-Croix, Croix-Péage</t>
  </si>
  <si>
    <t>46.56116238724293, 6.565512027157921</t>
  </si>
  <si>
    <t>Crissier, Place Centrale</t>
  </si>
  <si>
    <t>46.549898210222295, 6.579545872776358</t>
  </si>
  <si>
    <t>Renens VD, Industrie</t>
  </si>
  <si>
    <t>46.54105665033478, 6.580934140731431</t>
  </si>
  <si>
    <t>Crissier, Montremoën</t>
  </si>
  <si>
    <t>46.56198389968361, 6.577667313985899</t>
  </si>
  <si>
    <t>Crissier, Closalet</t>
  </si>
  <si>
    <t>46.55349076186171, 6.5695350771606105</t>
  </si>
  <si>
    <t>Crissier, Chicorée</t>
  </si>
  <si>
    <t>46.54074803580157, 6.579656406134062</t>
  </si>
  <si>
    <t>Crissier, Arc-en-Ciel</t>
  </si>
  <si>
    <t>46.545373148196305, 6.567722919241004</t>
  </si>
  <si>
    <t>Crissier, Vernie</t>
  </si>
  <si>
    <t>46.543763856567885, 6.570587349233487</t>
  </si>
  <si>
    <t>Crissier, scierie</t>
  </si>
  <si>
    <t>46.546811235500165, 6.579356377964512</t>
  </si>
  <si>
    <t>Crissier, Feleire</t>
  </si>
  <si>
    <t>46.551524765181256, 6.570695327818856</t>
  </si>
  <si>
    <t>Crissier, Chisaz</t>
  </si>
  <si>
    <t>46.550400556925574, 6.576965204581539</t>
  </si>
  <si>
    <t>Crissier, Mongevon</t>
  </si>
  <si>
    <t>46.54840366824516, 6.573450408130734</t>
  </si>
  <si>
    <t>Crissier, Lentillières</t>
  </si>
  <si>
    <t>arrêt Taxibus 958 Crissier</t>
  </si>
  <si>
    <t>46.550834363273545, 6.5724987044342695</t>
  </si>
  <si>
    <t>Crissier, bourg</t>
  </si>
  <si>
    <t>46.553540755525795, 6.577140175339357</t>
  </si>
  <si>
    <t>Crissier, Ley-Outre</t>
  </si>
  <si>
    <t>46.548371718398435, 6.5851709100948765</t>
  </si>
  <si>
    <t>Cronay, Le Crêt</t>
  </si>
  <si>
    <t>Cronay</t>
  </si>
  <si>
    <t>46.7557082783772, 6.691598910782016</t>
  </si>
  <si>
    <t>Cronay, village</t>
  </si>
  <si>
    <t>46.75518935518597, 6.696161071292389</t>
  </si>
  <si>
    <t>Cronay, Moulin du Pont</t>
  </si>
  <si>
    <t>46.74619405682088, 6.705969359394639</t>
  </si>
  <si>
    <t>Cronay, église</t>
  </si>
  <si>
    <t>46.757818237958055, 6.697865715182386</t>
  </si>
  <si>
    <t>Croy, anc. Battoir</t>
  </si>
  <si>
    <t>Croy</t>
  </si>
  <si>
    <t>46.69418912190379, 6.472175224446469</t>
  </si>
  <si>
    <t>Croy, En Fochau</t>
  </si>
  <si>
    <t>46.696796606019745, 6.4805227305433695</t>
  </si>
  <si>
    <t>Croy, collège</t>
  </si>
  <si>
    <t>46.694315504608014, 6.476474497671153</t>
  </si>
  <si>
    <t>Cuarnens, Le Pont</t>
  </si>
  <si>
    <t>Cuarnens</t>
  </si>
  <si>
    <t>46.62442719315645, 6.438273315347191</t>
  </si>
  <si>
    <t>Cuarny, église</t>
  </si>
  <si>
    <t>Cuarny</t>
  </si>
  <si>
    <t>46.77002731805498, 6.688506630224559</t>
  </si>
  <si>
    <t>Yvonand, La Grand'Moille</t>
  </si>
  <si>
    <t>46.78066703448999, 6.70612836484112</t>
  </si>
  <si>
    <t>Cudrefin, camping</t>
  </si>
  <si>
    <t>Cudrefin</t>
  </si>
  <si>
    <t>46.96006777584851, 7.028241848789287</t>
  </si>
  <si>
    <t>Montet (Vully), La Fenette</t>
  </si>
  <si>
    <t>46.945493774669345, 7.030297470184104</t>
  </si>
  <si>
    <t>Cudrefin, place de la Tour</t>
  </si>
  <si>
    <t>46.95529466539286, 7.019266210470071</t>
  </si>
  <si>
    <t>Montet (Vully), village</t>
  </si>
  <si>
    <t>46.9478650372715, 7.029320501584521</t>
  </si>
  <si>
    <t>Cudrefin, mini-golf</t>
  </si>
  <si>
    <t>(Bus) ohne Fahrplandaten 2016/2018</t>
  </si>
  <si>
    <t>46.95270729896949, 7.022623190456047</t>
  </si>
  <si>
    <t>Cudrefin, La Sauge</t>
  </si>
  <si>
    <t>46.97423584908239, 7.054259458844224</t>
  </si>
  <si>
    <t>Cudrefin, Vers-chez-Jacot</t>
  </si>
  <si>
    <t>46.95251394579915, 7.023872674394065</t>
  </si>
  <si>
    <t>46.959267362198254, 7.0139828633105035</t>
  </si>
  <si>
    <t>La Sauge (bateau)</t>
  </si>
  <si>
    <t>46.97574539454502, 7.054029758709886</t>
  </si>
  <si>
    <t>Champmartin</t>
  </si>
  <si>
    <t>46.94058737608919, 6.997776311112488</t>
  </si>
  <si>
    <t>Cudrefin, Le Moulin</t>
  </si>
  <si>
    <t>46.95142199327665, 7.020439395758781</t>
  </si>
  <si>
    <t>Cugy VD, Cavenette</t>
  </si>
  <si>
    <t>Cugy (VD)</t>
  </si>
  <si>
    <t>Cugy VD</t>
  </si>
  <si>
    <t>46.58011316841779, 6.635670992495257</t>
  </si>
  <si>
    <t>Cugy VD, Grillon</t>
  </si>
  <si>
    <t>46.58785526053463, 6.640279411590169</t>
  </si>
  <si>
    <t>Cugy VD, poste</t>
  </si>
  <si>
    <t>46.58371650582963, 6.638918429543164</t>
  </si>
  <si>
    <t>Cugy VD, village</t>
  </si>
  <si>
    <t>46.58546412299946, 6.640536584935372</t>
  </si>
  <si>
    <t>Cugy VD, Le Moulin</t>
  </si>
  <si>
    <t>46.58892398733085, 6.642586290421303</t>
  </si>
  <si>
    <t>Curtilles, village</t>
  </si>
  <si>
    <t>Curtilles</t>
  </si>
  <si>
    <t>46.69955393489173, 6.8489940739032775</t>
  </si>
  <si>
    <t>Daillens (bif)</t>
  </si>
  <si>
    <t>Daillens</t>
  </si>
  <si>
    <t>46.63749808706161, 6.5464284818957905</t>
  </si>
  <si>
    <t>Daillens, village</t>
  </si>
  <si>
    <t>46.620608806619856, 6.546975955707627</t>
  </si>
  <si>
    <t>46.632281307449375, 6.542478607885003</t>
  </si>
  <si>
    <t>Daillens, Les Montets</t>
  </si>
  <si>
    <t>46.622468571443946, 6.554727224559517</t>
  </si>
  <si>
    <t>Démoret, haut du village</t>
  </si>
  <si>
    <t>Démoret</t>
  </si>
  <si>
    <t>46.74528589280928, 6.755239290295907</t>
  </si>
  <si>
    <t>Démoret, La Rapas</t>
  </si>
  <si>
    <t>46.75343756526604, 6.755489153039477</t>
  </si>
  <si>
    <t>Démoret, bas du village</t>
  </si>
  <si>
    <t>46.74970220104165, 6.75814098924213</t>
  </si>
  <si>
    <t>Denens, village</t>
  </si>
  <si>
    <t>Denens</t>
  </si>
  <si>
    <t>46.518277685316235, 6.454103816287358</t>
  </si>
  <si>
    <t>Denens, Chatagny</t>
  </si>
  <si>
    <t>46.51589840820114, 6.450901894857909</t>
  </si>
  <si>
    <t>Denges-Echandens</t>
  </si>
  <si>
    <t>46.52912709914973, 6.5405054818833115</t>
  </si>
  <si>
    <t>Denges A (bif)</t>
  </si>
  <si>
    <t>46.529550788897076, 6.541811253692842</t>
  </si>
  <si>
    <t>Denges, Les Oches</t>
  </si>
  <si>
    <t>46.526150508363216, 6.541673441021341</t>
  </si>
  <si>
    <t>Denges, La Pale</t>
  </si>
  <si>
    <t>46.51888466987755, 6.5421939459666865</t>
  </si>
  <si>
    <t>Denges, Sur les Moulins</t>
  </si>
  <si>
    <t>46.51505497041188, 6.541823845185614</t>
  </si>
  <si>
    <t>Denges, village</t>
  </si>
  <si>
    <t>46.523262643711085, 6.540546492742329</t>
  </si>
  <si>
    <t>Lausanne-Triage A/B</t>
  </si>
  <si>
    <t>46.529796960020974, 6.543969678575492</t>
  </si>
  <si>
    <t>Lausanne-Triage Sud</t>
  </si>
  <si>
    <t>46.524982489956976, 6.533994250118594</t>
  </si>
  <si>
    <t>Denges B (bif)</t>
  </si>
  <si>
    <t>46.530768493496005, 6.544341699580195</t>
  </si>
  <si>
    <t>Lausanne-Triage B</t>
  </si>
  <si>
    <t>46.52806713793835, 6.5393117530816</t>
  </si>
  <si>
    <t>Denges, Pierraz-Mur</t>
  </si>
  <si>
    <t>46.51515483860664, 6.536609135496726</t>
  </si>
  <si>
    <t>Lausanne-Triage</t>
  </si>
  <si>
    <t>46.52715465323297, 6.539296851724069</t>
  </si>
  <si>
    <t>Dizy, village</t>
  </si>
  <si>
    <t>Dizy</t>
  </si>
  <si>
    <t>46.63520474125588, 6.494023792074492</t>
  </si>
  <si>
    <t>Dompierre VD, village</t>
  </si>
  <si>
    <t>Dompierre (VD)</t>
  </si>
  <si>
    <t>Dompierre VD</t>
  </si>
  <si>
    <t>46.70817304947872, 6.883201459454632</t>
  </si>
  <si>
    <t>Les Granges-de-Dompierre</t>
  </si>
  <si>
    <t>46.71321458389978, 6.873254112849007</t>
  </si>
  <si>
    <t>Mézery-près-Donneloye, village</t>
  </si>
  <si>
    <t>Donneloye</t>
  </si>
  <si>
    <t>Mézery-près-Donneloye</t>
  </si>
  <si>
    <t>46.74900087230752, 6.727276729894382</t>
  </si>
  <si>
    <t>Donneloye, poste</t>
  </si>
  <si>
    <t>46.74460917062086, 6.7155701493545665</t>
  </si>
  <si>
    <t>Gossens, village</t>
  </si>
  <si>
    <t>Gossens</t>
  </si>
  <si>
    <t>46.74069035219313, 6.700666162092589</t>
  </si>
  <si>
    <t>Prahins, village</t>
  </si>
  <si>
    <t>Prahins</t>
  </si>
  <si>
    <t>46.73422028131173, 6.740281085930969</t>
  </si>
  <si>
    <t>Donneloye, collège</t>
  </si>
  <si>
    <t>46.74532758170648, 6.716790631776714</t>
  </si>
  <si>
    <t>Gossens, La Cernia</t>
  </si>
  <si>
    <t>46.73518187959624, 6.69743139714554</t>
  </si>
  <si>
    <t>Prahins, Les Ivuez</t>
  </si>
  <si>
    <t>46.73605254466595, 6.73834701637369</t>
  </si>
  <si>
    <t>Donneloye, croisée</t>
  </si>
  <si>
    <t>46.74295301356608, 6.714008996918938</t>
  </si>
  <si>
    <t>Donneloye, En Jon</t>
  </si>
  <si>
    <t>46.75109387735106, 6.721058480097804</t>
  </si>
  <si>
    <t>Duillier, croisée de Trélex</t>
  </si>
  <si>
    <t>Duillier</t>
  </si>
  <si>
    <t>46.413481249371856, 6.227289785942561</t>
  </si>
  <si>
    <t>Changins</t>
  </si>
  <si>
    <t>46.40029246647125, 6.234918995748448</t>
  </si>
  <si>
    <t>Duillier, centre communal</t>
  </si>
  <si>
    <t>46.41124744433322, 6.2337911534501576</t>
  </si>
  <si>
    <t>Dully, St-Bonnet</t>
  </si>
  <si>
    <t>Dully</t>
  </si>
  <si>
    <t>46.43616646002076, 6.300617053022863</t>
  </si>
  <si>
    <t>Dully, Bourg d'Amont</t>
  </si>
  <si>
    <t>46.43253233636428, 6.297089132773319</t>
  </si>
  <si>
    <t>Dully, Sous-Dully</t>
  </si>
  <si>
    <t>46.43061776460038, 6.299939945093656</t>
  </si>
  <si>
    <t>Luins, Le Vernay</t>
  </si>
  <si>
    <t>46.4378691045532, 6.290144738347161</t>
  </si>
  <si>
    <t>Echallens</t>
  </si>
  <si>
    <t>46.63950999622753, 6.632540001869276</t>
  </si>
  <si>
    <t>Sur Roche</t>
  </si>
  <si>
    <t>46.64045000112851, 6.638920006041292</t>
  </si>
  <si>
    <t>Echallens, La Robellaz</t>
  </si>
  <si>
    <t>46.64071968850282, 6.642109155489073</t>
  </si>
  <si>
    <t>Echallens, Château</t>
  </si>
  <si>
    <t>46.64090621998286, 6.631565890188947</t>
  </si>
  <si>
    <t>Echallens, Les Coulisses</t>
  </si>
  <si>
    <t>46.64307574028791, 6.627980591146583</t>
  </si>
  <si>
    <t>Echallens, place Emile Gardaz</t>
  </si>
  <si>
    <t>46.64040157135935, 6.637803649659371</t>
  </si>
  <si>
    <t>Echallens, La Fontaine</t>
  </si>
  <si>
    <t>46.64591443792981, 6.637565035098586</t>
  </si>
  <si>
    <t>Echallens, Les Trois-Sapins</t>
  </si>
  <si>
    <t>46.638939880046046, 6.646171246339338</t>
  </si>
  <si>
    <t>Echallens, collège/parc</t>
  </si>
  <si>
    <t>46.63891063042364, 6.648431203292007</t>
  </si>
  <si>
    <t>Grésaley</t>
  </si>
  <si>
    <t>46.64325270497102, 6.642170166817398</t>
  </si>
  <si>
    <t>Echallens, route de Cossonay</t>
  </si>
  <si>
    <t>46.640377182079185, 6.626754210206442</t>
  </si>
  <si>
    <t>Echallens, gare</t>
  </si>
  <si>
    <t>46.639671388223675, 6.632498641727357</t>
  </si>
  <si>
    <t>Lausanne-Triage D</t>
  </si>
  <si>
    <t>46.532430304201235, 6.547626259415407</t>
  </si>
  <si>
    <t>Echandens, Riaz</t>
  </si>
  <si>
    <t>46.53655557014461, 6.5421365870369925</t>
  </si>
  <si>
    <t>Lausanne-Triage C</t>
  </si>
  <si>
    <t>46.53083669813202, 6.545076576506979</t>
  </si>
  <si>
    <t>Lécheires (bif)</t>
  </si>
  <si>
    <t>46.534787136450376, 6.550877729312099</t>
  </si>
  <si>
    <t>Echandens, centre</t>
  </si>
  <si>
    <t>46.53460388271976, 6.541055667696309</t>
  </si>
  <si>
    <t>Echandens, poste</t>
  </si>
  <si>
    <t>46.53016188019689, 6.5410133548770375</t>
  </si>
  <si>
    <t>Echandens, Chocolatière</t>
  </si>
  <si>
    <t>46.536458649945345, 6.546836255088227</t>
  </si>
  <si>
    <t>Echandens, collège</t>
  </si>
  <si>
    <t>46.532337632853505, 6.541003781958677</t>
  </si>
  <si>
    <t>Monnaz, village</t>
  </si>
  <si>
    <t>Echichens</t>
  </si>
  <si>
    <t>Monnaz</t>
  </si>
  <si>
    <t>46.52843737393678, 6.479216477134322</t>
  </si>
  <si>
    <t>Morges, hôpital</t>
  </si>
  <si>
    <t>46.52351247312148, 6.500028748004946</t>
  </si>
  <si>
    <t>Echichens, église</t>
  </si>
  <si>
    <t>46.52615414233437, 6.498851059340792</t>
  </si>
  <si>
    <t>Echichens, Crêt</t>
  </si>
  <si>
    <t>46.52448893255061, 6.503807162647537</t>
  </si>
  <si>
    <t>Colombier VD, poste</t>
  </si>
  <si>
    <t>Colombier VD</t>
  </si>
  <si>
    <t>46.5562151478072, 6.474041597982321</t>
  </si>
  <si>
    <t>Echichens, Haute-Pierre</t>
  </si>
  <si>
    <t>46.53245072350949, 6.493042968238295</t>
  </si>
  <si>
    <t>St-Saphorin-sur-Morges, Pavé</t>
  </si>
  <si>
    <t>St-Saphorin-sur-Morges</t>
  </si>
  <si>
    <t>46.542405350730384, 6.48736935361023</t>
  </si>
  <si>
    <t>Colombier, collège</t>
  </si>
  <si>
    <t>46.554373924486754, 6.4761599541540145</t>
  </si>
  <si>
    <t>Monnaz, Trésy</t>
  </si>
  <si>
    <t>46.526597620126466, 6.483786911741941</t>
  </si>
  <si>
    <t>Echichens, Gravelines</t>
  </si>
  <si>
    <t>46.52338754923426, 6.507000017005947</t>
  </si>
  <si>
    <t>Echichens, village</t>
  </si>
  <si>
    <t>46.5271374504116, 6.500028409034803</t>
  </si>
  <si>
    <t>Echichens, Signal</t>
  </si>
  <si>
    <t>46.52328887230147, 6.490664229139261</t>
  </si>
  <si>
    <t>Colombier VD, En Plan</t>
  </si>
  <si>
    <t>46.54988080484822, 6.479620053954225</t>
  </si>
  <si>
    <t>St-Saphorin-sur-Morges,village</t>
  </si>
  <si>
    <t>46.546028827727504, 6.486923977868825</t>
  </si>
  <si>
    <t>Echichens, croisée</t>
  </si>
  <si>
    <t>46.52487175859582, 6.491921458315526</t>
  </si>
  <si>
    <t>Eclépens Ciment (embr)</t>
  </si>
  <si>
    <t>Eclépens</t>
  </si>
  <si>
    <t>(Zug) Güterverkehr</t>
  </si>
  <si>
    <t>46.656093392696, 6.548623365156384</t>
  </si>
  <si>
    <t>Eclépens Nord (bif)</t>
  </si>
  <si>
    <t>46.65877754616343, 6.551902226004031</t>
  </si>
  <si>
    <t>Eclépens sud</t>
  </si>
  <si>
    <t>46.64969998049801, 6.551540036244414</t>
  </si>
  <si>
    <t>Eclépens, gare</t>
  </si>
  <si>
    <t>46.65700315471225, 6.5522274660585005</t>
  </si>
  <si>
    <t>Eclépens, Cinq-Sous</t>
  </si>
  <si>
    <t>46.650254900262944, 6.538334009335422</t>
  </si>
  <si>
    <t>Eclépens, collège</t>
  </si>
  <si>
    <t>46.64977160148448, 6.5307259503112425</t>
  </si>
  <si>
    <t>46.65719065799183, 6.55242112332029</t>
  </si>
  <si>
    <t>Eclépens, village</t>
  </si>
  <si>
    <t>46.65224857590384, 6.526608191415507</t>
  </si>
  <si>
    <t>Lausanne-Triage Nord</t>
  </si>
  <si>
    <t>Ecublens (VD)</t>
  </si>
  <si>
    <t>Ecublens VD</t>
  </si>
  <si>
    <t>46.539027386822916, 6.556026017750899</t>
  </si>
  <si>
    <t>Ecublens VD, Bassenges</t>
  </si>
  <si>
    <t>46.52458595072872, 6.564590945898884</t>
  </si>
  <si>
    <t>Ecublens VD, Pontet</t>
  </si>
  <si>
    <t>46.529787723269564, 6.566018848936407</t>
  </si>
  <si>
    <t>Ecublens VD, En Enjalin</t>
  </si>
  <si>
    <t>46.52421295028538, 6.557076749150455</t>
  </si>
  <si>
    <t>Ecublens VD, Croset</t>
  </si>
  <si>
    <t>46.534693325010544, 6.5663698259327</t>
  </si>
  <si>
    <t>Ecublens VD, Cocarde</t>
  </si>
  <si>
    <t>46.52796337046594, 6.560430551250507</t>
  </si>
  <si>
    <t>Ecublens VD, allée de Dorigny</t>
  </si>
  <si>
    <t>46.52048334409465, 6.582237988040274</t>
  </si>
  <si>
    <t>Ecublens VD, place de sport</t>
  </si>
  <si>
    <t>46.53525853775227, 6.563831724149807</t>
  </si>
  <si>
    <t>Ecublens VD, Motty</t>
  </si>
  <si>
    <t>46.5258760961862, 6.561572328940204</t>
  </si>
  <si>
    <t>Ecublens VD, Perrettes</t>
  </si>
  <si>
    <t>46.526202783430136, 6.558451948926345</t>
  </si>
  <si>
    <t>Ecublens VD, Champs-Courbes</t>
  </si>
  <si>
    <t>46.51634077012093, 6.5500899435567765</t>
  </si>
  <si>
    <t>Ecublens VD, Veilloud</t>
  </si>
  <si>
    <t>46.531260368072424, 6.564496046668102</t>
  </si>
  <si>
    <t>Ecublens VD, Champagne</t>
  </si>
  <si>
    <t>46.518318732216414, 6.573000171902802</t>
  </si>
  <si>
    <t>Ecublens VD, Argand</t>
  </si>
  <si>
    <t>46.52033261039717, 6.571866617930086</t>
  </si>
  <si>
    <t>Ecublens VD, Larges Pièces</t>
  </si>
  <si>
    <t>46.53201307349758, 6.55530863460505</t>
  </si>
  <si>
    <t>Renens VD Larges Pièces (embr)</t>
  </si>
  <si>
    <t>46.540099003957714, 6.574469891961416</t>
  </si>
  <si>
    <t>Ecublens VD, EPFL (bus)</t>
  </si>
  <si>
    <t>46.52205759919677, 6.5668734666299855</t>
  </si>
  <si>
    <t>Ecublens VD, EPFL Piccard</t>
  </si>
  <si>
    <t>46.52030385872919, 6.568460757780506</t>
  </si>
  <si>
    <t>Ecublens VD, Montaney</t>
  </si>
  <si>
    <t>46.518817810631525, 6.552785960860003</t>
  </si>
  <si>
    <t>Ecublens VD, Blévallaire</t>
  </si>
  <si>
    <t>46.51956566383704, 6.577290114771214</t>
  </si>
  <si>
    <t>Ecublens VD, Parc</t>
  </si>
  <si>
    <t>46.53697338602492, 6.568066864709049</t>
  </si>
  <si>
    <t>Ecublens VD, Ormet</t>
  </si>
  <si>
    <t>46.52360615079551, 6.55887219087143</t>
  </si>
  <si>
    <t>Ecublens VD, Suchet-Forêt</t>
  </si>
  <si>
    <t>46.5398711689048, 6.570549376007095</t>
  </si>
  <si>
    <t>Ecublens VD, Stand</t>
  </si>
  <si>
    <t>46.532756154471464, 6.562477441880304</t>
  </si>
  <si>
    <t>Ecublens VD, Renges</t>
  </si>
  <si>
    <t>46.522530519245095, 6.554745225591768</t>
  </si>
  <si>
    <t>Ecublens VD, Coquerellaz</t>
  </si>
  <si>
    <t>46.52437218247561, 6.560833008549573</t>
  </si>
  <si>
    <t>Ecublens VD, Ruchoz</t>
  </si>
  <si>
    <t>46.51651648346558, 6.559488451608793</t>
  </si>
  <si>
    <t>Ecublens VD, Epenex/Pont-Bleu</t>
  </si>
  <si>
    <t>46.53848648991755, 6.575164829670477</t>
  </si>
  <si>
    <t>Renens VD Ouest (bif)</t>
  </si>
  <si>
    <t>46.54078829139081, 6.57208700736796</t>
  </si>
  <si>
    <t>Lausanne-Triage Est</t>
  </si>
  <si>
    <t>46.53568330389942, 6.5534742705801134</t>
  </si>
  <si>
    <t>Ecublens VD, Villars</t>
  </si>
  <si>
    <t>46.529525056425555, 6.5611220806208825</t>
  </si>
  <si>
    <t>Ecublens VD, Campus des médias</t>
  </si>
  <si>
    <t>46.517444589844395, 6.569747035484668</t>
  </si>
  <si>
    <t>Ecublens VD, EPFL</t>
  </si>
  <si>
    <t>46.52219591027445, 6.566141397820636</t>
  </si>
  <si>
    <t>Ecublens VD, Plantaz</t>
  </si>
  <si>
    <t>46.51941974894315, 6.557978780152063</t>
  </si>
  <si>
    <t>Ecublens VD, Dévent sud</t>
  </si>
  <si>
    <t>46.53304775377957, 6.55768521291109</t>
  </si>
  <si>
    <t>Ecublens VD, Dévent nord</t>
  </si>
  <si>
    <t>46.53507456413037, 6.557906482206134</t>
  </si>
  <si>
    <t>Ecublens VD, Bochet</t>
  </si>
  <si>
    <t>46.538679951452856, 6.570045659155006</t>
  </si>
  <si>
    <t>Ecublens VD, Epenex</t>
  </si>
  <si>
    <t>46.53771726160134, 6.57358238233915</t>
  </si>
  <si>
    <t>Ecublens VD, UNIL-Sorge</t>
  </si>
  <si>
    <t>46.52245077934366, 6.573579060234286</t>
  </si>
  <si>
    <t>Ecublens VD, Verney</t>
  </si>
  <si>
    <t>46.517730045903086, 6.548376784895287</t>
  </si>
  <si>
    <t>Ecublens VD, Crausaz</t>
  </si>
  <si>
    <t>46.525946579179134, 6.56421290351683</t>
  </si>
  <si>
    <t>Ecublens VD, Vignes</t>
  </si>
  <si>
    <t>46.53226746887394, 6.5604772520019505</t>
  </si>
  <si>
    <t>Ecublens VD, Pontet/collège</t>
  </si>
  <si>
    <t>46.53233215833035, 6.566428978225156</t>
  </si>
  <si>
    <t>Ecublens VD, EPFL/Colladon</t>
  </si>
  <si>
    <t>46.51807888513919, 6.563594528852189</t>
  </si>
  <si>
    <t>Ecublens VD, Renges/village</t>
  </si>
  <si>
    <t>46.52387397754137, 6.553318885476292</t>
  </si>
  <si>
    <t>Ecublens VD, Epenex/école</t>
  </si>
  <si>
    <t>46.53737589070687, 6.574170380282646</t>
  </si>
  <si>
    <t>St-Sulpice VD, Pré-Fleuri</t>
  </si>
  <si>
    <t>St-Sulpice VD</t>
  </si>
  <si>
    <t>46.515219158420535, 6.560615098540738</t>
  </si>
  <si>
    <t>Epalinges, Lion d'Or</t>
  </si>
  <si>
    <t>46.551906088260246, 6.680743825229965</t>
  </si>
  <si>
    <t>Epalinges, Ballègue</t>
  </si>
  <si>
    <t>46.55488205366598, 6.669860176634202</t>
  </si>
  <si>
    <t>Epalinges, Grand Chemin</t>
  </si>
  <si>
    <t>46.5544203492969, 6.684085558022591</t>
  </si>
  <si>
    <t>Epalinges, Bois-Murat</t>
  </si>
  <si>
    <t>46.54509166997288, 6.654441153648693</t>
  </si>
  <si>
    <t>Epalinges, Tuileries</t>
  </si>
  <si>
    <t>46.54449235561026, 6.657854751776475</t>
  </si>
  <si>
    <t>Epalinges, Planches</t>
  </si>
  <si>
    <t>46.544515152814654, 6.66669603038524</t>
  </si>
  <si>
    <t>Epalinges, Praz-Buchilly</t>
  </si>
  <si>
    <t>arrêt taxibus TL 10.959</t>
  </si>
  <si>
    <t>46.55693853698248, 6.674656083177061</t>
  </si>
  <si>
    <t>Epalinges, Bois-de-Ban</t>
  </si>
  <si>
    <t>46.554797169509364, 6.665463482163438</t>
  </si>
  <si>
    <t>Epalinges, Pré-d'Yverdon</t>
  </si>
  <si>
    <t>46.54388926409322, 6.672572015570449</t>
  </si>
  <si>
    <t>Epalinges, Polny</t>
  </si>
  <si>
    <t>46.55404291051967, 6.665516650952148</t>
  </si>
  <si>
    <t>Epalinges, Girarde</t>
  </si>
  <si>
    <t>46.54934228687424, 6.673494420842003</t>
  </si>
  <si>
    <t>Epalinges, En Praz Bin</t>
  </si>
  <si>
    <t>46.55072797296181, 6.671497074363182</t>
  </si>
  <si>
    <t>Epalinges, Sylvana</t>
  </si>
  <si>
    <t>46.54515963304386, 6.676153434026273</t>
  </si>
  <si>
    <t>Epalinges, Près-les-bois</t>
  </si>
  <si>
    <t>46.561413181244156, 6.667210963659548</t>
  </si>
  <si>
    <t>Epalinges, Vulliettaz</t>
  </si>
  <si>
    <t>46.55338209504274, 6.676884086501259</t>
  </si>
  <si>
    <t>Epalinges, Giziaux</t>
  </si>
  <si>
    <t>46.54864351096378, 6.674551724757158</t>
  </si>
  <si>
    <t>Epalinges, Croisettes</t>
  </si>
  <si>
    <t>46.54309598932941, 6.6615468275635985</t>
  </si>
  <si>
    <t>Epalinges, Vaugueny</t>
  </si>
  <si>
    <t>46.54467153275566, 6.658573403900704</t>
  </si>
  <si>
    <t>Epalinges, Fontannins</t>
  </si>
  <si>
    <t>46.55843551230472, 6.662642772240511</t>
  </si>
  <si>
    <t>Epalinges, Raidillon</t>
  </si>
  <si>
    <t>46.54143536001569, 6.671537750822488</t>
  </si>
  <si>
    <t>Epalinges, Biolleyre</t>
  </si>
  <si>
    <t>46.55246127636377, 6.6684080741726275</t>
  </si>
  <si>
    <t>Epalinges, Croix-Blanche</t>
  </si>
  <si>
    <t>46.54763831527976, 6.670902046721354</t>
  </si>
  <si>
    <t>Epalinges, Florimont</t>
  </si>
  <si>
    <t>46.548230239011126, 6.658905780578161</t>
  </si>
  <si>
    <t>Epalinges, Montéclard</t>
  </si>
  <si>
    <t>46.55136244890018, 6.662229547133998</t>
  </si>
  <si>
    <t>Ependes VD, gare</t>
  </si>
  <si>
    <t>Ependes (VD)</t>
  </si>
  <si>
    <t>Ependes VD</t>
  </si>
  <si>
    <t>46.746258159068105, 6.60781711571183</t>
  </si>
  <si>
    <t>46.74641611110667, 6.607661874433928</t>
  </si>
  <si>
    <t>Essertines-sur-Rolle, village</t>
  </si>
  <si>
    <t>Essertines-sur-Rolle</t>
  </si>
  <si>
    <t>46.4930040176818, 6.317502017082455</t>
  </si>
  <si>
    <t>Essertines-sur-Rolle,Le Pontet</t>
  </si>
  <si>
    <t>46.49351335414647, 6.322623882138789</t>
  </si>
  <si>
    <t>Epautheyres, croisée</t>
  </si>
  <si>
    <t>Essertines-sur-Yverdon</t>
  </si>
  <si>
    <t>Epautheyres</t>
  </si>
  <si>
    <t>46.73853956489778, 6.640517951250458</t>
  </si>
  <si>
    <t>Essertines-s.-Yv., Gde Salle</t>
  </si>
  <si>
    <t>46.71578252386513, 6.639612626541386</t>
  </si>
  <si>
    <t>Les Ripes</t>
  </si>
  <si>
    <t>46.592189996855815, 6.608060005143686</t>
  </si>
  <si>
    <t>Etagnières, village</t>
  </si>
  <si>
    <t>46.59970423851143, 6.612761445459371</t>
  </si>
  <si>
    <t>46.60267355931282, 6.614630041557357</t>
  </si>
  <si>
    <t>Etoy, L'Espérance</t>
  </si>
  <si>
    <t>Etoy</t>
  </si>
  <si>
    <t>46.491413054306946, 6.417677586673377</t>
  </si>
  <si>
    <t>Etoy, Bas du Rossé</t>
  </si>
  <si>
    <t>46.483310610592774, 6.416046223413866</t>
  </si>
  <si>
    <t>46.475172741371445, 6.427135355558961</t>
  </si>
  <si>
    <t>Etoy, village</t>
  </si>
  <si>
    <t>46.48625624424618, 6.41946808332506</t>
  </si>
  <si>
    <t>Etoy, Chenalette</t>
  </si>
  <si>
    <t>46.472413864674344, 6.426838321847372</t>
  </si>
  <si>
    <t>Etoy, En Folliar</t>
  </si>
  <si>
    <t>46.47928080702694, 6.414116869443878</t>
  </si>
  <si>
    <t>Etoy, Romanèche</t>
  </si>
  <si>
    <t>46.4893238397476, 6.419449368269466</t>
  </si>
  <si>
    <t>Etoy, gare</t>
  </si>
  <si>
    <t>46.47513314851492, 6.426097321776166</t>
  </si>
  <si>
    <t>Etoy, En Bellevue</t>
  </si>
  <si>
    <t>46.47511270890922, 6.412815472139842</t>
  </si>
  <si>
    <t>Etoy, Route Suisse</t>
  </si>
  <si>
    <t>46.47399935045185, 6.413057943870359</t>
  </si>
  <si>
    <t>Etoy, collège Les Communaux</t>
  </si>
  <si>
    <t>46.48268050286068, 6.423012743109878</t>
  </si>
  <si>
    <t>Etoy, Grosses-Terres</t>
  </si>
  <si>
    <t>46.47422169541191, 6.418757186235056</t>
  </si>
  <si>
    <t>Eysins, est</t>
  </si>
  <si>
    <t>Eysins</t>
  </si>
  <si>
    <t>46.383512955383736, 6.208081978187837</t>
  </si>
  <si>
    <t>Nyon, Terre-Bonne sud</t>
  </si>
  <si>
    <t>46.38252528368839, 6.213239427673624</t>
  </si>
  <si>
    <t>Eysins, Petit-Eysins</t>
  </si>
  <si>
    <t>46.38634322523353, 6.205261517483214</t>
  </si>
  <si>
    <t>Eysins, centre</t>
  </si>
  <si>
    <t>46.38096110324711, 6.205071968074001</t>
  </si>
  <si>
    <t>Eysins (embr)</t>
  </si>
  <si>
    <t>46.381398236944186, 6.204014872848077</t>
  </si>
  <si>
    <t>Nyon, Terre-Bonne</t>
  </si>
  <si>
    <t>Bus Nyon-Prangins</t>
  </si>
  <si>
    <t>ch:1:sboid:100543</t>
  </si>
  <si>
    <t>46.38351300250603, 6.2138931171088965</t>
  </si>
  <si>
    <t>Eysins, Terre-Bonne nord</t>
  </si>
  <si>
    <t>46.385296031157026, 6.2148798913031165</t>
  </si>
  <si>
    <t>Faoug, gare</t>
  </si>
  <si>
    <t>Faoug</t>
  </si>
  <si>
    <t>46.90816133817411, 7.074973254690983</t>
  </si>
  <si>
    <t>46.90831034781733, 7.074546229779951</t>
  </si>
  <si>
    <t>Faoug débarcadère</t>
  </si>
  <si>
    <t>46.910128057654184, 7.076882899569316</t>
  </si>
  <si>
    <t>Féchy, Cassivettes</t>
  </si>
  <si>
    <t>Féchy</t>
  </si>
  <si>
    <t>46.4856557378029, 6.367967940689</t>
  </si>
  <si>
    <t>Féchy, Auberge</t>
  </si>
  <si>
    <t>46.4795574453722, 6.37288106004726</t>
  </si>
  <si>
    <t>Perroy (bif)</t>
  </si>
  <si>
    <t>46.47437061051708, 6.374296951768587</t>
  </si>
  <si>
    <t>Féchy, En Burnens</t>
  </si>
  <si>
    <t>46.473873573467486, 6.380766888615741</t>
  </si>
  <si>
    <t>Ferreyres, La Tine</t>
  </si>
  <si>
    <t>Ferreyres</t>
  </si>
  <si>
    <t>46.65650886764678, 6.494663215645641</t>
  </si>
  <si>
    <t>Ferreyres, village</t>
  </si>
  <si>
    <t>46.6583466833464, 6.4858519194579385</t>
  </si>
  <si>
    <t>Fey, village</t>
  </si>
  <si>
    <t>Fey</t>
  </si>
  <si>
    <t>46.675202126900615, 6.6833399562964955</t>
  </si>
  <si>
    <t>46.67431999616349, 6.685080001272555</t>
  </si>
  <si>
    <t>Fiez, village</t>
  </si>
  <si>
    <t>Fiez</t>
  </si>
  <si>
    <t>46.827136002871484, 6.623435167714082</t>
  </si>
  <si>
    <t>Fiez, collège</t>
  </si>
  <si>
    <t>46.8288348102622, 6.621980739653849</t>
  </si>
  <si>
    <t>Fontaines-sur-Grandson,collège</t>
  </si>
  <si>
    <t>Fontaines-sur-Grandson</t>
  </si>
  <si>
    <t>46.83498610872211, 6.619213132055801</t>
  </si>
  <si>
    <t>Essertes, Le Pralet</t>
  </si>
  <si>
    <t>46.55863335686165, 6.7815710655586</t>
  </si>
  <si>
    <t>Forel (Lavaux), Le Plane</t>
  </si>
  <si>
    <t>46.529818139117744, 6.750991004730478</t>
  </si>
  <si>
    <t>Forel (Lavaux), La Tuilière</t>
  </si>
  <si>
    <t>46.516946289086164, 6.733627714587446</t>
  </si>
  <si>
    <t>Forel (Lavaux), Les Confréries</t>
  </si>
  <si>
    <t>46.5424908283942, 6.765561956670354</t>
  </si>
  <si>
    <t>Forel (Lavaux), Pra Pélisson</t>
  </si>
  <si>
    <t>46.542872017442846, 6.757082841227557</t>
  </si>
  <si>
    <t>Forel (Lavaux), Cornes de Cerf</t>
  </si>
  <si>
    <t>46.54156238521643, 6.769810601835107</t>
  </si>
  <si>
    <t>Forel (Lavaux), La Chesaude</t>
  </si>
  <si>
    <t>46.52062677481234, 6.738167026273656</t>
  </si>
  <si>
    <t>Forel (Lavaux), Casard</t>
  </si>
  <si>
    <t>46.55266249370113, 6.777340565383282</t>
  </si>
  <si>
    <t>Forel (Lavaux), La Chercotte</t>
  </si>
  <si>
    <t>46.522430727784204, 6.740398283819834</t>
  </si>
  <si>
    <t>Forel (Lavaux), Grand Champ</t>
  </si>
  <si>
    <t>46.53387089133474, 6.756218734130802</t>
  </si>
  <si>
    <t>Forel (Lavaux), rte Industrie</t>
  </si>
  <si>
    <t>46.530473138282005, 6.767861655503713</t>
  </si>
  <si>
    <t>Founex</t>
  </si>
  <si>
    <t>46.32878361239696, 6.194383368544965</t>
  </si>
  <si>
    <t>Chavannes-de-B., Champs-Blancs</t>
  </si>
  <si>
    <t>46.33787560436951, 6.166698240907564</t>
  </si>
  <si>
    <t>Founex, est</t>
  </si>
  <si>
    <t>46.33475991636679, 6.194952064423382</t>
  </si>
  <si>
    <t>Founex, ouest</t>
  </si>
  <si>
    <t>46.33007650298271, 6.191645103004551</t>
  </si>
  <si>
    <t>Founex, village</t>
  </si>
  <si>
    <t>46.33312286560996, 6.192734489303355</t>
  </si>
  <si>
    <t>Châtaigneriaz</t>
  </si>
  <si>
    <t>46.334714409249976, 6.17059928193812</t>
  </si>
  <si>
    <t>Froideville, croisée</t>
  </si>
  <si>
    <t>Froideville</t>
  </si>
  <si>
    <t>46.60123052020449, 6.679380310839971</t>
  </si>
  <si>
    <t>Froideville, village</t>
  </si>
  <si>
    <t>46.59992289009296, 6.676214169799952</t>
  </si>
  <si>
    <t>Froideville, Laiterie</t>
  </si>
  <si>
    <t>46.601116048600495, 6.682449061532976</t>
  </si>
  <si>
    <t>Genolier, route de la Colonie</t>
  </si>
  <si>
    <t>Genolier</t>
  </si>
  <si>
    <t>46.43821158933179, 6.212349414109258</t>
  </si>
  <si>
    <t>46.43624999980792, 6.214570005306242</t>
  </si>
  <si>
    <t>Coinsins, Mimorey</t>
  </si>
  <si>
    <t>46.421566277604036, 6.223648499103398</t>
  </si>
  <si>
    <t>Genolier clinique/campus</t>
  </si>
  <si>
    <t>46.44634910256822, 6.216760017714058</t>
  </si>
  <si>
    <t>Genolier Sus-Châtel</t>
  </si>
  <si>
    <t>46.43848999896733, 6.205859997815138</t>
  </si>
  <si>
    <t>Genolier, village</t>
  </si>
  <si>
    <t>46.434797555612604, 6.217573149608113</t>
  </si>
  <si>
    <t>Genolier clinique/campus, gare</t>
  </si>
  <si>
    <t>46.44535908515479, 6.218177111685648</t>
  </si>
  <si>
    <t>Giez, place du Collège</t>
  </si>
  <si>
    <t>Giez</t>
  </si>
  <si>
    <t>46.81118519809026, 6.61825250291529</t>
  </si>
  <si>
    <t>Giez, La Pommelaz</t>
  </si>
  <si>
    <t>46.81009363318056, 6.622841906166087</t>
  </si>
  <si>
    <t>Giez, La Croix</t>
  </si>
  <si>
    <t>46.81188221389896, 6.612620734465058</t>
  </si>
  <si>
    <t>Gilly, village</t>
  </si>
  <si>
    <t>Gilly</t>
  </si>
  <si>
    <t>46.457678286382276, 6.296246448534148</t>
  </si>
  <si>
    <t>Gilly, Condémines</t>
  </si>
  <si>
    <t>46.454868594607994, 6.2968654775446575</t>
  </si>
  <si>
    <t>Tartegnin, La Vissenche</t>
  </si>
  <si>
    <t>46.463699977591276, 6.309112644443955</t>
  </si>
  <si>
    <t>Gilly, église</t>
  </si>
  <si>
    <t>46.459443503565694, 6.300010543227988</t>
  </si>
  <si>
    <t>Gimel, La Vernette</t>
  </si>
  <si>
    <t>Gimel</t>
  </si>
  <si>
    <t>46.510013091049345, 6.307194161575354</t>
  </si>
  <si>
    <t>Gimel, En Péry-Béliaux</t>
  </si>
  <si>
    <t>46.5080642609779, 6.294973705682457</t>
  </si>
  <si>
    <t>Gimel, Sapin Siméon</t>
  </si>
  <si>
    <t>46.54182838723199, 6.254610153506299</t>
  </si>
  <si>
    <t>Gimel, Le Prunier</t>
  </si>
  <si>
    <t>46.509166478329675, 6.3188869667513385</t>
  </si>
  <si>
    <t>Gimel, place de L'Union</t>
  </si>
  <si>
    <t>46.50872110627056, 6.307546943517867</t>
  </si>
  <si>
    <t>Gimel, Le Signal</t>
  </si>
  <si>
    <t>46.50791048201564, 6.302052227974232</t>
  </si>
  <si>
    <t>Gimel, bas du village</t>
  </si>
  <si>
    <t>46.50815930092894, 6.311663141886974</t>
  </si>
  <si>
    <t>Le Marchairuz, col</t>
  </si>
  <si>
    <t>46.552510409665985, 6.250594279055715</t>
  </si>
  <si>
    <t>Gimel, Côte Réviol</t>
  </si>
  <si>
    <t>46.51082809711351, 6.2827315642708434</t>
  </si>
  <si>
    <t>La Dôle</t>
  </si>
  <si>
    <t>Télésiège Les Dappes - La Dôle</t>
  </si>
  <si>
    <t>Gingins</t>
  </si>
  <si>
    <t>ch:1:sboid:101006</t>
  </si>
  <si>
    <t>SBA.73.194.9</t>
  </si>
  <si>
    <t>46.42590310376747, 6.099195803365229</t>
  </si>
  <si>
    <t>Gingins, ouest</t>
  </si>
  <si>
    <t>46.40746564453239, 6.176505467093504</t>
  </si>
  <si>
    <t>Gingins, poste</t>
  </si>
  <si>
    <t>46.407715843467905, 6.1787757251019295</t>
  </si>
  <si>
    <t>Les Dappes</t>
  </si>
  <si>
    <t>SBA.73.194.1</t>
  </si>
  <si>
    <t>46.438422681466896, 6.082957272308044</t>
  </si>
  <si>
    <t>Givrins</t>
  </si>
  <si>
    <t>46.428849995357496, 6.205220004914785</t>
  </si>
  <si>
    <t>Givrins, gare</t>
  </si>
  <si>
    <t>46.42892760331932, 6.204947869148998</t>
  </si>
  <si>
    <t>Gland, La Falaise</t>
  </si>
  <si>
    <t>Gland</t>
  </si>
  <si>
    <t>46.419307190955884, 6.283760723176317</t>
  </si>
  <si>
    <t>Gland, UICN</t>
  </si>
  <si>
    <t>46.41611169933903, 6.278313470296841</t>
  </si>
  <si>
    <t>Gland, Malagny</t>
  </si>
  <si>
    <t>ohne Fahrplandaten, von PAG benötigt</t>
  </si>
  <si>
    <t>46.41472714383453, 6.274896101435281</t>
  </si>
  <si>
    <t>Gland, Golf Impérial</t>
  </si>
  <si>
    <t>46.40755423072443, 6.2755183666720695</t>
  </si>
  <si>
    <t>Gland, Lignière</t>
  </si>
  <si>
    <t>46.42594514570279, 6.288029688150738</t>
  </si>
  <si>
    <t>Gland, Domaine Impérial</t>
  </si>
  <si>
    <t>46.40982020539464, 6.272807886957344</t>
  </si>
  <si>
    <t>Gland, rue du Midi</t>
  </si>
  <si>
    <t>46.41785094053995, 6.271589910866187</t>
  </si>
  <si>
    <t>Gland, Mont Blanc sud</t>
  </si>
  <si>
    <t>46.41587506899651, 6.271918647714758</t>
  </si>
  <si>
    <t>Gland Ouest</t>
  </si>
  <si>
    <t>46.416843373699905, 6.265688728881072</t>
  </si>
  <si>
    <t>Gland Ballastière</t>
  </si>
  <si>
    <t>46.418657243327104, 6.260661866290118</t>
  </si>
  <si>
    <t>Gland, Perron/Riant-Coteau</t>
  </si>
  <si>
    <t>46.42051772599873, 6.282486052163911</t>
  </si>
  <si>
    <t>Gland, Lavasson</t>
  </si>
  <si>
    <t>46.42452216858492, 6.27283885335092</t>
  </si>
  <si>
    <t>Gland, Mont-Blanc/Dôle</t>
  </si>
  <si>
    <t>46.421569812669034, 6.262338241003474</t>
  </si>
  <si>
    <t>Gland, Grand'Rue</t>
  </si>
  <si>
    <t>46.42411722047806, 6.265562912381215</t>
  </si>
  <si>
    <t>Gland, Perron/Fleurs</t>
  </si>
  <si>
    <t>46.420030565613, 6.277956345839493</t>
  </si>
  <si>
    <t>Gland, Sous-les-Vignes</t>
  </si>
  <si>
    <t>46.425263187395956, 6.271495265266265</t>
  </si>
  <si>
    <t>Gland, Riant-Coteau</t>
  </si>
  <si>
    <t>46.41906112357091, 6.282569172856548</t>
  </si>
  <si>
    <t>Gland, Lignière-Dullive</t>
  </si>
  <si>
    <t>46.42429655506752, 6.290471536540363</t>
  </si>
  <si>
    <t>Gland, gare nord</t>
  </si>
  <si>
    <t>46.420090352725744, 6.268900854447777</t>
  </si>
  <si>
    <t>Gland, poste</t>
  </si>
  <si>
    <t>46.42067240168577, 6.266026289362791</t>
  </si>
  <si>
    <t>Gland, Borgeaud</t>
  </si>
  <si>
    <t>46.42405489285853, 6.262531465299805</t>
  </si>
  <si>
    <t>Gland, Mauverney</t>
  </si>
  <si>
    <t>46.4178165803552, 6.275246005149627</t>
  </si>
  <si>
    <t>Gland, gare sud</t>
  </si>
  <si>
    <t>46.42020445156171, 6.271240003340848</t>
  </si>
  <si>
    <t>Gland, Montoly</t>
  </si>
  <si>
    <t>46.42246253250787, 6.274729923230933</t>
  </si>
  <si>
    <t>Gland, Les Tuillières</t>
  </si>
  <si>
    <t>46.42345875695062, 6.259708280095017</t>
  </si>
  <si>
    <t>46.41998647124227, 6.269139833631339</t>
  </si>
  <si>
    <t>Gland, Grand-Champ</t>
  </si>
  <si>
    <t>46.422826020279835, 6.259422829315633</t>
  </si>
  <si>
    <t>Gland, Communet</t>
  </si>
  <si>
    <t>46.42766620455777, 6.2663562818775596</t>
  </si>
  <si>
    <t>Gollion, En Crausaz</t>
  </si>
  <si>
    <t>Gollion</t>
  </si>
  <si>
    <t>46.59474704590419, 6.526535997453185</t>
  </si>
  <si>
    <t>Gollion, L'Arzillier</t>
  </si>
  <si>
    <t>46.58433002175478, 6.509620548089947</t>
  </si>
  <si>
    <t>Gollion, grande salle</t>
  </si>
  <si>
    <t>46.58724672507382, 6.510177048484745</t>
  </si>
  <si>
    <t>Gollion, village</t>
  </si>
  <si>
    <t>46.586112612972926, 6.5093140631181505</t>
  </si>
  <si>
    <t>Goumoens-la-Ville, Tuilerie</t>
  </si>
  <si>
    <t>Goumoëns</t>
  </si>
  <si>
    <t>Goumoens-la-Ville</t>
  </si>
  <si>
    <t>46.65256156695803, 6.61601488899563</t>
  </si>
  <si>
    <t>Eclagnens, collège</t>
  </si>
  <si>
    <t>Eclagnens</t>
  </si>
  <si>
    <t>46.65142732251833, 6.591406637366831</t>
  </si>
  <si>
    <t>Goumoens-la-Ville, centre</t>
  </si>
  <si>
    <t>46.65806956902865, 6.60400200783846</t>
  </si>
  <si>
    <t>Goumoens-la-Ville, Eclagnens</t>
  </si>
  <si>
    <t>46.65680774843271, 6.602453708407634</t>
  </si>
  <si>
    <t>Grancy, collège</t>
  </si>
  <si>
    <t>Grancy</t>
  </si>
  <si>
    <t>46.59220569977061, 6.4653869283552785</t>
  </si>
  <si>
    <t>Grancy, Les Pâles</t>
  </si>
  <si>
    <t>46.58909175638253, 6.4622859767522085</t>
  </si>
  <si>
    <t>Rueyres-les-Prés, bif.</t>
  </si>
  <si>
    <t>Grandcour</t>
  </si>
  <si>
    <t>46.865806783856954, 6.913013737008915</t>
  </si>
  <si>
    <t>Ressudens</t>
  </si>
  <si>
    <t>46.871056974797405, 6.946519308401797</t>
  </si>
  <si>
    <t>Grandcour, rte de Chevroux</t>
  </si>
  <si>
    <t>46.875503855539314, 6.926241416640986</t>
  </si>
  <si>
    <t>Grandcour, rte d'Estavayer</t>
  </si>
  <si>
    <t>46.87013599764349, 6.924784252627788</t>
  </si>
  <si>
    <t>Grandcour, poste</t>
  </si>
  <si>
    <t>46.87182732301342, 6.928834340389449</t>
  </si>
  <si>
    <t>Grandevent, village</t>
  </si>
  <si>
    <t>Grandevent</t>
  </si>
  <si>
    <t>46.83931601049467, 6.6071780793086345</t>
  </si>
  <si>
    <t>Grandevent, Battoir</t>
  </si>
  <si>
    <t>46.837043479035984, 6.603949093808563</t>
  </si>
  <si>
    <t>Grandson (bateau)</t>
  </si>
  <si>
    <t>Grandson</t>
  </si>
  <si>
    <t>46.80598020290987, 6.642883960041703</t>
  </si>
  <si>
    <t>Grandson, croisée de Fiez</t>
  </si>
  <si>
    <t>46.815434858495124, 6.65196900438413</t>
  </si>
  <si>
    <t>Grandson, Borné Nau</t>
  </si>
  <si>
    <t>46.81419673207581, 6.647243698918593</t>
  </si>
  <si>
    <t>Grandson, Péroset</t>
  </si>
  <si>
    <t>46.821067462369285, 6.627733932189088</t>
  </si>
  <si>
    <t>Tuileries-de-Grandson, Kiosque</t>
  </si>
  <si>
    <t>46.79818494008907, 6.62814446996062</t>
  </si>
  <si>
    <t>Grandson, Le Repuis</t>
  </si>
  <si>
    <t>46.81549460804064, 6.652806766182441</t>
  </si>
  <si>
    <t>Grandson, gare</t>
  </si>
  <si>
    <t>46.80662252314371, 6.642114564191703</t>
  </si>
  <si>
    <t>Grandson, Crêt-aux-Moines</t>
  </si>
  <si>
    <t>46.80865125265054, 6.641494917630104</t>
  </si>
  <si>
    <t>Grandson, Corcelettes</t>
  </si>
  <si>
    <t>46.82040280012121, 6.660165478490643</t>
  </si>
  <si>
    <t>Grandson, Le Revelin</t>
  </si>
  <si>
    <t>46.80861464441305, 6.638835747155326</t>
  </si>
  <si>
    <t>Grandson, place du Château</t>
  </si>
  <si>
    <t>46.80941134022886, 6.646003915458705</t>
  </si>
  <si>
    <t>46.80628338337734, 6.641943740303492</t>
  </si>
  <si>
    <t>Grens, village</t>
  </si>
  <si>
    <t>Grens</t>
  </si>
  <si>
    <t>46.39478828632725, 6.1918796791696895</t>
  </si>
  <si>
    <t>Chaux Ronde (Gryon)</t>
  </si>
  <si>
    <t>Télé-Villars-Gryon</t>
  </si>
  <si>
    <t>ch:1:sboid:100954</t>
  </si>
  <si>
    <t>SBA.73.136.9</t>
  </si>
  <si>
    <t>46.293616083273456, 7.115990776140026</t>
  </si>
  <si>
    <t>Gryon, télécabine</t>
  </si>
  <si>
    <t>46.28359334584082, 7.076943993293722</t>
  </si>
  <si>
    <t>Gryon, Cergnement</t>
  </si>
  <si>
    <t>46.282114218666386, 7.104875167811766</t>
  </si>
  <si>
    <t>Alpe des Chaux, Combe du Scex</t>
  </si>
  <si>
    <t>46.29126483704092, 7.093580935576044</t>
  </si>
  <si>
    <t>Alpe des Chaux, Les Outanes</t>
  </si>
  <si>
    <t>46.28895036261192, 7.095684840368583</t>
  </si>
  <si>
    <t>Alpe des Chaux, Aiguerousse</t>
  </si>
  <si>
    <t>46.288518891470154, 7.0987629083166075</t>
  </si>
  <si>
    <t>Alpe des Chaux, Les Ernets</t>
  </si>
  <si>
    <t>46.28485477336735, 7.097812741121306</t>
  </si>
  <si>
    <t>Gryon, Le Closel</t>
  </si>
  <si>
    <t>46.28299213681631, 7.08593954171653</t>
  </si>
  <si>
    <t>Les Chaux (Barboleuse)</t>
  </si>
  <si>
    <t>SBA.72.003.9</t>
  </si>
  <si>
    <t>46.29508524161119, 7.104613591159394</t>
  </si>
  <si>
    <t>Gryon Bois-Gentil</t>
  </si>
  <si>
    <t>46.277729998201366, 7.067549998234472</t>
  </si>
  <si>
    <t>Alpe des Chaux, Frience</t>
  </si>
  <si>
    <t>46.29044664349044, 7.102656766006837</t>
  </si>
  <si>
    <t>Alpe des Chaux, Les Fracherets</t>
  </si>
  <si>
    <t>46.28955568230022, 7.09952201166952</t>
  </si>
  <si>
    <t>Alpe des Chaux, Les Arsets</t>
  </si>
  <si>
    <t>46.28712062693889, 7.097461123059975</t>
  </si>
  <si>
    <t>Alpe des Chaux, Les Verneys</t>
  </si>
  <si>
    <t>46.28660840307963, 7.094674581688337</t>
  </si>
  <si>
    <t>La Barboleuse (télécabine)</t>
  </si>
  <si>
    <t>SBA.72.003.1</t>
  </si>
  <si>
    <t>46.28374597836807, 7.076852150087384</t>
  </si>
  <si>
    <t>Sodoleuvre</t>
  </si>
  <si>
    <t>SBA.73.136.1</t>
  </si>
  <si>
    <t>46.2981458011408, 7.090409325562886</t>
  </si>
  <si>
    <t>Gryon, Les Saves</t>
  </si>
  <si>
    <t>46.27964700909821, 7.075011244840844</t>
  </si>
  <si>
    <t>Gryon, Rabou</t>
  </si>
  <si>
    <t>46.27627296279197, 7.069273769221922</t>
  </si>
  <si>
    <t>Gryon, Maison du Terroir</t>
  </si>
  <si>
    <t>46.273936915117076, 7.063911227022283</t>
  </si>
  <si>
    <t>Gryon, Bois-Gentil</t>
  </si>
  <si>
    <t>46.2776979265191, 7.067642368840321</t>
  </si>
  <si>
    <t>Gryon, bifurcation Cergnement</t>
  </si>
  <si>
    <t>46.28253971384102, 7.099747549947848</t>
  </si>
  <si>
    <t>Gryon, gare</t>
  </si>
  <si>
    <t>46.27386240402634, 7.060650342479682</t>
  </si>
  <si>
    <t>Gryon, Centre Gryonnais</t>
  </si>
  <si>
    <t>46.274359142885785, 7.065779722748882</t>
  </si>
  <si>
    <t>Gryon, Le Chardon Bleu</t>
  </si>
  <si>
    <t>46.27971742747331, 7.0779429117660015</t>
  </si>
  <si>
    <t>Gryon, Les Combes</t>
  </si>
  <si>
    <t>46.27961368318147, 7.081472519110905</t>
  </si>
  <si>
    <t>Gryon, La Cergnat</t>
  </si>
  <si>
    <t>46.27895997298031, 7.088489133164206</t>
  </si>
  <si>
    <t>Gryon, chemin du Proulard</t>
  </si>
  <si>
    <t>46.27732085509622, 7.07133131119116</t>
  </si>
  <si>
    <t>Alpe des Chaux, Ptes Maraîches</t>
  </si>
  <si>
    <t>46.29064993266286, 7.098451082326023</t>
  </si>
  <si>
    <t>Gryon, Sereunex</t>
  </si>
  <si>
    <t>46.28012719365022, 7.069166371311377</t>
  </si>
  <si>
    <t>Gryon Barboleuse</t>
  </si>
  <si>
    <t>46.28274999476098, 7.070489997921464</t>
  </si>
  <si>
    <t>46.27357999522906, 7.059710002620567</t>
  </si>
  <si>
    <t>Gryon, Les Châbles</t>
  </si>
  <si>
    <t>46.28227635716687, 7.093002394322453</t>
  </si>
  <si>
    <t>Gryon Barboleuse, gare</t>
  </si>
  <si>
    <t>46.283304816886464, 7.071172095847199</t>
  </si>
  <si>
    <t>Gryon, Les Roseyres</t>
  </si>
  <si>
    <t>46.28390991717657, 7.0831439415640975</t>
  </si>
  <si>
    <t>Apples, Le Manège</t>
  </si>
  <si>
    <t>Hautemorges</t>
  </si>
  <si>
    <t>Apples</t>
  </si>
  <si>
    <t>46.55857140499213, 6.4334645766184275</t>
  </si>
  <si>
    <t>Apples nord</t>
  </si>
  <si>
    <t>46.551046447808076, 6.42330565344783</t>
  </si>
  <si>
    <t>Pampigny-Sévery</t>
  </si>
  <si>
    <t>Pampigny</t>
  </si>
  <si>
    <t>46.57697999899786, 6.432169998621181</t>
  </si>
  <si>
    <t>Apples, En Lèvremont</t>
  </si>
  <si>
    <t>46.55808855536497, 6.439787929067405</t>
  </si>
  <si>
    <t>Pampigny, collège</t>
  </si>
  <si>
    <t>46.57955428201496, 6.4248060232128665</t>
  </si>
  <si>
    <t>Apples ouest (bif)</t>
  </si>
  <si>
    <t>46.55082976711834, 6.422214363389795</t>
  </si>
  <si>
    <t>Tuilerie</t>
  </si>
  <si>
    <t>46.59279999540201, 6.41421999542534</t>
  </si>
  <si>
    <t>46.5508799946632, 6.423580000537289</t>
  </si>
  <si>
    <t>Reverolle, Les Combettes</t>
  </si>
  <si>
    <t>Reverolle</t>
  </si>
  <si>
    <t>46.537639930752064, 6.434883914777104</t>
  </si>
  <si>
    <t>Sévery, village</t>
  </si>
  <si>
    <t>Sévery</t>
  </si>
  <si>
    <t>46.57588202497068, 6.440085245637702</t>
  </si>
  <si>
    <t>Cottens VD, village</t>
  </si>
  <si>
    <t>Cottens VD</t>
  </si>
  <si>
    <t>46.57289780951798, 6.454272279340739</t>
  </si>
  <si>
    <t>Apples, Hôtel de Commune</t>
  </si>
  <si>
    <t>46.552238389048675, 6.427834339027642</t>
  </si>
  <si>
    <t>Bussy-Chardonney, rte village</t>
  </si>
  <si>
    <t>Bussy-Chardonney</t>
  </si>
  <si>
    <t>46.527523454278366, 6.444585719817782</t>
  </si>
  <si>
    <t>Reverolle, Le Moulin</t>
  </si>
  <si>
    <t>46.541335033781635, 6.434111363689205</t>
  </si>
  <si>
    <t>Pampigny, Tuilerie</t>
  </si>
  <si>
    <t>46.590447348944345, 6.413764522426506</t>
  </si>
  <si>
    <t>Cottens VD, La Caroline</t>
  </si>
  <si>
    <t>46.57070429418414, 6.4579036003862065</t>
  </si>
  <si>
    <t>Reverolle, village</t>
  </si>
  <si>
    <t>46.541235371143685, 6.4389526608228795</t>
  </si>
  <si>
    <t>Chardonney-Château</t>
  </si>
  <si>
    <t>46.534700000223886, 6.432560003271974</t>
  </si>
  <si>
    <t>Mauraz</t>
  </si>
  <si>
    <t>46.5849199953343, 6.429719999107398</t>
  </si>
  <si>
    <t>46.526779994188935, 6.446509997840909</t>
  </si>
  <si>
    <t>46.5404299934489, 6.4309700001721515</t>
  </si>
  <si>
    <t>Apples, gare</t>
  </si>
  <si>
    <t>46.55095368230547, 6.423998518812809</t>
  </si>
  <si>
    <t>Apples, Fondation Baud</t>
  </si>
  <si>
    <t>46.55354702678313, 6.4303267057242595</t>
  </si>
  <si>
    <t>Sévery, Moulin</t>
  </si>
  <si>
    <t>46.56789395714611, 6.4489993760137345</t>
  </si>
  <si>
    <t>Apples, collège</t>
  </si>
  <si>
    <t>46.55062490431433, 6.43132726932384</t>
  </si>
  <si>
    <t>Le Manège</t>
  </si>
  <si>
    <t>46.559119999278124, 6.432170000665143</t>
  </si>
  <si>
    <t>Pampigny-Sévery, gare</t>
  </si>
  <si>
    <t>46.577409458341336, 6.432025761933335</t>
  </si>
  <si>
    <t>Pampigny, village</t>
  </si>
  <si>
    <t>46.5800915971816, 6.4279159051540695</t>
  </si>
  <si>
    <t>Apples, La Mottaz</t>
  </si>
  <si>
    <t>46.54552876295302, 6.4330840528738245</t>
  </si>
  <si>
    <t>Cottens VD, La Tuilière</t>
  </si>
  <si>
    <t>46.57648524346851, 6.454614302910396</t>
  </si>
  <si>
    <t>Reverolle, Chaniaz</t>
  </si>
  <si>
    <t>46.54060299225162, 6.445689216436016</t>
  </si>
  <si>
    <t>Henniez, village</t>
  </si>
  <si>
    <t>Henniez</t>
  </si>
  <si>
    <t>46.74240960126753, 6.8829919776152515</t>
  </si>
  <si>
    <t>46.73500140626439, 6.87010587846571</t>
  </si>
  <si>
    <t>Hermenches, Moille-Robert</t>
  </si>
  <si>
    <t>Hermenches</t>
  </si>
  <si>
    <t>46.645900030168406, 6.76276889444619</t>
  </si>
  <si>
    <t>Peney-le-Jorat, Moulin Peney</t>
  </si>
  <si>
    <t>Peney-le-Jorat</t>
  </si>
  <si>
    <t>46.639293419500056, 6.741314475479655</t>
  </si>
  <si>
    <t>Hermenches, village</t>
  </si>
  <si>
    <t>46.642293378662345, 6.7583601324781615</t>
  </si>
  <si>
    <t>Jongny, Reposoir</t>
  </si>
  <si>
    <t>Jongny</t>
  </si>
  <si>
    <t>46.482003824939646, 6.844443819644243</t>
  </si>
  <si>
    <t>Jongny, village</t>
  </si>
  <si>
    <t>46.47928811257512, 6.841486153875533</t>
  </si>
  <si>
    <t>Jongny, Combette</t>
  </si>
  <si>
    <t>46.48304152514211, 6.848763610559754</t>
  </si>
  <si>
    <t>Jongny, Châtillon</t>
  </si>
  <si>
    <t>46.47639002020473, 6.843320548604369</t>
  </si>
  <si>
    <t>Jongny, Chaudette</t>
  </si>
  <si>
    <t>46.48947393527995, 6.8523012171512345</t>
  </si>
  <si>
    <t>Sottens, Radio</t>
  </si>
  <si>
    <t>Jorat-Menthue</t>
  </si>
  <si>
    <t>Sottens</t>
  </si>
  <si>
    <t>46.65687148260953, 6.7369454815711745</t>
  </si>
  <si>
    <t>Peney-le-Jorat, poste</t>
  </si>
  <si>
    <t>46.633068215051836, 6.726794666601257</t>
  </si>
  <si>
    <t>Villars-Tiercelin, village</t>
  </si>
  <si>
    <t>Villars-Tiercelin</t>
  </si>
  <si>
    <t>46.62492404346403, 6.705122465723559</t>
  </si>
  <si>
    <t>Villars-Tiercelin, Fontaines</t>
  </si>
  <si>
    <t>46.62641805171545, 6.703835549951874</t>
  </si>
  <si>
    <t>Villars-Mendraz, Praz-Longet</t>
  </si>
  <si>
    <t>Villars-Mendraz</t>
  </si>
  <si>
    <t>46.643269299064684, 6.726751437610015</t>
  </si>
  <si>
    <t>Montaubion, croisée</t>
  </si>
  <si>
    <t>Montaubion-Chardonney</t>
  </si>
  <si>
    <t>46.64788747263151, 6.714450524378593</t>
  </si>
  <si>
    <t>Villars-Tiercelin, sentier H&amp;N</t>
  </si>
  <si>
    <t>46.616880010301124, 6.712860006685932</t>
  </si>
  <si>
    <t>Villars-Mendraz, croisée</t>
  </si>
  <si>
    <t>46.647431986229066, 6.729243722278623</t>
  </si>
  <si>
    <t>Sottens, croisée</t>
  </si>
  <si>
    <t>46.65494074268021, 6.741882894069769</t>
  </si>
  <si>
    <t>Peney-le-Jorat, Chalet Renards</t>
  </si>
  <si>
    <t>46.62942873590658, 6.721684616418081</t>
  </si>
  <si>
    <t>Chardonney, village</t>
  </si>
  <si>
    <t>46.64418880397741, 6.712828257261318</t>
  </si>
  <si>
    <t>Villars-Tiercelin, La Sapelle</t>
  </si>
  <si>
    <t>46.621893861206274, 6.708140580122399</t>
  </si>
  <si>
    <t>Villars-Mendraz, Petite Route</t>
  </si>
  <si>
    <t>46.64614926330528, 6.729835346514666</t>
  </si>
  <si>
    <t>Mézières VD, station</t>
  </si>
  <si>
    <t>Jorat-Mézières</t>
  </si>
  <si>
    <t>Mézières VD</t>
  </si>
  <si>
    <t>46.599497054454346, 6.771520070975667</t>
  </si>
  <si>
    <t>Carrouge VD, centre</t>
  </si>
  <si>
    <t>Carrouge VD</t>
  </si>
  <si>
    <t>46.6063441559698, 6.776343260231331</t>
  </si>
  <si>
    <t>Ferlens VD, Le Moulin</t>
  </si>
  <si>
    <t>Ferlens VD</t>
  </si>
  <si>
    <t>46.58747461687953, 6.783203290767509</t>
  </si>
  <si>
    <t>Ferlens VD, Champ des Oches</t>
  </si>
  <si>
    <t>46.590133709154316, 6.784123564990063</t>
  </si>
  <si>
    <t>Carrouge VD, Ecorcheboeuf</t>
  </si>
  <si>
    <t>46.599120578754395, 6.761109988277313</t>
  </si>
  <si>
    <t>Mézières VD, Praz Joret</t>
  </si>
  <si>
    <t>46.58375221549116, 6.772706254520151</t>
  </si>
  <si>
    <t>Carrouge VD, Gustave Roud</t>
  </si>
  <si>
    <t>46.60328056557733, 6.771912250455694</t>
  </si>
  <si>
    <t>Carrouge VD, Champ du Trey</t>
  </si>
  <si>
    <t>46.60220704940641, 6.774049511794124</t>
  </si>
  <si>
    <t>Carrouge VD, Croix d'Or</t>
  </si>
  <si>
    <t>46.59866402061948, 6.764508965552414</t>
  </si>
  <si>
    <t>Mézières VD, village</t>
  </si>
  <si>
    <t>46.596116554366084, 6.770322079199809</t>
  </si>
  <si>
    <t>Mézières VD, centre médical</t>
  </si>
  <si>
    <t>46.592188937625224, 6.770931837107442</t>
  </si>
  <si>
    <t>Carrouge VD, Le Borgeau</t>
  </si>
  <si>
    <t>46.600701719068205, 6.786879741682326</t>
  </si>
  <si>
    <t>Mézières VD, collège Raffort</t>
  </si>
  <si>
    <t>46.59633259473604, 6.76881861117193</t>
  </si>
  <si>
    <t>Le Lussex</t>
  </si>
  <si>
    <t>Jouxtens-Mézery</t>
  </si>
  <si>
    <t>46.55687999936858, 6.600910000052572</t>
  </si>
  <si>
    <t>Jouxtens-Mézery, gare</t>
  </si>
  <si>
    <t>46.5490210310028, 6.601242922450593</t>
  </si>
  <si>
    <t>46.548339998638944, 6.601689997274071</t>
  </si>
  <si>
    <t>Juriens, église</t>
  </si>
  <si>
    <t>Juriens</t>
  </si>
  <si>
    <t>46.69200271567258, 6.4480666478492275</t>
  </si>
  <si>
    <t>Juriens, Le Cosson</t>
  </si>
  <si>
    <t>46.68098377473168, 6.446164632165753</t>
  </si>
  <si>
    <t>Juriens, village</t>
  </si>
  <si>
    <t>46.69125234004817, 6.450747514527027</t>
  </si>
  <si>
    <t>La Chaux (Cossonay), village</t>
  </si>
  <si>
    <t>La Chaux (Cossonay)</t>
  </si>
  <si>
    <t>46.61563826073739, 6.472547954177388</t>
  </si>
  <si>
    <t>La Chaux (Cossonay), Ittens</t>
  </si>
  <si>
    <t>46.614289231746085, 6.475386883200303</t>
  </si>
  <si>
    <t>La Praz, Maison de commune</t>
  </si>
  <si>
    <t>La Praz</t>
  </si>
  <si>
    <t>46.66723171892071, 6.4271161634322596</t>
  </si>
  <si>
    <t>La Praz, La Scie</t>
  </si>
  <si>
    <t>46.669158334276894, 6.429301680759664</t>
  </si>
  <si>
    <t>La Rippe, village</t>
  </si>
  <si>
    <t>La Rippe</t>
  </si>
  <si>
    <t>46.381413072619985, 6.152480394359208</t>
  </si>
  <si>
    <t>La Rippe, Tranchepied</t>
  </si>
  <si>
    <t>46.3929730889628, 6.162175894909192</t>
  </si>
  <si>
    <t>La Sarraz, collège Guébettes</t>
  </si>
  <si>
    <t>La Sarraz</t>
  </si>
  <si>
    <t>arrêt scolaire, ligne 10.760</t>
  </si>
  <si>
    <t>46.65844858014832, 6.516399710642389</t>
  </si>
  <si>
    <t>46.658784971576154, 6.517361004533222</t>
  </si>
  <si>
    <t>La Sarraz, gare</t>
  </si>
  <si>
    <t>46.65882846485464, 6.517024127928337</t>
  </si>
  <si>
    <t>La Sarraz, centre</t>
  </si>
  <si>
    <t>46.658994422836884, 6.513913135624645</t>
  </si>
  <si>
    <t>La Sarraz, piscine</t>
  </si>
  <si>
    <t>46.6589231233173, 6.507218882636675</t>
  </si>
  <si>
    <t>La Tour-de-Peilz,Crausaz/Doges</t>
  </si>
  <si>
    <t>La Tour-de-Peilz</t>
  </si>
  <si>
    <t>46.45996831947744, 6.87275572601105</t>
  </si>
  <si>
    <t>La Tour-de-Peilz, Burier</t>
  </si>
  <si>
    <t>46.44791518116839, 6.873965239544367</t>
  </si>
  <si>
    <t>La Tour-de-Peilz, Vassin</t>
  </si>
  <si>
    <t>46.45701001894766, 6.8645805510421525</t>
  </si>
  <si>
    <t>La Tour-de-Peilz, centre</t>
  </si>
  <si>
    <t>46.45362908092727, 6.856283615024911</t>
  </si>
  <si>
    <t>La Tour-de-Peilz, Gérénaz</t>
  </si>
  <si>
    <t>46.45381001584012, 6.867670554992784</t>
  </si>
  <si>
    <t>La Tour-de-Peilz, rte Chailly</t>
  </si>
  <si>
    <t>46.448789033881575, 6.868828324627683</t>
  </si>
  <si>
    <t>La Tour-de-Peilz, Doges</t>
  </si>
  <si>
    <t>46.45719205001895, 6.872592758024019</t>
  </si>
  <si>
    <t>La Tour-de-Peilz, Bulesses</t>
  </si>
  <si>
    <t>46.45697822341143, 6.8692845402063165</t>
  </si>
  <si>
    <t>La Tour-de-Peilz, Brécheresse</t>
  </si>
  <si>
    <t>46.458707958982565, 6.864571382991272</t>
  </si>
  <si>
    <t>La Tour-de-Peilz, Perrausaz</t>
  </si>
  <si>
    <t>46.458756641157954, 6.86175917058199</t>
  </si>
  <si>
    <t>La Tour-de-Pz,Entre-Deux-Crêts</t>
  </si>
  <si>
    <t>46.453666214152065, 6.864197772735776</t>
  </si>
  <si>
    <t>La Tour-de-Peilz, Maladaire</t>
  </si>
  <si>
    <t>46.44626195631954, 6.877990835083761</t>
  </si>
  <si>
    <t>Burier</t>
  </si>
  <si>
    <t>46.447886474978866, 6.877121824811778</t>
  </si>
  <si>
    <t>La Tour-de-Peilz, Bel-Air</t>
  </si>
  <si>
    <t>46.45428736136108, 6.862439409855262</t>
  </si>
  <si>
    <t>La Tour-de-Peilz, Faraz</t>
  </si>
  <si>
    <t>46.454879769233976, 6.867150162267473</t>
  </si>
  <si>
    <t>La Tour-de-Peilz, Baumes</t>
  </si>
  <si>
    <t>46.45190001762799, 6.858270551023588</t>
  </si>
  <si>
    <t>La Tour-de-Peilz, La Becque</t>
  </si>
  <si>
    <t>46.449583851487915, 6.86058151852687</t>
  </si>
  <si>
    <t>La Tour-de-Peilz, gare</t>
  </si>
  <si>
    <t>46.45511381873583, 6.858335698295938</t>
  </si>
  <si>
    <t>La Tour-de-Peilz, Pérouge</t>
  </si>
  <si>
    <t>46.45254339829553, 6.871235714122594</t>
  </si>
  <si>
    <t>La Tour-de-Peilz, Gregnolet</t>
  </si>
  <si>
    <t>46.452014206289505, 6.8735029827280005</t>
  </si>
  <si>
    <t>La Tour-de-Peilz, Sichoz</t>
  </si>
  <si>
    <t>46.46074504853246, 6.866294963970637</t>
  </si>
  <si>
    <t>La Tour-de-Peilz, Murets</t>
  </si>
  <si>
    <t>46.45066184081374, 6.8691600081686905</t>
  </si>
  <si>
    <t>La Tour-de-Peilz, av. Muller</t>
  </si>
  <si>
    <t>46.45553751600667, 6.856756175593525</t>
  </si>
  <si>
    <t>La Tour-de-Peilz, Vallon</t>
  </si>
  <si>
    <t>46.45187001964159, 6.883950556114373</t>
  </si>
  <si>
    <t>La Tour-de-Peilz, gymnase</t>
  </si>
  <si>
    <t>46.451190613201724, 6.877205378065915</t>
  </si>
  <si>
    <t>La Tour-de-Peilz,Mousquetaires</t>
  </si>
  <si>
    <t>46.45230830615717, 6.860147649610101</t>
  </si>
  <si>
    <t>46.45545289156488, 6.859532673443139</t>
  </si>
  <si>
    <t>La Tour-de-Peilz,av. des Alpes</t>
  </si>
  <si>
    <t>46.45724215232483, 6.855865716607419</t>
  </si>
  <si>
    <t>La Tour-de-Peilz,Portail-Blanc</t>
  </si>
  <si>
    <t>46.449140017766666, 6.864220552771535</t>
  </si>
  <si>
    <t>La Tour-de-Peilz, Vignes</t>
  </si>
  <si>
    <t>46.45439649496935, 6.871096834136464</t>
  </si>
  <si>
    <t>La Tour-de-Peilz, Ile-Heureuse</t>
  </si>
  <si>
    <t>46.45818436648833, 6.858047691324767</t>
  </si>
  <si>
    <t>La Tour-de-Peilz,rte de Blonay</t>
  </si>
  <si>
    <t>46.46139342957703, 6.869081342559575</t>
  </si>
  <si>
    <t>La Tour-de-Peilz, Sully</t>
  </si>
  <si>
    <t>46.45057169529481, 6.863182676450108</t>
  </si>
  <si>
    <t>Les Bioux (lac)</t>
  </si>
  <si>
    <t>Navigation Lac de Joux</t>
  </si>
  <si>
    <t>L'Abbaye</t>
  </si>
  <si>
    <t>Les Bioux</t>
  </si>
  <si>
    <t>ch:1:sboid:101107</t>
  </si>
  <si>
    <t>46.62413766512659, 6.272835527564163</t>
  </si>
  <si>
    <t>Le Pont, église</t>
  </si>
  <si>
    <t>Autotransports de la Vallée de Joux</t>
  </si>
  <si>
    <t>Le Pont</t>
  </si>
  <si>
    <t>ch:1:sboid:100533</t>
  </si>
  <si>
    <t>46.665095819753496, 6.33106930057836</t>
  </si>
  <si>
    <t>Le Pont, Les Fougères</t>
  </si>
  <si>
    <t>46.66245152005743, 6.328366429855824</t>
  </si>
  <si>
    <t>L'Abbaye, Crêt-Blanc</t>
  </si>
  <si>
    <t>46.65777793656064, 6.337164629251337</t>
  </si>
  <si>
    <t>46.66866749159968, 6.324719892418338</t>
  </si>
  <si>
    <t>L'Abbaye, Les Collondés</t>
  </si>
  <si>
    <t>46.64746210767325, 6.314487884600685</t>
  </si>
  <si>
    <t>L'Abbaye, place du village</t>
  </si>
  <si>
    <t>46.64925313874048, 6.319899558249138</t>
  </si>
  <si>
    <t>Les Bioux, AVJ</t>
  </si>
  <si>
    <t>46.61629433786293, 6.261646049373383</t>
  </si>
  <si>
    <t>Vers-Chez-Grosjean</t>
  </si>
  <si>
    <t>46.627529515878365, 6.282543349335283</t>
  </si>
  <si>
    <t>Le Pont, gare</t>
  </si>
  <si>
    <t>46.6684438118964, 6.32475372145213</t>
  </si>
  <si>
    <t>L'Abbaye, Groenroud</t>
  </si>
  <si>
    <t>46.64008262855291, 6.304017344023419</t>
  </si>
  <si>
    <t>Les Bioux, école</t>
  </si>
  <si>
    <t>46.62133591016494, 6.271498330773238</t>
  </si>
  <si>
    <t>Le Pont (lac)</t>
  </si>
  <si>
    <t>46.66761012738913, 6.325058448170576</t>
  </si>
  <si>
    <t>Les Bioux, Les Tâches</t>
  </si>
  <si>
    <t>46.61850090930455, 6.266233069498768</t>
  </si>
  <si>
    <t>L'Abbaye, Petra Félix</t>
  </si>
  <si>
    <t>46.65916648902481, 6.347943875868339</t>
  </si>
  <si>
    <t>Les Bioux, Les Charmilles</t>
  </si>
  <si>
    <t>46.613769698025955, 6.258502477296023</t>
  </si>
  <si>
    <t>L'Abergement, village</t>
  </si>
  <si>
    <t>L'Abergement</t>
  </si>
  <si>
    <t>46.75382162491744, 6.488944953059392</t>
  </si>
  <si>
    <t>Jordils</t>
  </si>
  <si>
    <t>(Metro)</t>
  </si>
  <si>
    <t>46.510019948713875, 6.627395707761078</t>
  </si>
  <si>
    <t>Ouchy</t>
  </si>
  <si>
    <t>46.50740530362495, 6.6265880424881045</t>
  </si>
  <si>
    <t>Lausanne, Montelly</t>
  </si>
  <si>
    <t>46.521821989140996, 6.613560376509571</t>
  </si>
  <si>
    <t>Lausanne, St-François</t>
  </si>
  <si>
    <t>46.519365281150634, 6.633484770943181</t>
  </si>
  <si>
    <t>Vernand-Camarès, gare</t>
  </si>
  <si>
    <t>Romanel-sur-Lausanne</t>
  </si>
  <si>
    <t>46.56994811700217, 6.604961947695183</t>
  </si>
  <si>
    <t>Cheseaux-sur-L., Bel-Air</t>
  </si>
  <si>
    <t>46.57848217262237, 6.605779414609303</t>
  </si>
  <si>
    <t>Montblesson, Perronnaz</t>
  </si>
  <si>
    <t>Lausanne 27</t>
  </si>
  <si>
    <t>46.54241411667021, 6.6792942095604015</t>
  </si>
  <si>
    <t>Lausanne, Vulliette</t>
  </si>
  <si>
    <t>Lausanne 25</t>
  </si>
  <si>
    <t>46.55803400939521, 6.681444511069467</t>
  </si>
  <si>
    <t>Lausanne, Chalet-à-Gobet</t>
  </si>
  <si>
    <t>46.5647726881886, 6.6914517433605125</t>
  </si>
  <si>
    <t>Lausanne, Béthusy</t>
  </si>
  <si>
    <t>46.52176341491374, 6.647002945375755</t>
  </si>
  <si>
    <t>Lausanne, Ours</t>
  </si>
  <si>
    <t>46.52124230141048, 6.640676801634746</t>
  </si>
  <si>
    <t>Lausanne, Riponne-M. Béjart</t>
  </si>
  <si>
    <t>46.52307333828389, 6.632028187275835</t>
  </si>
  <si>
    <t>Lausanne, Rovéréaz</t>
  </si>
  <si>
    <t>46.53272835391007, 6.667724721921511</t>
  </si>
  <si>
    <t>Montblesson, Centenaire</t>
  </si>
  <si>
    <t>46.53661965904165, 6.677798268523812</t>
  </si>
  <si>
    <t>Lausanne, Pont-de-Chailly</t>
  </si>
  <si>
    <t>46.52611544128115, 6.651878945927873</t>
  </si>
  <si>
    <t>Lausanne, Cécil</t>
  </si>
  <si>
    <t>46.520818670319244, 6.622854761021067</t>
  </si>
  <si>
    <t>Lausanne, Chauderon</t>
  </si>
  <si>
    <t>46.5235945830452, 6.6248199574239885</t>
  </si>
  <si>
    <t>Lausanne, Rouvraie</t>
  </si>
  <si>
    <t>46.53261242186756, 6.631644972579686</t>
  </si>
  <si>
    <t>Lausanne, Sablons</t>
  </si>
  <si>
    <t>46.52238375550613, 6.595748992522875</t>
  </si>
  <si>
    <t>Lausanne, Piécettes</t>
  </si>
  <si>
    <t>46.54174022318646, 6.6362673063820194</t>
  </si>
  <si>
    <t>Lausanne, St-Etienne</t>
  </si>
  <si>
    <t>46.53467377975721, 6.649051261863829</t>
  </si>
  <si>
    <t>Lausanne, Motte</t>
  </si>
  <si>
    <t>46.533200702536035, 6.633408996996849</t>
  </si>
  <si>
    <t>Lausanne, Tivoli</t>
  </si>
  <si>
    <t>46.52116047686537, 6.621598484730223</t>
  </si>
  <si>
    <t>Lausanne, Provence nord</t>
  </si>
  <si>
    <t>46.524133721282595, 6.606135256458603</t>
  </si>
  <si>
    <t>Lausanne, Bel-Air</t>
  </si>
  <si>
    <t>46.522284612937085, 6.629075320450442</t>
  </si>
  <si>
    <t>Lausanne, Bois de Vaux</t>
  </si>
  <si>
    <t>46.51942704005187, 6.599795949575213</t>
  </si>
  <si>
    <t>Lausanne, Victor-Ruffy</t>
  </si>
  <si>
    <t>46.5316514324621, 6.648487473237514</t>
  </si>
  <si>
    <t>Lausanne, Vulliemin</t>
  </si>
  <si>
    <t>46.52772683514675, 6.634077080762722</t>
  </si>
  <si>
    <t>Lausanne, Vennes</t>
  </si>
  <si>
    <t>46.54129541809083, 6.657615948052487</t>
  </si>
  <si>
    <t>Lausanne, Cascades</t>
  </si>
  <si>
    <t>46.54015574177403, 6.641205792742401</t>
  </si>
  <si>
    <t>Lausanne, Villard</t>
  </si>
  <si>
    <t>46.51955625261181, 6.623718770900062</t>
  </si>
  <si>
    <t>Lausanne, Maladière-Lac</t>
  </si>
  <si>
    <t>46.51619383288643, 6.605410489257409</t>
  </si>
  <si>
    <t>Lausanne, Maladière-Figuiers</t>
  </si>
  <si>
    <t>46.51691879760631, 6.606129078695891</t>
  </si>
  <si>
    <t>Lausanne, Cigale</t>
  </si>
  <si>
    <t>46.54330122179359, 6.647182821405725</t>
  </si>
  <si>
    <t>Lausanne, CHUV</t>
  </si>
  <si>
    <t>46.5264027414397, 6.641486906303485</t>
  </si>
  <si>
    <t>Lausanne, Chocolatière</t>
  </si>
  <si>
    <t>46.53633896858628, 6.640857996474552</t>
  </si>
  <si>
    <t>Lausanne, Grey</t>
  </si>
  <si>
    <t>46.533548278471024, 6.619129995527441</t>
  </si>
  <si>
    <t>Lausanne, Epinettes</t>
  </si>
  <si>
    <t>46.515926702622664, 6.625626043100477</t>
  </si>
  <si>
    <t>Lausanne, Bossons</t>
  </si>
  <si>
    <t>46.539337206127385, 6.617256152874263</t>
  </si>
  <si>
    <t>Lausanne, Bessières</t>
  </si>
  <si>
    <t>46.520713126548735, 6.637074654889014</t>
  </si>
  <si>
    <t>Lausanne, place du Nord</t>
  </si>
  <si>
    <t>46.52493995909251, 6.637624691522542</t>
  </si>
  <si>
    <t>Lausanne,Vallée de la Jeunesse</t>
  </si>
  <si>
    <t>46.523290460886365, 6.6076861397778615</t>
  </si>
  <si>
    <t>Lausanne, Chailly-Village</t>
  </si>
  <si>
    <t>46.52316986017708, 6.655219147114283</t>
  </si>
  <si>
    <t>Lausanne, Champ-Rond</t>
  </si>
  <si>
    <t>46.53191776086469, 6.650258509876267</t>
  </si>
  <si>
    <t>Lausanne, chemin du Cap</t>
  </si>
  <si>
    <t>46.51462771379855, 6.649322684391878</t>
  </si>
  <si>
    <t>Lausanne, Dranse</t>
  </si>
  <si>
    <t>46.530128330104134, 6.616444576666685</t>
  </si>
  <si>
    <t>Lausanne, Elysée</t>
  </si>
  <si>
    <t>46.51083792000811, 6.632347856285145</t>
  </si>
  <si>
    <t>Lausanne, Eglantine</t>
  </si>
  <si>
    <t>46.51632993195691, 6.641883034680005</t>
  </si>
  <si>
    <t>Lausanne, Grand Vennes</t>
  </si>
  <si>
    <t>46.54011003215953, 6.646238751406794</t>
  </si>
  <si>
    <t>Lausanne, Cojonnex/EHL</t>
  </si>
  <si>
    <t>46.56182219589809, 6.682542734530358</t>
  </si>
  <si>
    <t>Lausanne, Jurigoz</t>
  </si>
  <si>
    <t>46.512729841731975, 6.636541498600419</t>
  </si>
  <si>
    <t>Lausanne, Cèdres</t>
  </si>
  <si>
    <t>46.51480959171265, 6.619153430725554</t>
  </si>
  <si>
    <t>Lausanne, Figuiers</t>
  </si>
  <si>
    <t>46.516844043604806, 6.610665178900451</t>
  </si>
  <si>
    <t>Lausanne, Flon (m2)</t>
  </si>
  <si>
    <t>46.520225027206436, 6.630409389674602</t>
  </si>
  <si>
    <t>Lausanne, EPSIC</t>
  </si>
  <si>
    <t>BUS|TRAM</t>
  </si>
  <si>
    <t>46.52348235823682, 6.62005705279401</t>
  </si>
  <si>
    <t>Lausanne, Chandolin</t>
  </si>
  <si>
    <t>46.51750013177145, 6.644550288469443</t>
  </si>
  <si>
    <t>Lausanne, Chevreuils</t>
  </si>
  <si>
    <t>Lausanne 26</t>
  </si>
  <si>
    <t>46.55849730398681, 6.696726113811536</t>
  </si>
  <si>
    <t>Lausanne, Grangette</t>
  </si>
  <si>
    <t>46.54135899550306, 6.63324830872435</t>
  </si>
  <si>
    <t>Lausanne, Grande-Borde</t>
  </si>
  <si>
    <t>46.52994161361114, 6.631789128729018</t>
  </si>
  <si>
    <t>Lausanne, casernes</t>
  </si>
  <si>
    <t>46.53168857241852, 6.6282435976078835</t>
  </si>
  <si>
    <t>Lausanne, Haute Combe</t>
  </si>
  <si>
    <t>46.544825866788706, 6.684814534201575</t>
  </si>
  <si>
    <t>Lausanne, Lac Sauvabelin</t>
  </si>
  <si>
    <t>46.53799049751212, 6.639047613383673</t>
  </si>
  <si>
    <t>Lausanne, Forêt</t>
  </si>
  <si>
    <t>46.535548243249316, 6.633347945440519</t>
  </si>
  <si>
    <t>Lausanne, Croix d'Ouchy</t>
  </si>
  <si>
    <t>46.51203268598026, 6.62958065195669</t>
  </si>
  <si>
    <t>Lausanne, Fontenay</t>
  </si>
  <si>
    <t>46.5166965873729, 6.618851166533257</t>
  </si>
  <si>
    <t>Lausanne, Craivavers</t>
  </si>
  <si>
    <t>46.53140180084546, 6.659218837721681</t>
  </si>
  <si>
    <t>Lausanne, Floreyres</t>
  </si>
  <si>
    <t>46.51714209075587, 6.648673491948306</t>
  </si>
  <si>
    <t>Lausanne, Lisière</t>
  </si>
  <si>
    <t>46.53242910646313, 6.63751353659729</t>
  </si>
  <si>
    <t>Lausanne, Maladière</t>
  </si>
  <si>
    <t>46.517429819808946, 6.60541110543762</t>
  </si>
  <si>
    <t>Lausanne, Pêcheurs</t>
  </si>
  <si>
    <t>46.50979643511768, 6.620076348066154</t>
  </si>
  <si>
    <t>Lausanne, Mon Repos</t>
  </si>
  <si>
    <t>46.5188162731332, 6.6410905384555505</t>
  </si>
  <si>
    <t>Lausanne, Riant-Cour</t>
  </si>
  <si>
    <t>46.51557862088255, 6.616027330490845</t>
  </si>
  <si>
    <t>Lausanne, Valentin</t>
  </si>
  <si>
    <t>46.52454936559024, 6.631283123960737</t>
  </si>
  <si>
    <t>Lausanne, Recordon</t>
  </si>
  <si>
    <t>46.52555167886877, 6.618013051219295</t>
  </si>
  <si>
    <t>Lausanne, Mont-Fleuri</t>
  </si>
  <si>
    <t>46.514486327477165, 6.6317852391589565</t>
  </si>
  <si>
    <t>Lausanne, Rozavère</t>
  </si>
  <si>
    <t>46.52889347276935, 6.65552720805841</t>
  </si>
  <si>
    <t>Lausanne, Praz-Berthoud</t>
  </si>
  <si>
    <t>46.536556231548886, 6.648767730386364</t>
  </si>
  <si>
    <t>Lausanne, Ste-Catherine</t>
  </si>
  <si>
    <t>46.5709710381593, 6.708646847049509</t>
  </si>
  <si>
    <t>Lausanne, Prélaz</t>
  </si>
  <si>
    <t>46.526330226059315, 6.612487960977862</t>
  </si>
  <si>
    <t>Lausanne, Théâtre de Vidy</t>
  </si>
  <si>
    <t>46.514188052793855, 6.611604981723173</t>
  </si>
  <si>
    <t>Lausanne, Praz-Séchaud</t>
  </si>
  <si>
    <t>46.537581396976215, 6.667016702939134</t>
  </si>
  <si>
    <t>Lausanne, Praz-Collet</t>
  </si>
  <si>
    <t>46.56015876878984, 6.69629899685949</t>
  </si>
  <si>
    <t>Lausanne, Oiseaux</t>
  </si>
  <si>
    <t>46.53104104452584, 6.629530722056604</t>
  </si>
  <si>
    <t>Lausanne, Rapille</t>
  </si>
  <si>
    <t>46.53654770368032, 6.612201398611277</t>
  </si>
  <si>
    <t>Cugy VD, Bérallaz</t>
  </si>
  <si>
    <t>arrêt taxibus TL 10.956</t>
  </si>
  <si>
    <t>46.59115706668171, 6.64803407366139</t>
  </si>
  <si>
    <t>Lausanne, Bellerive</t>
  </si>
  <si>
    <t>46.51156687206233, 6.617339266843066</t>
  </si>
  <si>
    <t>Lausanne, Aubépines</t>
  </si>
  <si>
    <t>46.52736002437001, 6.619275959084076</t>
  </si>
  <si>
    <t>Lausanne, Beau-Site</t>
  </si>
  <si>
    <t>46.53490929892797, 6.620738830731776</t>
  </si>
  <si>
    <t>Lausanne, Boisy</t>
  </si>
  <si>
    <t>46.5331094949714, 6.619410391742221</t>
  </si>
  <si>
    <t>Lausanne, Bois-Gentil</t>
  </si>
  <si>
    <t>46.538662525103014, 6.622246426646634</t>
  </si>
  <si>
    <t>Lausanne, Vinet</t>
  </si>
  <si>
    <t>46.52640195797481, 6.628674773269505</t>
  </si>
  <si>
    <t>Lausanne, Georgette</t>
  </si>
  <si>
    <t>46.517823780174254, 6.638120934924372</t>
  </si>
  <si>
    <t>Lausanne, Désert</t>
  </si>
  <si>
    <t>46.53986831601266, 6.612346168875297</t>
  </si>
  <si>
    <t>Lausanne, gare</t>
  </si>
  <si>
    <t>46.51760178132036, 6.62965368197985</t>
  </si>
  <si>
    <t>Lausanne, Fourmi</t>
  </si>
  <si>
    <t>46.53881214745034, 6.651055283828123</t>
  </si>
  <si>
    <t>Lausanne, Parc Vélodrome</t>
  </si>
  <si>
    <t>46.53601955629552, 6.623759428326276</t>
  </si>
  <si>
    <t>Lausanne, Mirabeau</t>
  </si>
  <si>
    <t>46.516918668257865, 6.634798291649499</t>
  </si>
  <si>
    <t>Lausanne, Pierrefleur</t>
  </si>
  <si>
    <t>46.534682021858686, 6.6166751193627755</t>
  </si>
  <si>
    <t>Lausanne, Pierre Viret</t>
  </si>
  <si>
    <t>46.52294353776279, 6.6339505820026865</t>
  </si>
  <si>
    <t>Lausanne, Pont Marc Dufour</t>
  </si>
  <si>
    <t>46.5190391288019, 6.6180988832292575</t>
  </si>
  <si>
    <t>Lausanne, Pont Chauderon</t>
  </si>
  <si>
    <t>46.52323169288285, 6.624395332980925</t>
  </si>
  <si>
    <t>Lausanne, Stade Olympique</t>
  </si>
  <si>
    <t>46.53383201885867, 6.62606059438344</t>
  </si>
  <si>
    <t>Lausanne, Ouchy-Olympique</t>
  </si>
  <si>
    <t>46.507468642572256, 6.626639207903287</t>
  </si>
  <si>
    <t>Lausanne, Valmont</t>
  </si>
  <si>
    <t>46.53523612499284, 6.655411334090568</t>
  </si>
  <si>
    <t>Lausanne, Provence sud</t>
  </si>
  <si>
    <t>46.52173831727455, 6.608257370483629</t>
  </si>
  <si>
    <t>Lausanne, Belvédère</t>
  </si>
  <si>
    <t>46.52090332051664, 6.617132251261354</t>
  </si>
  <si>
    <t>Lausanne, Batelière</t>
  </si>
  <si>
    <t>46.51637502350829, 6.612965878707177</t>
  </si>
  <si>
    <t>Lausanne, Barre</t>
  </si>
  <si>
    <t>46.52574963225288, 6.636025690227762</t>
  </si>
  <si>
    <t>Lausanne, Béthanie</t>
  </si>
  <si>
    <t>46.53458697924103, 6.613495848228103</t>
  </si>
  <si>
    <t>Lausanne, Vigie</t>
  </si>
  <si>
    <t>46.52153705667949, 6.623925622314335</t>
  </si>
  <si>
    <t>Lausanne, Vidy-Port</t>
  </si>
  <si>
    <t>(Bus) ouverture ligne 24, printemps 2019</t>
  </si>
  <si>
    <t>46.51500540948466, 6.607661181441405</t>
  </si>
  <si>
    <t>Lausanne-Flon (LEB)</t>
  </si>
  <si>
    <t>46.52051277821011, 6.6303920549488815</t>
  </si>
  <si>
    <t>Lausanne, Bellevaux</t>
  </si>
  <si>
    <t>46.538899050062625, 6.633949846167843</t>
  </si>
  <si>
    <t>Lausanne (bif)</t>
  </si>
  <si>
    <t>46.52087641192505, 6.616037089879887</t>
  </si>
  <si>
    <t>Lausanne, Provence</t>
  </si>
  <si>
    <t>46.52326423801366, 6.60865098556121</t>
  </si>
  <si>
    <t>Lausanne-Chauderon</t>
  </si>
  <si>
    <t>46.523229999187635, 6.626059994699236</t>
  </si>
  <si>
    <t>Lausanne, Stade de Coubertin</t>
  </si>
  <si>
    <t>46.51538222944737, 6.602699494227868</t>
  </si>
  <si>
    <t>Lausanne, Siège du CIO</t>
  </si>
  <si>
    <t>46.51755956330723, 6.599082122614956</t>
  </si>
  <si>
    <t>Lausanne, Parc Musée Olympique</t>
  </si>
  <si>
    <t>46.50734233381607, 6.632895091066393</t>
  </si>
  <si>
    <t>Lausanne, sports UNIL-EPFL</t>
  </si>
  <si>
    <t>46.52105923327657, 6.585838873149353</t>
  </si>
  <si>
    <t>Lausanne, Chalet-à-Gobet/Jorat</t>
  </si>
  <si>
    <t>46.56485297908481, 6.693508885375588</t>
  </si>
  <si>
    <t>Lausanne, Grand-Pré</t>
  </si>
  <si>
    <t>46.54325045640789, 6.653354192094461</t>
  </si>
  <si>
    <t>Lausanne Est</t>
  </si>
  <si>
    <t>46.51419671251871, 6.6344397881272865</t>
  </si>
  <si>
    <t>Vernand-Camarès</t>
  </si>
  <si>
    <t>46.570940000307104, 6.6048000041455435</t>
  </si>
  <si>
    <t>Bel-Air LEB</t>
  </si>
  <si>
    <t>46.57868000100423, 6.605530000263753</t>
  </si>
  <si>
    <t>Lausanne, Malley</t>
  </si>
  <si>
    <t>46.524136454652265, 6.6025634458983165</t>
  </si>
  <si>
    <t>Lausanne-Ouchy (lac)</t>
  </si>
  <si>
    <t>46.505077555652306, 6.627608476044419</t>
  </si>
  <si>
    <t>Lausanne, Rôtillon</t>
  </si>
  <si>
    <t>46.52096558663637, 6.634220076598678</t>
  </si>
  <si>
    <t>Montheron, La Râpe</t>
  </si>
  <si>
    <t>46.59281581730113, 6.657640460852183</t>
  </si>
  <si>
    <t>Lausanne, Hermitage</t>
  </si>
  <si>
    <t>46.53018001887999, 6.636230378269013</t>
  </si>
  <si>
    <t>Lausanne, Couchirard</t>
  </si>
  <si>
    <t>46.52513852621091, 6.613144814490349</t>
  </si>
  <si>
    <t>Lausanne, Cottages</t>
  </si>
  <si>
    <t>46.521310515632464, 6.610036367147301</t>
  </si>
  <si>
    <t>Lausanne, Chalet-Marin</t>
  </si>
  <si>
    <t>46.596019432251985, 6.660413009012411</t>
  </si>
  <si>
    <t>Lausanne, Jordils</t>
  </si>
  <si>
    <t>46.509930277057165, 6.6274361425475465</t>
  </si>
  <si>
    <t>Lausanne, Beaulieu-Jomini</t>
  </si>
  <si>
    <t>46.5272762627482, 6.626393765314147</t>
  </si>
  <si>
    <t>Lausanne, Devin</t>
  </si>
  <si>
    <t>46.5302181296985, 6.651949566098459</t>
  </si>
  <si>
    <t>Lausanne, Délices</t>
  </si>
  <si>
    <t>46.51202170923233, 6.628043244829774</t>
  </si>
  <si>
    <t>Lausanne, Mémise</t>
  </si>
  <si>
    <t>46.527441976018785, 6.633234113080209</t>
  </si>
  <si>
    <t>Lausanne, Presbytère</t>
  </si>
  <si>
    <t>46.52905789981525, 6.621439995641931</t>
  </si>
  <si>
    <t>Lausanne, Molliettes</t>
  </si>
  <si>
    <t>46.55291470504891, 6.693203746657515</t>
  </si>
  <si>
    <t>Lausanne, Montchoisi</t>
  </si>
  <si>
    <t>46.5111229371032, 6.637021389894943</t>
  </si>
  <si>
    <t>Lausanne, Mont-Blanc</t>
  </si>
  <si>
    <t>46.53013200368531, 6.626950440124362</t>
  </si>
  <si>
    <t>Lausanne, Montolieu</t>
  </si>
  <si>
    <t>46.543170413457574, 6.643912264792979</t>
  </si>
  <si>
    <t>Lausanne, Trabandan</t>
  </si>
  <si>
    <t>46.5145394541081, 6.6444113458965655</t>
  </si>
  <si>
    <t>Lausanne, Montoie</t>
  </si>
  <si>
    <t>46.518295103516934, 6.608570896531949</t>
  </si>
  <si>
    <t>Lausanne, Parc Rivier</t>
  </si>
  <si>
    <t>46.536076564288514, 6.615454588844469</t>
  </si>
  <si>
    <t>Lausanne, Vallonnette</t>
  </si>
  <si>
    <t>46.52845797725129, 6.648508093026922</t>
  </si>
  <si>
    <t>Lausanne, avenue du Léman</t>
  </si>
  <si>
    <t>46.51569767030391, 6.6453716638317175</t>
  </si>
  <si>
    <t>Lausanne, Bergières</t>
  </si>
  <si>
    <t>46.53073728679216, 6.618546949123086</t>
  </si>
  <si>
    <t>Lausanne, Bonne-Espérance</t>
  </si>
  <si>
    <t>46.51506221084349, 6.650425684377731</t>
  </si>
  <si>
    <t>Lausanne, Boissonnet</t>
  </si>
  <si>
    <t>46.53907577421806, 6.646279991665431</t>
  </si>
  <si>
    <t>Lausanne, Verdeil</t>
  </si>
  <si>
    <t>46.51823766729253, 6.649686987938624</t>
  </si>
  <si>
    <t>Lausanne, Virgile-Rossel</t>
  </si>
  <si>
    <t>46.526154858785034, 6.648489627667474</t>
  </si>
  <si>
    <t>Lausanne, gare (Fpl)</t>
  </si>
  <si>
    <t>46.517556712791105, 6.629641324834574</t>
  </si>
  <si>
    <t>Lausanne, Montétan</t>
  </si>
  <si>
    <t>46.52923483927885, 6.6141625391045</t>
  </si>
  <si>
    <t>Lausanne, Chalet des Enfants</t>
  </si>
  <si>
    <t>46.57396512410768, 6.6700658736639005</t>
  </si>
  <si>
    <t>Lausanne, Bourdonnette nord</t>
  </si>
  <si>
    <t>46.52488995521233, 6.58921926429905</t>
  </si>
  <si>
    <t>Lausanne, Tour Haldimand-Lac</t>
  </si>
  <si>
    <t>46.505319720925, 6.64074241507208</t>
  </si>
  <si>
    <t>Lausanne, Sallaz</t>
  </si>
  <si>
    <t>46.532813888065064, 6.646189309578407</t>
  </si>
  <si>
    <t>Lausanne, Foyer</t>
  </si>
  <si>
    <t>46.53340454057424, 6.660037250928987</t>
  </si>
  <si>
    <t>Lausanne, Montbenon</t>
  </si>
  <si>
    <t>46.519796869365386, 6.629659927476195</t>
  </si>
  <si>
    <t>Lausanne TRIDEL</t>
  </si>
  <si>
    <t>46.53350400371034, 6.645512246140008</t>
  </si>
  <si>
    <t>Lausanne Paleyres</t>
  </si>
  <si>
    <t>46.51300730333833, 6.638925629414936</t>
  </si>
  <si>
    <t>Lausanne, Chalet à Matthey</t>
  </si>
  <si>
    <t>46.55111231826197, 6.691350919199841</t>
  </si>
  <si>
    <t>Lausanne, Vers-chez-les-Blanc</t>
  </si>
  <si>
    <t>46.55477891706639, 6.694886320159745</t>
  </si>
  <si>
    <t>Lausanne, Cour</t>
  </si>
  <si>
    <t>46.512563462626886, 6.625806923746921</t>
  </si>
  <si>
    <t>Lausanne, César-Roux</t>
  </si>
  <si>
    <t>46.52422298642162, 6.6379930007353245</t>
  </si>
  <si>
    <t>Lausanne, Eugène-Rambert</t>
  </si>
  <si>
    <t>46.515278576262645, 6.648287693897593</t>
  </si>
  <si>
    <t>Lausanne, Maladière/chapelle</t>
  </si>
  <si>
    <t>46.51787489402714, 6.6021412377510105</t>
  </si>
  <si>
    <t>Lausanne, Druey-Collège</t>
  </si>
  <si>
    <t>46.528394080226505, 6.630495776516376</t>
  </si>
  <si>
    <t>Lausanne, Clochatte</t>
  </si>
  <si>
    <t>46.54278140565046, 6.638481284974817</t>
  </si>
  <si>
    <t>Lausanne, Coudrette</t>
  </si>
  <si>
    <t>46.52240578940225, 6.6584206903058</t>
  </si>
  <si>
    <t>Lausanne, Grancy</t>
  </si>
  <si>
    <t>46.51492437334443, 6.628872796791182</t>
  </si>
  <si>
    <t>Lausanne, Faverges</t>
  </si>
  <si>
    <t>46.513786168607, 6.646038214827618</t>
  </si>
  <si>
    <t>Lausanne, Boveresses</t>
  </si>
  <si>
    <t>46.53548068715228, 6.663696485310068</t>
  </si>
  <si>
    <t>Lausanne, Fauconnières</t>
  </si>
  <si>
    <t>46.52449892063212, 6.649686826782073</t>
  </si>
  <si>
    <t>Lausanne, Closelet</t>
  </si>
  <si>
    <t>46.51546706176455, 6.633073710554888</t>
  </si>
  <si>
    <t>Lausanne, Boston</t>
  </si>
  <si>
    <t>46.523895372903915, 6.622860458671855</t>
  </si>
  <si>
    <t>Lausanne, Grattapaille</t>
  </si>
  <si>
    <t>46.536686156271905, 6.618886866808718</t>
  </si>
  <si>
    <t>Lausanne, Dapples</t>
  </si>
  <si>
    <t>46.51475574968287, 6.625422126873046</t>
  </si>
  <si>
    <t>Lausanne, Chalet-Fontaine</t>
  </si>
  <si>
    <t>46.56775559481226, 6.699703292159289</t>
  </si>
  <si>
    <t>Lausanne, Libellules</t>
  </si>
  <si>
    <t>46.54071620430876, 6.64415695530538</t>
  </si>
  <si>
    <t>Lausanne, Les Chavannes</t>
  </si>
  <si>
    <t>46.53025352904524, 6.65707165354116</t>
  </si>
  <si>
    <t>Lausanne, Denantou</t>
  </si>
  <si>
    <t>46.50792510208271, 6.638971074392431</t>
  </si>
  <si>
    <t>Lausanne, Chauderon-Ale</t>
  </si>
  <si>
    <t>46.5238012148865, 6.627293136689102</t>
  </si>
  <si>
    <t>Lausanne, Languedoc</t>
  </si>
  <si>
    <t>46.51789838933218, 6.617099725466848</t>
  </si>
  <si>
    <t>Lausanne, Mauvernay</t>
  </si>
  <si>
    <t>46.56454530868881, 6.6889216820954145</t>
  </si>
  <si>
    <t>Lausanne, Mont d'Or</t>
  </si>
  <si>
    <t>46.51694863215209, 6.615146406150243</t>
  </si>
  <si>
    <t>Lausanne, Pavement</t>
  </si>
  <si>
    <t>46.54112241487272, 6.634138369099671</t>
  </si>
  <si>
    <t>Lausanne, Rasude</t>
  </si>
  <si>
    <t>46.517103711794164, 6.632984164258163</t>
  </si>
  <si>
    <t>Lausanne, Signal</t>
  </si>
  <si>
    <t>46.532584792753525, 6.64045718400786</t>
  </si>
  <si>
    <t>Lausanne, St-Paul</t>
  </si>
  <si>
    <t>46.52721501874511, 6.617883525477641</t>
  </si>
  <si>
    <t>Lausanne, Mousquines</t>
  </si>
  <si>
    <t>46.51683453283932, 6.647140282150639</t>
  </si>
  <si>
    <t>Lausanne, St-Roch</t>
  </si>
  <si>
    <t>46.52557413349888, 6.626132606292008</t>
  </si>
  <si>
    <t>Lausanne, Musée Olympique</t>
  </si>
  <si>
    <t>46.50960756751623, 6.635180614707675</t>
  </si>
  <si>
    <t>Lausanne, Petit Château</t>
  </si>
  <si>
    <t>46.527656220588945, 6.635537942213409</t>
  </si>
  <si>
    <t>Lausanne, Alpes</t>
  </si>
  <si>
    <t>46.515052059302235, 6.636715539399574</t>
  </si>
  <si>
    <t>Lausanne, Allières/CHUV</t>
  </si>
  <si>
    <t>46.523944420064346, 6.6475705248275485</t>
  </si>
  <si>
    <t>Lausanne, Abeilles</t>
  </si>
  <si>
    <t>46.54106606891823, 6.647880459433397</t>
  </si>
  <si>
    <t>Lausanne, Benj. Constant</t>
  </si>
  <si>
    <t>46.51934844453019, 6.637459787362869</t>
  </si>
  <si>
    <t>Lausanne, Blécherette</t>
  </si>
  <si>
    <t>46.542243969419225, 6.621136273264881</t>
  </si>
  <si>
    <t>Lausanne, Beau-Rivage</t>
  </si>
  <si>
    <t>46.50830243967109, 6.627499653840531</t>
  </si>
  <si>
    <t>Lausanne, jardin botanique</t>
  </si>
  <si>
    <t>46.51257970915432, 6.623057263405929</t>
  </si>
  <si>
    <t>Lausanne, Beaulieu</t>
  </si>
  <si>
    <t>46.52811988629551, 6.623604813449963</t>
  </si>
  <si>
    <t>Lausanne, Vieux-Moulin</t>
  </si>
  <si>
    <t>46.533240126224854, 6.630097425436073</t>
  </si>
  <si>
    <t>Lausanne, Vert-Bois/EHL</t>
  </si>
  <si>
    <t>46.56049857284811, 6.684965907058133</t>
  </si>
  <si>
    <t>Lausanne, Musée de la Main</t>
  </si>
  <si>
    <t>46.52479684806809, 6.640759787612795</t>
  </si>
  <si>
    <t>Lausanne, Ecole des Métiers</t>
  </si>
  <si>
    <t>46.52473575294442, 6.614621433049544</t>
  </si>
  <si>
    <t>Lausanne, Valency</t>
  </si>
  <si>
    <t>46.5313365149548, 6.611319888318293</t>
  </si>
  <si>
    <t>Lausanne-Sébeillon</t>
  </si>
  <si>
    <t>46.52427469236492, 6.611029365149114</t>
  </si>
  <si>
    <t>46.51679183546505, 6.629092303198572</t>
  </si>
  <si>
    <t>Lausanne-Flon</t>
  </si>
  <si>
    <t>46.520799993929394, 6.630339996758533</t>
  </si>
  <si>
    <t>Lausanne, Bourdonnette</t>
  </si>
  <si>
    <t>46.523266041542534, 6.589805203035486</t>
  </si>
  <si>
    <t>Lausanne, En Marin</t>
  </si>
  <si>
    <t>46.557109887347174, 6.684134498601808</t>
  </si>
  <si>
    <t>Lausanne, Tunnel</t>
  </si>
  <si>
    <t>46.52544484596654, 6.634502053866642</t>
  </si>
  <si>
    <t>Lausanne, Flon (m1)</t>
  </si>
  <si>
    <t>46.52010567630592, 6.630072336725723</t>
  </si>
  <si>
    <t>Lausanne, Gymnase de Beaulieu</t>
  </si>
  <si>
    <t>46.52743471441883, 6.621800730470289</t>
  </si>
  <si>
    <t>Lausanne, Hôpital ophtalmique</t>
  </si>
  <si>
    <t>46.52551023719283, 6.622253685984112</t>
  </si>
  <si>
    <t>Lausanne, Halle de Sébeillon</t>
  </si>
  <si>
    <t>46.52661000670377, 6.608040334168387</t>
  </si>
  <si>
    <t>Lausanne, Port-Franc</t>
  </si>
  <si>
    <t>46.52219951676092, 6.626955534175485</t>
  </si>
  <si>
    <t>Lausanne, Flon</t>
  </si>
  <si>
    <t>BUS|METRO|TRAM</t>
  </si>
  <si>
    <t>(Metro gehört auf 8501181)</t>
  </si>
  <si>
    <t>46.520569851209416, 6.630577091482784</t>
  </si>
  <si>
    <t>Lausanne, Druey</t>
  </si>
  <si>
    <t>46.529842604595004, 6.627655309820661</t>
  </si>
  <si>
    <t>Lausanne, Entre-Bois</t>
  </si>
  <si>
    <t>46.54107078363393, 6.631467133766876</t>
  </si>
  <si>
    <t>Lausanne, Parc Bourget</t>
  </si>
  <si>
    <t>46.51888647201626, 6.5936271813162985</t>
  </si>
  <si>
    <t>Lavey-Village, Prés Râpets</t>
  </si>
  <si>
    <t>Lavey-Morcles</t>
  </si>
  <si>
    <t>Lavey-Village</t>
  </si>
  <si>
    <t>46.21805197338087, 7.0153443450759525</t>
  </si>
  <si>
    <t>Lavey-les-Bains, Et. Thermal</t>
  </si>
  <si>
    <t>Lavey-les-Bains</t>
  </si>
  <si>
    <t>46.20454256509827, 7.01832590055838</t>
  </si>
  <si>
    <t>Lavey-Village, centre</t>
  </si>
  <si>
    <t>bis 2018: Lavey-Village, poste</t>
  </si>
  <si>
    <t>46.219974128716665, 7.016962298697896</t>
  </si>
  <si>
    <t>Lavey, Front Bastionné</t>
  </si>
  <si>
    <t>46.20948278583744, 7.013946958477066</t>
  </si>
  <si>
    <t>Lavey-les-Bains, place</t>
  </si>
  <si>
    <t>46.206898984302185, 7.015658630142159</t>
  </si>
  <si>
    <t>Lavigny, café</t>
  </si>
  <si>
    <t>Lavigny</t>
  </si>
  <si>
    <t>46.50157190236681, 6.404978773328154</t>
  </si>
  <si>
    <t>Lavigny, hôpital</t>
  </si>
  <si>
    <t>46.50422479212155, 6.410804070978684</t>
  </si>
  <si>
    <t>Lavigny, croisée de St-Livres</t>
  </si>
  <si>
    <t>46.49977014137139, 6.400766154973438</t>
  </si>
  <si>
    <t>Le Brassus, La Combe</t>
  </si>
  <si>
    <t>Le Chenit</t>
  </si>
  <si>
    <t>Le Brassus</t>
  </si>
  <si>
    <t>46.59275718975028, 6.201317222904599</t>
  </si>
  <si>
    <t>Le Brassus, Piguet-Dessus</t>
  </si>
  <si>
    <t>46.59733591217941, 6.203744350057091</t>
  </si>
  <si>
    <t>Le Rocheray, bif. gare</t>
  </si>
  <si>
    <t>Le Sentier</t>
  </si>
  <si>
    <t>46.62339593993159, 6.251580215528472</t>
  </si>
  <si>
    <t>Le Solliat-La Golisse, gare</t>
  </si>
  <si>
    <t>46.61459871223159, 6.238861459889915</t>
  </si>
  <si>
    <t>Le Brassus, Bas-du-Chenit</t>
  </si>
  <si>
    <t>46.57170196895479, 6.189652825106321</t>
  </si>
  <si>
    <t>Le Brassus, Combe des Amburnex</t>
  </si>
  <si>
    <t>46.55948375022864, 6.2489671565606475</t>
  </si>
  <si>
    <t>Le Rocheray</t>
  </si>
  <si>
    <t>46.62445724420983, 6.250263659575705</t>
  </si>
  <si>
    <t>L'Orient, centre</t>
  </si>
  <si>
    <t>L'Orient</t>
  </si>
  <si>
    <t>46.601064385324705, 6.237739642273876</t>
  </si>
  <si>
    <t>L'Orient, Crêt</t>
  </si>
  <si>
    <t>46.60593394624081, 6.245797530372655</t>
  </si>
  <si>
    <t>Chez-le-Maître-Ecoles</t>
  </si>
  <si>
    <t>46.599460647877486, 6.22215117048849</t>
  </si>
  <si>
    <t>Le Sentier, Chez-le-Maître</t>
  </si>
  <si>
    <t>46.600154349344066, 6.2206480409897775</t>
  </si>
  <si>
    <t>Le Solliat, Chez le Brigadier</t>
  </si>
  <si>
    <t>Le Solliat</t>
  </si>
  <si>
    <t>46.6128908188535, 6.227123407402121</t>
  </si>
  <si>
    <t>Le Brassus, Tribillet</t>
  </si>
  <si>
    <t>46.589188246603676, 6.208197930786563</t>
  </si>
  <si>
    <t>Le Rocheray (lac)</t>
  </si>
  <si>
    <t>46.62280366496265, 6.251723819886945</t>
  </si>
  <si>
    <t>Chez-le-Maître</t>
  </si>
  <si>
    <t>46.5977324529628, 6.218613875039215</t>
  </si>
  <si>
    <t>Le Sentier, Chez les Aubert</t>
  </si>
  <si>
    <t>46.601463887287224, 6.208583882028663</t>
  </si>
  <si>
    <t>Le Sentier, Chez le Christ</t>
  </si>
  <si>
    <t>46.60710036070678, 6.219864742801005</t>
  </si>
  <si>
    <t>Le Brassus, gare</t>
  </si>
  <si>
    <t>46.58543983560848, 6.213489824953001</t>
  </si>
  <si>
    <t>L'Orient, Paul Golay</t>
  </si>
  <si>
    <t>46.59562650039665, 6.23223296966624</t>
  </si>
  <si>
    <t>Le Sentier, La Golisse</t>
  </si>
  <si>
    <t>46.61174616989329, 6.236248550165374</t>
  </si>
  <si>
    <t>Le Sentier, Les Tours</t>
  </si>
  <si>
    <t>46.603642972400564, 6.225532626428043</t>
  </si>
  <si>
    <t>Le Sentier, hôpital</t>
  </si>
  <si>
    <t>46.60217856422099, 6.222325359774102</t>
  </si>
  <si>
    <t>Le Sentier-L'Orient, gare</t>
  </si>
  <si>
    <t>46.605921603105706, 6.231226856485401</t>
  </si>
  <si>
    <t>Le Solliat-La Golisse, bif.</t>
  </si>
  <si>
    <t>46.61411061437852, 6.237012006921847</t>
  </si>
  <si>
    <t>46.58554394143053, 6.213944883183952</t>
  </si>
  <si>
    <t>Le Brassus, Le Campe</t>
  </si>
  <si>
    <t>46.59087787274417, 6.225607511803111</t>
  </si>
  <si>
    <t>Le Sentier-L'Orient</t>
  </si>
  <si>
    <t>46.605791169039755, 6.231426553417619</t>
  </si>
  <si>
    <t>Le Solliat-La Golisse</t>
  </si>
  <si>
    <t>46.61440647573065, 6.239022951719967</t>
  </si>
  <si>
    <t>Le Solliat, centre</t>
  </si>
  <si>
    <t>46.618552258611565, 6.23244103104394</t>
  </si>
  <si>
    <t>Le Sentier, Derrière-la-Côte</t>
  </si>
  <si>
    <t>46.603593766126714, 6.215035879702328</t>
  </si>
  <si>
    <t>Le Brassus, Marchairuz</t>
  </si>
  <si>
    <t>46.5792848729429, 6.20643335461347</t>
  </si>
  <si>
    <t>Le Brassus,ancienne imprimerie</t>
  </si>
  <si>
    <t>46.58371599143408, 6.213815992361254</t>
  </si>
  <si>
    <t>Le Sentier, temple</t>
  </si>
  <si>
    <t>46.608470388193936, 6.231792795109571</t>
  </si>
  <si>
    <t>Le Brassus, place de la Lande</t>
  </si>
  <si>
    <t>46.58168178726493, 6.211226431522642</t>
  </si>
  <si>
    <t>Les Charbonnières</t>
  </si>
  <si>
    <t>Le Lieu</t>
  </si>
  <si>
    <t>46.6642945398443, 6.317044772809531</t>
  </si>
  <si>
    <t>Le Séchey</t>
  </si>
  <si>
    <t>46.65847612898224, 6.306011996084794</t>
  </si>
  <si>
    <t>Le Lieu Roche Fendue (lac)</t>
  </si>
  <si>
    <t>46.64483001040563, 6.284654006151518</t>
  </si>
  <si>
    <t>Le Lieu, gare</t>
  </si>
  <si>
    <t>46.64714338247465, 6.28357307847912</t>
  </si>
  <si>
    <t>46.64689995822125, 6.283407201199825</t>
  </si>
  <si>
    <t>Les Esserts-de-Rive</t>
  </si>
  <si>
    <t>46.63198425635682, 6.260368353724561</t>
  </si>
  <si>
    <t>Le Lieu, place du village</t>
  </si>
  <si>
    <t>46.64695104980641, 6.280930574092977</t>
  </si>
  <si>
    <t>Le Séchey, bif. gare</t>
  </si>
  <si>
    <t>46.660041172486316, 6.30046678408017</t>
  </si>
  <si>
    <t>Les Esserts-de-Rive, gare</t>
  </si>
  <si>
    <t>46.6303773127303, 6.259318803170047</t>
  </si>
  <si>
    <t>Les Charbonnières, bif. gare</t>
  </si>
  <si>
    <t>46.66568939420232, 6.31599452383085</t>
  </si>
  <si>
    <t>Le Mont-sur-L., Petit-Mont</t>
  </si>
  <si>
    <t>46.55354605146338, 6.6341489597470185</t>
  </si>
  <si>
    <t>Le Mont-sur-L., Coppoz</t>
  </si>
  <si>
    <t>46.55954118351062, 6.635950718460932</t>
  </si>
  <si>
    <t>Le Mont-sur-L., Etavez</t>
  </si>
  <si>
    <t>46.56617536543166, 6.633986928806465</t>
  </si>
  <si>
    <t>Le Mont-sur-L., Rionzi</t>
  </si>
  <si>
    <t>46.54344817362677, 6.632728873200291</t>
  </si>
  <si>
    <t>Le Mont-sur-L., Coppoz-Poste</t>
  </si>
  <si>
    <t>46.556910830173074, 6.635455120225</t>
  </si>
  <si>
    <t>Le Mont-sur-L., Budron</t>
  </si>
  <si>
    <t>46.57549207017127, 6.633535008522488</t>
  </si>
  <si>
    <t>Le Mont-sur-L., Côtes</t>
  </si>
  <si>
    <t>46.549965662347965, 6.631620473740334</t>
  </si>
  <si>
    <t>Le Mont-sur-L., Maillefer</t>
  </si>
  <si>
    <t>46.54245502339034, 6.626726212506945</t>
  </si>
  <si>
    <t>Le Mont-sur-L., Planches</t>
  </si>
  <si>
    <t>46.56544477039052, 6.650835244961732</t>
  </si>
  <si>
    <t>Le Mont-sur-L., Martines</t>
  </si>
  <si>
    <t>46.546332935789756, 6.631857273683911</t>
  </si>
  <si>
    <t>Le Mont-sur-L., Fougères</t>
  </si>
  <si>
    <t>46.570988391756025, 6.634006527775653</t>
  </si>
  <si>
    <t>Le Mont-sur-L., Rionzi/collège</t>
  </si>
  <si>
    <t>46.54430546185863, 6.629990163376046</t>
  </si>
  <si>
    <t>Le Mont-sur-L., Grand-Mont</t>
  </si>
  <si>
    <t>46.56300726025212, 6.63250814788452</t>
  </si>
  <si>
    <t>Le Vaud, zoo</t>
  </si>
  <si>
    <t>Le Vaud</t>
  </si>
  <si>
    <t>46.479526167609755, 6.240853312580069</t>
  </si>
  <si>
    <t>Le Vaud, place du Battoir</t>
  </si>
  <si>
    <t>46.47759112752006, 6.237379980010639</t>
  </si>
  <si>
    <t>Les Clées-La Russille, croisée</t>
  </si>
  <si>
    <t>Les Clées</t>
  </si>
  <si>
    <t>46.732344487899404, 6.479942624968056</t>
  </si>
  <si>
    <t>Leysin-Grand-Hôtel</t>
  </si>
  <si>
    <t>Leysin</t>
  </si>
  <si>
    <t>46.34554999783669, 7.0064299965984835</t>
  </si>
  <si>
    <t>Les Fers (Solepraz)</t>
  </si>
  <si>
    <t>Télé-Leysin-Col des Mosses - La Lécherette SA</t>
  </si>
  <si>
    <t>ch:1:sboid:100191</t>
  </si>
  <si>
    <t>SBA.74.023.9</t>
  </si>
  <si>
    <t>46.37365764412708, 7.029242798751895</t>
  </si>
  <si>
    <t>Lac d'Aï (Berneuse)</t>
  </si>
  <si>
    <t>SBA.74.092.1</t>
  </si>
  <si>
    <t>46.363998194776066, 7.003301397090915</t>
  </si>
  <si>
    <t>Leysin, Maison de Commune</t>
  </si>
  <si>
    <t>Office du tourisme de Leysin</t>
  </si>
  <si>
    <t>ch:1:sboid:101195</t>
  </si>
  <si>
    <t>46.34018869908775, 7.008597194805504</t>
  </si>
  <si>
    <t>Leysin, Esplanade-Kumon</t>
  </si>
  <si>
    <t>46.341926169328154, 7.004232106104188</t>
  </si>
  <si>
    <t>Mayen (Leysin)</t>
  </si>
  <si>
    <t>SBA.73.285.8</t>
  </si>
  <si>
    <t>46.366111850884195, 7.015044639959464</t>
  </si>
  <si>
    <t>Leysin-Village</t>
  </si>
  <si>
    <t>46.33926000110756, 7.006049999410673</t>
  </si>
  <si>
    <t>Rennaz (Leysin)</t>
  </si>
  <si>
    <t>46.327360001504246, 7.000869993674491</t>
  </si>
  <si>
    <t>Leysin, place du Marché</t>
  </si>
  <si>
    <t>46.34389577924916, 7.013568693294741</t>
  </si>
  <si>
    <t>Leysin, Village Camps</t>
  </si>
  <si>
    <t>46.34450099424461, 7.009874260398891</t>
  </si>
  <si>
    <t>Leysin, Miremont</t>
  </si>
  <si>
    <t>46.34199170621179, 7.008664583928074</t>
  </si>
  <si>
    <t>Leysin, La Croisée</t>
  </si>
  <si>
    <t>46.34114529643926, 7.011771847460562</t>
  </si>
  <si>
    <t>Leysin, Les Esserts-Fontaine</t>
  </si>
  <si>
    <t>46.35495746679588, 7.024849930336622</t>
  </si>
  <si>
    <t>Leysin, American School</t>
  </si>
  <si>
    <t>46.340432396534986, 7.001776249970131</t>
  </si>
  <si>
    <t>Leysin, Versmont (gare)</t>
  </si>
  <si>
    <t>46.3415773031036, 7.007092453552123</t>
  </si>
  <si>
    <t>Leysin, En Crettaz</t>
  </si>
  <si>
    <t>46.34619326359194, 7.026670521569524</t>
  </si>
  <si>
    <t>Leysin-Feydey</t>
  </si>
  <si>
    <t>46.344440002325136, 7.008360006105951</t>
  </si>
  <si>
    <t>Leysin, télécabine Berneuse</t>
  </si>
  <si>
    <t>46.34646456411481, 7.0173026543058405</t>
  </si>
  <si>
    <t>Leysin, Fabiola</t>
  </si>
  <si>
    <t>46.35391080158635, 7.021545017696086</t>
  </si>
  <si>
    <t>Leysin, Les Alpes</t>
  </si>
  <si>
    <t>46.35161694951204, 7.021562681326722</t>
  </si>
  <si>
    <t>Leysin, Central Résidence</t>
  </si>
  <si>
    <t>46.34525029080418, 7.01243555851032</t>
  </si>
  <si>
    <t>Leysin, place de la Tour d'Aï</t>
  </si>
  <si>
    <t>46.34232435169845, 7.014321397806101</t>
  </si>
  <si>
    <t>Leysin Tresseleire</t>
  </si>
  <si>
    <t>SBA.73.124.3</t>
  </si>
  <si>
    <t>46.3548972154689, 7.0182764196231995</t>
  </si>
  <si>
    <t>Brion (télésiège Mayen aval)</t>
  </si>
  <si>
    <t>SBA.73.285.3</t>
  </si>
  <si>
    <t>46.369754092817765, 7.026933108060807</t>
  </si>
  <si>
    <t>Chaux-de-Mont</t>
  </si>
  <si>
    <t>SBA.74.020.9</t>
  </si>
  <si>
    <t>46.37217420435029, 6.9983620936309805</t>
  </si>
  <si>
    <t>Les Fers (Brion)</t>
  </si>
  <si>
    <t>SBA.73.285.1</t>
  </si>
  <si>
    <t>46.37318220013545, 7.029610293304463</t>
  </si>
  <si>
    <t>Leysin, Tobogganing Park</t>
  </si>
  <si>
    <t>46.34182104424266, 7.021349093990974</t>
  </si>
  <si>
    <t>Versmont</t>
  </si>
  <si>
    <t>46.341419998594446, 7.006949998138227</t>
  </si>
  <si>
    <t>Leysin-Feydey, gare</t>
  </si>
  <si>
    <t>46.34473290432311, 7.008950811683542</t>
  </si>
  <si>
    <t>Berneuse (Aï)</t>
  </si>
  <si>
    <t>SBA.74.092.9</t>
  </si>
  <si>
    <t>46.36009783453766, 7.0019554573811345</t>
  </si>
  <si>
    <t>Tête d'Aï</t>
  </si>
  <si>
    <t>SBA.73.124.9</t>
  </si>
  <si>
    <t>46.36516082293461, 7.0085678218550935</t>
  </si>
  <si>
    <t>Leysin (Tête d'Aï aval)</t>
  </si>
  <si>
    <t>SBA.73.124.1, VP=85-1467</t>
  </si>
  <si>
    <t>46.3477701218079, 7.017617258037003</t>
  </si>
  <si>
    <t>Lac d'Aï (Chaux-de-Mont)</t>
  </si>
  <si>
    <t>SBA.74.020.1</t>
  </si>
  <si>
    <t>46.36456696164853, 7.003829594236408</t>
  </si>
  <si>
    <t>Brion (télésiège Le Fer aval)</t>
  </si>
  <si>
    <t>SBA.73.285.2</t>
  </si>
  <si>
    <t>46.36987164973006, 7.027101157222057</t>
  </si>
  <si>
    <t>Les Ars</t>
  </si>
  <si>
    <t>SBA.74.024.9</t>
  </si>
  <si>
    <t>46.37787674767219, 7.034266932278284</t>
  </si>
  <si>
    <t>Leysin, Grand Hôtel (virage)</t>
  </si>
  <si>
    <t>46.34431346648863, 7.005122230522644</t>
  </si>
  <si>
    <t>La Roulaz</t>
  </si>
  <si>
    <t>46.33131999730594, 7.00148000014369</t>
  </si>
  <si>
    <t>Berneuse (Leysin)</t>
  </si>
  <si>
    <t>SBA.72.018.9</t>
  </si>
  <si>
    <t>46.35953468020671, 7.00288251250253</t>
  </si>
  <si>
    <t>Leysin (station aval)</t>
  </si>
  <si>
    <t>SBA.72.018.1</t>
  </si>
  <si>
    <t>46.3475445080143, 7.017424157326553</t>
  </si>
  <si>
    <t>Leysin, patinoire</t>
  </si>
  <si>
    <t>46.341534540978884, 7.019627032143599</t>
  </si>
  <si>
    <t>Tête d'Aï (télésiège Mayen)</t>
  </si>
  <si>
    <t>SBA.73.285.9</t>
  </si>
  <si>
    <t>46.365360305506385, 7.008982063392456</t>
  </si>
  <si>
    <t>Leysin, Centres Sportifs</t>
  </si>
  <si>
    <t>46.34092566285897, 7.017969188130215</t>
  </si>
  <si>
    <t>Lignerolle, église</t>
  </si>
  <si>
    <t>Lignerolle</t>
  </si>
  <si>
    <t>46.73996162715999, 6.456245852280388</t>
  </si>
  <si>
    <t>Lignerolle, Le Daillard</t>
  </si>
  <si>
    <t>46.735362712413156, 6.437533944830182</t>
  </si>
  <si>
    <t>Lignerolle, CVE</t>
  </si>
  <si>
    <t>46.73474703143549, 6.4432921458081545</t>
  </si>
  <si>
    <t>Villars-Bozon</t>
  </si>
  <si>
    <t>L'Isle</t>
  </si>
  <si>
    <t>46.610459995813315, 6.402360000521308</t>
  </si>
  <si>
    <t>L'Isle, Les Tigneuses</t>
  </si>
  <si>
    <t>46.62057618370623, 6.413105400636739</t>
  </si>
  <si>
    <t>L'Isle, gare</t>
  </si>
  <si>
    <t>46.61723310437351, 6.411367604019327</t>
  </si>
  <si>
    <t>Villars-Bozon, gare</t>
  </si>
  <si>
    <t>46.61055622951166, 6.402293036270016</t>
  </si>
  <si>
    <t>La Coudre (L'Isle),bas village</t>
  </si>
  <si>
    <t>La Coudre</t>
  </si>
  <si>
    <t>46.637018080246044, 6.404449147624716</t>
  </si>
  <si>
    <t>La Coudre (L'Isle), village</t>
  </si>
  <si>
    <t>46.639241204725664, 6.402785167314402</t>
  </si>
  <si>
    <t>46.617269994104504, 6.411180004126904</t>
  </si>
  <si>
    <t>Lonay-Préverenges</t>
  </si>
  <si>
    <t>46.52313562904891, 6.519544736654456</t>
  </si>
  <si>
    <t>Lonay B (bif)</t>
  </si>
  <si>
    <t>46.52480868959968, 6.524339327578446</t>
  </si>
  <si>
    <t>Lausanne-Triage P1</t>
  </si>
  <si>
    <t>46.52573288016737, 6.528113039230514</t>
  </si>
  <si>
    <t>Lausanne-Triage SALT</t>
  </si>
  <si>
    <t>46.52349279197557, 6.5274119294891</t>
  </si>
  <si>
    <t>Lausanne-Triage K</t>
  </si>
  <si>
    <t>46.524041096495736, 6.526724848813009</t>
  </si>
  <si>
    <t>Lonay, Carouge</t>
  </si>
  <si>
    <t>46.52666435361372, 6.525774290260948</t>
  </si>
  <si>
    <t>Lonay, église</t>
  </si>
  <si>
    <t>46.52649762159604, 6.5207269992306225</t>
  </si>
  <si>
    <t>Lonay-Préverenges, gare nord</t>
  </si>
  <si>
    <t>46.523660527207774, 6.519038090747087</t>
  </si>
  <si>
    <t>Lonay, collège sud</t>
  </si>
  <si>
    <t>46.52470754682564, 6.521650386396888</t>
  </si>
  <si>
    <t>Lausanne-Triage F</t>
  </si>
  <si>
    <t>46.52531154388454, 6.529706487626105</t>
  </si>
  <si>
    <t>Lonay A (bif)</t>
  </si>
  <si>
    <t>46.52361246493201, 6.521015278801605</t>
  </si>
  <si>
    <t>Lonay, parc</t>
  </si>
  <si>
    <t>46.528407782936604, 6.516653893770513</t>
  </si>
  <si>
    <t>Lonay, Levant</t>
  </si>
  <si>
    <t>46.52279315369077, 6.515503250130839</t>
  </si>
  <si>
    <t>Lonay, Grassiaz</t>
  </si>
  <si>
    <t>46.52203502651404, 6.5129178756353</t>
  </si>
  <si>
    <t>Lonay, Pressoirs</t>
  </si>
  <si>
    <t>46.52552094712969, 6.519900473349569</t>
  </si>
  <si>
    <t>Lausanne-Triage sectionnement</t>
  </si>
  <si>
    <t>46.52106752284738, 6.521296451535183</t>
  </si>
  <si>
    <t>Lausanne-Triage Ouest</t>
  </si>
  <si>
    <t>46.524156667348116, 6.523572184242272</t>
  </si>
  <si>
    <t>Lonay, Vozy</t>
  </si>
  <si>
    <t>46.52805334606262, 6.529589985647305</t>
  </si>
  <si>
    <t>Lonay-Préverenges, gare sud</t>
  </si>
  <si>
    <t>46.52320756676826, 6.521043526008309</t>
  </si>
  <si>
    <t>Longirod, village</t>
  </si>
  <si>
    <t>Longirod</t>
  </si>
  <si>
    <t>46.4942049657791, 6.258518319048788</t>
  </si>
  <si>
    <t>Lovatens, Prassy</t>
  </si>
  <si>
    <t>Lovatens</t>
  </si>
  <si>
    <t>46.69861201053696, 6.868930680323019</t>
  </si>
  <si>
    <t>Lovatens, village</t>
  </si>
  <si>
    <t>46.69186777417588, 6.8640733660457744</t>
  </si>
  <si>
    <t>Brenles, La Gaîté</t>
  </si>
  <si>
    <t>Lucens</t>
  </si>
  <si>
    <t>Brenles</t>
  </si>
  <si>
    <t>46.67598490527234, 6.852440981064616</t>
  </si>
  <si>
    <t>Lucens, gare</t>
  </si>
  <si>
    <t>46.70791096578047, 6.842089302888878</t>
  </si>
  <si>
    <t>Oulens-sur-Lucens, village</t>
  </si>
  <si>
    <t>Oulens-sur-Lucens</t>
  </si>
  <si>
    <t>46.704183412583575, 6.808105830868072</t>
  </si>
  <si>
    <t>Oulens-sur-Lucens, La Crausaz</t>
  </si>
  <si>
    <t>46.700252587999955, 6.8081649251144665</t>
  </si>
  <si>
    <t>Brenles, village</t>
  </si>
  <si>
    <t>46.67188623483331, 6.8530997932277815</t>
  </si>
  <si>
    <t>Lucens, chemin de la Forêt</t>
  </si>
  <si>
    <t>46.704296270560405, 6.835564993980835</t>
  </si>
  <si>
    <t>46.707771374509534, 6.8421502331077</t>
  </si>
  <si>
    <t>Sarzens, village</t>
  </si>
  <si>
    <t>Sarzens</t>
  </si>
  <si>
    <t>46.680824433196044, 6.848924586442271</t>
  </si>
  <si>
    <t>Lucens, Pré au Loup</t>
  </si>
  <si>
    <t>46.70455717763884, 6.838975029267161</t>
  </si>
  <si>
    <t>Cremin, village</t>
  </si>
  <si>
    <t>Cremin</t>
  </si>
  <si>
    <t>46.72522316724517, 6.841217208262103</t>
  </si>
  <si>
    <t>Lucens, centre</t>
  </si>
  <si>
    <t>46.7078742047958, 6.838519616912551</t>
  </si>
  <si>
    <t>Forel-sur-Lucens, Dessous</t>
  </si>
  <si>
    <t>Forel-sur-Lucens</t>
  </si>
  <si>
    <t>46.72557810615411, 6.821747892682556</t>
  </si>
  <si>
    <t>Chesalles-sur-Moudon</t>
  </si>
  <si>
    <t>46.67580487464043, 6.834721176408275</t>
  </si>
  <si>
    <t>Luins, village</t>
  </si>
  <si>
    <t>Luins</t>
  </si>
  <si>
    <t>46.44243242406186, 6.27272596598211</t>
  </si>
  <si>
    <t>Lully VD, village</t>
  </si>
  <si>
    <t>Lully (VD)</t>
  </si>
  <si>
    <t>Lully VD</t>
  </si>
  <si>
    <t>46.50472463953865, 6.467056615565475</t>
  </si>
  <si>
    <t>Lussery-Villars, rue Villars</t>
  </si>
  <si>
    <t>Lussery-Villars</t>
  </si>
  <si>
    <t>46.635380058242525, 6.529884156541107</t>
  </si>
  <si>
    <t>Lussery-Villars,pl. de Lussery</t>
  </si>
  <si>
    <t>46.630573818544626, 6.525107143654977</t>
  </si>
  <si>
    <t>Lussery-Villars, chapelle</t>
  </si>
  <si>
    <t>46.632898028814076, 6.526734798736501</t>
  </si>
  <si>
    <t>Lussy-sur-Morges, village</t>
  </si>
  <si>
    <t>Lussy-sur-Morges</t>
  </si>
  <si>
    <t>46.50427842671238, 6.449211920139097</t>
  </si>
  <si>
    <t>Lussy-sur-Morges, Riettaz</t>
  </si>
  <si>
    <t>46.504143066666174, 6.452263115025502</t>
  </si>
  <si>
    <t>Lutry (lac)</t>
  </si>
  <si>
    <t>46.501262500404174, 6.684004709713133</t>
  </si>
  <si>
    <t>La Conversion</t>
  </si>
  <si>
    <t>46.51308449748618, 6.678323596771186</t>
  </si>
  <si>
    <t>Lutry, Les Hugonnet</t>
  </si>
  <si>
    <t>La Croix (Lutry)</t>
  </si>
  <si>
    <t>46.52246998783159, 6.70328869169736</t>
  </si>
  <si>
    <t>Lutry, Croix/Lutry</t>
  </si>
  <si>
    <t>46.51711061015259, 6.702845534057115</t>
  </si>
  <si>
    <t>Lutry, Crêt-de-Foux</t>
  </si>
  <si>
    <t>46.52111093448688, 6.691120613836574</t>
  </si>
  <si>
    <t>Lutry, Sapelle</t>
  </si>
  <si>
    <t>46.51191974255915, 6.704206169666001</t>
  </si>
  <si>
    <t>Lutry, Jordillon</t>
  </si>
  <si>
    <t>46.50910275236407, 6.708192358563779</t>
  </si>
  <si>
    <t>Lutry, Landar</t>
  </si>
  <si>
    <t>46.51774508102995, 6.690023422109177</t>
  </si>
  <si>
    <t>La Conversion, gare</t>
  </si>
  <si>
    <t>46.51276507274039, 6.678225214604862</t>
  </si>
  <si>
    <t>Lutry, port</t>
  </si>
  <si>
    <t>46.5018199814442, 6.684072255384483</t>
  </si>
  <si>
    <t>Lutry, Rive</t>
  </si>
  <si>
    <t>46.501372581093655, 6.689862756119478</t>
  </si>
  <si>
    <t>Lutry, Péraulaz</t>
  </si>
  <si>
    <t>arrêt taxibus TL 10.954</t>
  </si>
  <si>
    <t>46.51742811670202, 6.681378393326584</t>
  </si>
  <si>
    <t>Lutry, Echerins</t>
  </si>
  <si>
    <t>46.51846476059874, 6.700807187250174</t>
  </si>
  <si>
    <t>Lutry, Bouttettes</t>
  </si>
  <si>
    <t>46.50891410382262, 6.705445706313886</t>
  </si>
  <si>
    <t>Lutry, Orzens</t>
  </si>
  <si>
    <t>46.50698865853239, 6.683465929798948</t>
  </si>
  <si>
    <t>Lutry, avenue William</t>
  </si>
  <si>
    <t>46.50942440569307, 6.681790182385393</t>
  </si>
  <si>
    <t>Lutry, Taillepied</t>
  </si>
  <si>
    <t>Bedienung abklären</t>
  </si>
  <si>
    <t>46.504435429565405, 6.685064993274074</t>
  </si>
  <si>
    <t>Lutry, Savuit-place</t>
  </si>
  <si>
    <t>46.50727244056566, 6.6937288362932215</t>
  </si>
  <si>
    <t>Lutry, Corniche</t>
  </si>
  <si>
    <t>46.50069866176528, 6.6940799504994635</t>
  </si>
  <si>
    <t>Lutry, Les Champs</t>
  </si>
  <si>
    <t>46.50475397561992, 6.686975731357493</t>
  </si>
  <si>
    <t>Lutry, Gravesse</t>
  </si>
  <si>
    <t>46.511315535632114, 6.695692772478087</t>
  </si>
  <si>
    <t>Lutry, Ponfilet</t>
  </si>
  <si>
    <t>46.51311944210813, 6.689569741645611</t>
  </si>
  <si>
    <t>Lutry, Marionnettes</t>
  </si>
  <si>
    <t>46.51265832891642, 6.685145821762788</t>
  </si>
  <si>
    <t>Lutry, Corsy-Dessous</t>
  </si>
  <si>
    <t>46.51357846864982, 6.680129264757765</t>
  </si>
  <si>
    <t>Lutry, Culturaz</t>
  </si>
  <si>
    <t>46.50395113914983, 6.688003094292254</t>
  </si>
  <si>
    <t>Lutry, Bossières</t>
  </si>
  <si>
    <t>46.50976755291357, 6.696964888807992</t>
  </si>
  <si>
    <t>Lutry, gare</t>
  </si>
  <si>
    <t>arrêt taxibus TL 10.950, 10.954</t>
  </si>
  <si>
    <t>46.50378595916846, 6.690233206905465</t>
  </si>
  <si>
    <t>Taillepied (diag)</t>
  </si>
  <si>
    <t>46.50584037398157, 6.681905507835376</t>
  </si>
  <si>
    <t>Bossière</t>
  </si>
  <si>
    <t>46.50974851437563, 6.699321762374976</t>
  </si>
  <si>
    <t>Lutry, Bras-de-Fer</t>
  </si>
  <si>
    <t>46.512163201358106, 6.700137446166292</t>
  </si>
  <si>
    <t>Lutry, Echerins/Collège</t>
  </si>
  <si>
    <t>46.52409909877204, 6.700646895261609</t>
  </si>
  <si>
    <t>Lutry, Poses-Franches</t>
  </si>
  <si>
    <t>46.51906515143691, 6.690970369824829</t>
  </si>
  <si>
    <t>Lutry, Coullènes</t>
  </si>
  <si>
    <t>46.52137938700991, 6.694597858488084</t>
  </si>
  <si>
    <t>Lutry, Crêt-Ministre</t>
  </si>
  <si>
    <t>46.51982027275672, 6.693759206285002</t>
  </si>
  <si>
    <t>Lutry, Corsy-Dessus</t>
  </si>
  <si>
    <t>46.51487002034751, 6.686300801027735</t>
  </si>
  <si>
    <t>Lutry, Brûlées</t>
  </si>
  <si>
    <t>46.51444818491392, 6.690528635214106</t>
  </si>
  <si>
    <t>Lutry, Brélaz</t>
  </si>
  <si>
    <t>46.51318082157308, 6.697543518916792</t>
  </si>
  <si>
    <t>Lutry, Colline</t>
  </si>
  <si>
    <t>46.510631378063955, 6.679323674105725</t>
  </si>
  <si>
    <t>Lutry, Fénix</t>
  </si>
  <si>
    <t>46.50684055537378, 6.680145621271185</t>
  </si>
  <si>
    <t>Lutry, Mourat</t>
  </si>
  <si>
    <t>46.50962962738446, 6.686947029951744</t>
  </si>
  <si>
    <t>Lutry, Flon-de-Vaux</t>
  </si>
  <si>
    <t>46.51091223679332, 6.691815407488561</t>
  </si>
  <si>
    <t>Lutry, Savoie</t>
  </si>
  <si>
    <t>46.51611879285049, 6.701112863296209</t>
  </si>
  <si>
    <t>Lutry, Grand-Pont</t>
  </si>
  <si>
    <t>46.50411133196771, 6.6809786331976495</t>
  </si>
  <si>
    <t>Lutry, Voisinand</t>
  </si>
  <si>
    <t>46.50367914221162, 6.68632623776471</t>
  </si>
  <si>
    <t>46.50378676835819, 6.690609436558635</t>
  </si>
  <si>
    <t>Maracon, La Crosettaz</t>
  </si>
  <si>
    <t>Maracon</t>
  </si>
  <si>
    <t>46.54639696627225, 6.871227477474988</t>
  </si>
  <si>
    <t>La Rogivue</t>
  </si>
  <si>
    <t>46.56444742756977, 6.894253459275097</t>
  </si>
  <si>
    <t>Maracon, bif.</t>
  </si>
  <si>
    <t>46.54960933585907, 6.87320172361187</t>
  </si>
  <si>
    <t>La Rougève, village</t>
  </si>
  <si>
    <t>46.565039907528806, 6.897755958531367</t>
  </si>
  <si>
    <t>Marchissy, village</t>
  </si>
  <si>
    <t>Marchissy</t>
  </si>
  <si>
    <t>46.48934336162551, 6.2470055144336305</t>
  </si>
  <si>
    <t>Marchissy, Les Raisses</t>
  </si>
  <si>
    <t>46.4784379362879, 6.252012067461973</t>
  </si>
  <si>
    <t>Mathod, collège</t>
  </si>
  <si>
    <t>Mathod</t>
  </si>
  <si>
    <t>46.766080010419984, 6.564430006439808</t>
  </si>
  <si>
    <t>Mathod, Bras d'Or</t>
  </si>
  <si>
    <t>46.76734650024686, 6.56593721029729</t>
  </si>
  <si>
    <t>Mathod, Moulin de Mathod</t>
  </si>
  <si>
    <t>46.76783466266667, 6.556895634810342</t>
  </si>
  <si>
    <t>Mauborget, village</t>
  </si>
  <si>
    <t>Mauborget</t>
  </si>
  <si>
    <t>46.85531129549442, 6.613474137134418</t>
  </si>
  <si>
    <t>Mauborget, bif. La Magnenaz</t>
  </si>
  <si>
    <t>46.85690249971942, 6.604663414226233</t>
  </si>
  <si>
    <t>Mauborget, anc. poste</t>
  </si>
  <si>
    <t>46.85578373953384, 6.616614136955792</t>
  </si>
  <si>
    <t>Mauborget, Les Pièces</t>
  </si>
  <si>
    <t>46.85241970268098, 6.614174187196906</t>
  </si>
  <si>
    <t>Mex VD, village</t>
  </si>
  <si>
    <t>Mex (VD)</t>
  </si>
  <si>
    <t>Mex VD</t>
  </si>
  <si>
    <t>46.57808081806161, 6.554117302588821</t>
  </si>
  <si>
    <t>Mex VD, En Verney</t>
  </si>
  <si>
    <t>arrêt taxibus TL 10.953</t>
  </si>
  <si>
    <t>46.57113860694461, 6.552671361362223</t>
  </si>
  <si>
    <t>Mex VD, Trésy</t>
  </si>
  <si>
    <t>46.57541945288238, 6.562085352251016</t>
  </si>
  <si>
    <t>Mex VD, Les Esserts</t>
  </si>
  <si>
    <t>46.57647982712673, 6.566295005245749</t>
  </si>
  <si>
    <t>Mies, village</t>
  </si>
  <si>
    <t>Mies</t>
  </si>
  <si>
    <t>46.30754972193196, 6.1715248227394195</t>
  </si>
  <si>
    <t>46.29848883327675, 6.16765465076935</t>
  </si>
  <si>
    <t>Mies, gare</t>
  </si>
  <si>
    <t>46.299359434276106, 6.169218319112478</t>
  </si>
  <si>
    <t>Missy, nord</t>
  </si>
  <si>
    <t>Missy</t>
  </si>
  <si>
    <t>46.881915862887745, 6.97227298128203</t>
  </si>
  <si>
    <t>Missy, village</t>
  </si>
  <si>
    <t>46.878287704678094, 6.967511969517746</t>
  </si>
  <si>
    <t>Moiry VD, collège</t>
  </si>
  <si>
    <t>Moiry</t>
  </si>
  <si>
    <t>Moiry VD</t>
  </si>
  <si>
    <t>46.64866407579452, 6.453550371265279</t>
  </si>
  <si>
    <t>Mollens VD, village</t>
  </si>
  <si>
    <t>Mollens (VD)</t>
  </si>
  <si>
    <t>Mollens VD</t>
  </si>
  <si>
    <t>46.57684843362987, 6.363577939640305</t>
  </si>
  <si>
    <t>Mollens VD, Forchy</t>
  </si>
  <si>
    <t>46.572404556208454, 6.359374802856828</t>
  </si>
  <si>
    <t>Mollens VD, Les Chaux</t>
  </si>
  <si>
    <t>46.565600629852845, 6.351740213943199</t>
  </si>
  <si>
    <t>Mollens VD, Champou</t>
  </si>
  <si>
    <t>46.57995279300869, 6.364593723786886</t>
  </si>
  <si>
    <t>Molondin, village</t>
  </si>
  <si>
    <t>Molondin</t>
  </si>
  <si>
    <t>46.75953752925112, 6.74965213732528</t>
  </si>
  <si>
    <t>Montagny-p.-Yv., Chamard poste</t>
  </si>
  <si>
    <t>Montagny-près-Yverdon</t>
  </si>
  <si>
    <t>46.79049328376218, 6.62055895477363</t>
  </si>
  <si>
    <t>Montagny-p.-Yv., La Brinaz</t>
  </si>
  <si>
    <t>46.793069881114455, 6.618581216501683</t>
  </si>
  <si>
    <t>La Brinaz</t>
  </si>
  <si>
    <t>46.79444902594504, 6.620216088373736</t>
  </si>
  <si>
    <t>La Brinaz, gare</t>
  </si>
  <si>
    <t>46.79439231170155, 6.619361941720133</t>
  </si>
  <si>
    <t>Montagny-près-Yverdon, village</t>
  </si>
  <si>
    <t>46.791719287697276, 6.612183804641587</t>
  </si>
  <si>
    <t>Montagny-p.-Yv., Clos Lucens</t>
  </si>
  <si>
    <t>46.790507738986, 6.612582253218155</t>
  </si>
  <si>
    <t>Montagny-près-Yverdon, Chamard</t>
  </si>
  <si>
    <t>46.78969963254438, 6.622191634842208</t>
  </si>
  <si>
    <t>Thierrens, Le Planchy</t>
  </si>
  <si>
    <t>Montanaire</t>
  </si>
  <si>
    <t>Thierrens</t>
  </si>
  <si>
    <t>46.69832547299769, 6.766935794230407</t>
  </si>
  <si>
    <t>St-Cierges, Grande Salle</t>
  </si>
  <si>
    <t>St-Cierges</t>
  </si>
  <si>
    <t>46.68992737156078, 6.7348546843110775</t>
  </si>
  <si>
    <t>Thierrens, poste</t>
  </si>
  <si>
    <t>46.703547886856065, 6.754160476995668</t>
  </si>
  <si>
    <t>Chapelle-sur-Moudon, La Combe</t>
  </si>
  <si>
    <t>Chapelle-sur-Moudon</t>
  </si>
  <si>
    <t>46.66640785380947, 6.7155215085198385</t>
  </si>
  <si>
    <t>Correvon, village</t>
  </si>
  <si>
    <t>Correvon</t>
  </si>
  <si>
    <t>46.71569718057566, 6.7372383951678545</t>
  </si>
  <si>
    <t>Chapelle-sur-Moudon, poste</t>
  </si>
  <si>
    <t>46.668134541616574, 6.73698180010349</t>
  </si>
  <si>
    <t>Thierrens, La Croix</t>
  </si>
  <si>
    <t>46.70131018357902, 6.759040029959399</t>
  </si>
  <si>
    <t>Peyres-Possens, café</t>
  </si>
  <si>
    <t>Peyres-Possens</t>
  </si>
  <si>
    <t>46.66335698820065, 6.706886170571943</t>
  </si>
  <si>
    <t>Denezy, Aux Clos</t>
  </si>
  <si>
    <t>Denezy</t>
  </si>
  <si>
    <t>46.719324661922734, 6.786006261073802</t>
  </si>
  <si>
    <t>Thierrens, Fontana-Bion</t>
  </si>
  <si>
    <t>46.70754958916214, 6.759929017672002</t>
  </si>
  <si>
    <t>St-Cierges, La Tondiaz</t>
  </si>
  <si>
    <t>46.68582599697962, 6.734973615697634</t>
  </si>
  <si>
    <t>Thierrens, La Rapaz</t>
  </si>
  <si>
    <t>46.699560866714116, 6.74789573603735</t>
  </si>
  <si>
    <t>Thierrens, Carron</t>
  </si>
  <si>
    <t>46.710477492077935, 6.763671660872184</t>
  </si>
  <si>
    <t>Neyruz-sur-Moudon,Les Rutannes</t>
  </si>
  <si>
    <t>Neyruz-sur-Moudon</t>
  </si>
  <si>
    <t>46.692496752068145, 6.779336901484758</t>
  </si>
  <si>
    <t>Denezy, collège</t>
  </si>
  <si>
    <t>46.721209718378795, 6.78373355260418</t>
  </si>
  <si>
    <t>Chanéaz, village</t>
  </si>
  <si>
    <t>Chanéaz</t>
  </si>
  <si>
    <t>46.72914107478785, 6.742309355366514</t>
  </si>
  <si>
    <t>Thierrens, Prouty</t>
  </si>
  <si>
    <t>46.701524082396624, 6.751217977821892</t>
  </si>
  <si>
    <t>St-Cierges, Transformateur</t>
  </si>
  <si>
    <t>46.69186714158667, 6.735770638916095</t>
  </si>
  <si>
    <t>Neyruz-sur-Moudon, collège</t>
  </si>
  <si>
    <t>46.69679019979813, 6.787573681295717</t>
  </si>
  <si>
    <t>Thierrens, gare routière</t>
  </si>
  <si>
    <t>46.70568026121194, 6.757219513787899</t>
  </si>
  <si>
    <t>Peyres-Possens, Les Tuilières</t>
  </si>
  <si>
    <t>46.65798847328304, 6.700243435458656</t>
  </si>
  <si>
    <t>Thierrens, En Tombaz</t>
  </si>
  <si>
    <t>46.707377468114935, 6.752228680946169</t>
  </si>
  <si>
    <t>Chapelle-sur-Moudon, Mulles</t>
  </si>
  <si>
    <t>46.673190240370914, 6.738445052011839</t>
  </si>
  <si>
    <t>Montcherand, Usine électrique</t>
  </si>
  <si>
    <t>Montcherand</t>
  </si>
  <si>
    <t>46.73076956270652, 6.514160238694934</t>
  </si>
  <si>
    <t>Montcherand, Pique-Raisinets</t>
  </si>
  <si>
    <t>46.734586953202374, 6.50478182713602</t>
  </si>
  <si>
    <t>Montcherand, poste</t>
  </si>
  <si>
    <t>46.732450479287586, 6.5102615502951275</t>
  </si>
  <si>
    <t>Montcherand, haut du village</t>
  </si>
  <si>
    <t>46.73376808408273, 6.509048824639152</t>
  </si>
  <si>
    <t>Naz, laiterie</t>
  </si>
  <si>
    <t>Montilliez</t>
  </si>
  <si>
    <t>Naz</t>
  </si>
  <si>
    <t>46.65855586788386, 6.696198418403419</t>
  </si>
  <si>
    <t>Sugnens, gare</t>
  </si>
  <si>
    <t>Sugnens</t>
  </si>
  <si>
    <t>46.65528990228944, 6.666496544769761</t>
  </si>
  <si>
    <t>Dommartin, village</t>
  </si>
  <si>
    <t>Dommartin</t>
  </si>
  <si>
    <t>46.649256905999444, 6.702165735839432</t>
  </si>
  <si>
    <t>Poliez-le-Grand, Der. Le Chêne</t>
  </si>
  <si>
    <t>Poliez-le-Grand</t>
  </si>
  <si>
    <t>46.6368606860366, 6.6603330875132905</t>
  </si>
  <si>
    <t>Poliez-le-Grand, La Sauvenière</t>
  </si>
  <si>
    <t>46.63422709089631, 6.668585632854332</t>
  </si>
  <si>
    <t>Poliez-le-Grand, Bois-la-Croix</t>
  </si>
  <si>
    <t>46.637425607466234, 6.674652258132674</t>
  </si>
  <si>
    <t>46.65484999444614, 6.665760002449598</t>
  </si>
  <si>
    <t>Poliez-le-Grand, village</t>
  </si>
  <si>
    <t>46.63733202346862, 6.664806018231965</t>
  </si>
  <si>
    <t>Sugnens, village</t>
  </si>
  <si>
    <t>46.655028182580274, 6.671606991234861</t>
  </si>
  <si>
    <t>Mont-la-Ville, Le Battoir</t>
  </si>
  <si>
    <t>Mont-la-Ville</t>
  </si>
  <si>
    <t>46.644557819903966, 6.407355872627406</t>
  </si>
  <si>
    <t>Mont-la-Ville, poste</t>
  </si>
  <si>
    <t>46.64600738696102, 6.408834055834131</t>
  </si>
  <si>
    <t>Mollendruz, col</t>
  </si>
  <si>
    <t>46.64918786228319, 6.36746545120767</t>
  </si>
  <si>
    <t>Mollendruz, Fontaine froide</t>
  </si>
  <si>
    <t>46.64999465542929, 6.357651354639219</t>
  </si>
  <si>
    <t>Montpreveyres, Riau-Graubon</t>
  </si>
  <si>
    <t>Montpreveyres</t>
  </si>
  <si>
    <t>46.57509120426365, 6.724206394540725</t>
  </si>
  <si>
    <t>Montpreveyres, village</t>
  </si>
  <si>
    <t>46.582301657177865, 6.7408764173624665</t>
  </si>
  <si>
    <t>Montpreveyres, Balances</t>
  </si>
  <si>
    <t>46.57562314331065, 6.7359271974696</t>
  </si>
  <si>
    <t>Glion-Alpes</t>
  </si>
  <si>
    <t>Montreux-Vevey-Riviera (mtgn)</t>
  </si>
  <si>
    <t>RACK_RAILWAY</t>
  </si>
  <si>
    <t>Montreux</t>
  </si>
  <si>
    <t>Glion</t>
  </si>
  <si>
    <t>ch:1:sboid:100104</t>
  </si>
  <si>
    <t>46.433804295247526, 6.925753436561475</t>
  </si>
  <si>
    <t>Montreux-Collège</t>
  </si>
  <si>
    <t>46.43609999704321, 6.912709999633896</t>
  </si>
  <si>
    <t>Territet</t>
  </si>
  <si>
    <t>46.42638156553879, 6.922706951005673</t>
  </si>
  <si>
    <t>Territet (lac)</t>
  </si>
  <si>
    <t>46.42570143393569, 6.9223177765125214</t>
  </si>
  <si>
    <t>Clarens (lac)</t>
  </si>
  <si>
    <t>Clarens</t>
  </si>
  <si>
    <t>46.43980073867935, 6.896002060453133</t>
  </si>
  <si>
    <t>Crêt-d'y-Bau</t>
  </si>
  <si>
    <t>Caux</t>
  </si>
  <si>
    <t>46.43514999895173, 6.9553700014107545</t>
  </si>
  <si>
    <t>46.43113999744287, 6.938519995594227</t>
  </si>
  <si>
    <t>Fontanivent, gare</t>
  </si>
  <si>
    <t>Brent</t>
  </si>
  <si>
    <t>46.45271199072105, 6.90213305067759</t>
  </si>
  <si>
    <t>Clarens, gare</t>
  </si>
  <si>
    <t>46.44304120421018, 6.896412011200161</t>
  </si>
  <si>
    <t>Collonge (funi), rue du Temple</t>
  </si>
  <si>
    <t>46.42970977117033, 6.921485915204929</t>
  </si>
  <si>
    <t>Collonge TMF</t>
  </si>
  <si>
    <t>Territet-Mont-Fleuri</t>
  </si>
  <si>
    <t>ch:1:sboid:100123</t>
  </si>
  <si>
    <t>SBA.61.047.2 hors service</t>
  </si>
  <si>
    <t>46.42591335736925, 6.9253989238846</t>
  </si>
  <si>
    <t>Le Clos TMF</t>
  </si>
  <si>
    <t>SBA.61.047.3 hors service</t>
  </si>
  <si>
    <t>46.42606899193368, 6.925995870464522</t>
  </si>
  <si>
    <t>Chailly-Montreux, village</t>
  </si>
  <si>
    <t>Chailly-Montreux</t>
  </si>
  <si>
    <t>46.45328001996437, 6.892400548672566</t>
  </si>
  <si>
    <t>Clarens, Jaman</t>
  </si>
  <si>
    <t>46.44160897694656, 6.894057772866966</t>
  </si>
  <si>
    <t>Glion, ch. Halte-du-Tremblex</t>
  </si>
  <si>
    <t>46.43402648199935, 6.930337741747243</t>
  </si>
  <si>
    <t>Les Echets, gare</t>
  </si>
  <si>
    <t>46.432064905397155, 6.944445364668735</t>
  </si>
  <si>
    <t>Châtelard VD, gare</t>
  </si>
  <si>
    <t>46.44682492117528, 6.9013324979309445</t>
  </si>
  <si>
    <t>Fontanivent, Chantey</t>
  </si>
  <si>
    <t>46.45328379437304, 6.902777559453162</t>
  </si>
  <si>
    <t>Montreux, Le Pont</t>
  </si>
  <si>
    <t>46.433744549829186, 6.9166202556915755</t>
  </si>
  <si>
    <t>Montreux, Belmont</t>
  </si>
  <si>
    <t>46.43987002225045, 6.909030548998135</t>
  </si>
  <si>
    <t>Montreux, Ballallaz</t>
  </si>
  <si>
    <t>46.43747853838401, 6.912888837888884</t>
  </si>
  <si>
    <t>Montreux, Vernex</t>
  </si>
  <si>
    <t>46.439991427990094, 6.903937809233015</t>
  </si>
  <si>
    <t>Montreux, Vuarennes</t>
  </si>
  <si>
    <t>46.439027589072595, 6.911359325168773</t>
  </si>
  <si>
    <t>Montreux, La Paix</t>
  </si>
  <si>
    <t>46.43149319912578, 6.911134746383527</t>
  </si>
  <si>
    <t>Montreux, La Corsaz</t>
  </si>
  <si>
    <t>46.43289363401012, 6.9154705004488575</t>
  </si>
  <si>
    <t>Montreux, gare</t>
  </si>
  <si>
    <t>46.43603002243987, 6.909970554901128</t>
  </si>
  <si>
    <t>Chailly-Montreux, P+R</t>
  </si>
  <si>
    <t>46.45322300417731, 6.894227428627418</t>
  </si>
  <si>
    <t>Clarens, Basset</t>
  </si>
  <si>
    <t>46.44262857479709, 6.885498069286712</t>
  </si>
  <si>
    <t>Clarens, rue du Port</t>
  </si>
  <si>
    <t>46.4405256755544, 6.898540366074779</t>
  </si>
  <si>
    <t>Clarens, dépôt VMCV</t>
  </si>
  <si>
    <t>46.441380932354, 6.889766045067187</t>
  </si>
  <si>
    <t>Clarens, St-Georges</t>
  </si>
  <si>
    <t>46.443069502349445, 6.8800279675949065</t>
  </si>
  <si>
    <t>46.44273829900727, 6.8957799366107455</t>
  </si>
  <si>
    <t>Les Avants</t>
  </si>
  <si>
    <t>46.45362569370287, 6.943474544650809</t>
  </si>
  <si>
    <t>Chamby</t>
  </si>
  <si>
    <t>46.44932194836268, 6.913514023979204</t>
  </si>
  <si>
    <t>Vuarennes</t>
  </si>
  <si>
    <t>46.439120002303056, 6.910970001834298</t>
  </si>
  <si>
    <t>Sendy-Sollard</t>
  </si>
  <si>
    <t>46.44710724423319, 6.930132994498066</t>
  </si>
  <si>
    <t>Le Tremblex</t>
  </si>
  <si>
    <t>46.43603999980244, 6.932749998484651</t>
  </si>
  <si>
    <t>Valmont</t>
  </si>
  <si>
    <t>46.42854999651572, 6.929299994815231</t>
  </si>
  <si>
    <t>Montreux MVR-mtgn</t>
  </si>
  <si>
    <t>(Zahnradbahn)</t>
  </si>
  <si>
    <t>46.43585999748219, 6.912649994139185</t>
  </si>
  <si>
    <t>Clarens, Baugy</t>
  </si>
  <si>
    <t>46.44805881670735, 6.891946731858254</t>
  </si>
  <si>
    <t>Clarens, Oche-Thorens</t>
  </si>
  <si>
    <t>46.44460565662879, 6.896240167335804</t>
  </si>
  <si>
    <t>Clarens, Gambetta</t>
  </si>
  <si>
    <t>46.44025838144426, 6.895763243300747</t>
  </si>
  <si>
    <t>Montreux, Marché</t>
  </si>
  <si>
    <t>46.43236571708514, 6.910271319033308</t>
  </si>
  <si>
    <t>Montreux, Bon-Port</t>
  </si>
  <si>
    <t>46.43030589728183, 6.916133020171726</t>
  </si>
  <si>
    <t>Montreux, Les Planches</t>
  </si>
  <si>
    <t>46.43282803658796, 6.916850281775572</t>
  </si>
  <si>
    <t>Clarens, centre</t>
  </si>
  <si>
    <t>46.440537448928, 6.892064837103383</t>
  </si>
  <si>
    <t>Territet, L'Eaudine</t>
  </si>
  <si>
    <t>46.42327822720974, 6.925540992027569</t>
  </si>
  <si>
    <t>Montreux, rue Industrielle</t>
  </si>
  <si>
    <t>46.43286600241243, 6.913389034405074</t>
  </si>
  <si>
    <t>Montreux, Centre des Congrès</t>
  </si>
  <si>
    <t>46.4380364448533, 6.907145089839827</t>
  </si>
  <si>
    <t>Territet, gare</t>
  </si>
  <si>
    <t>46.42641527547136, 6.92301346637149</t>
  </si>
  <si>
    <t>Montreux, casino</t>
  </si>
  <si>
    <t>46.43029205794685, 6.912500185557888</t>
  </si>
  <si>
    <t>Montreux, Escaliers de la Gare</t>
  </si>
  <si>
    <t>46.436031292554894, 6.90919438532998</t>
  </si>
  <si>
    <t>Chamby, Sous Chaulin</t>
  </si>
  <si>
    <t>46.45248588696504, 6.907601826037095</t>
  </si>
  <si>
    <t>Chernex, école</t>
  </si>
  <si>
    <t>Chernex</t>
  </si>
  <si>
    <t>46.44196362959236, 6.914003410145531</t>
  </si>
  <si>
    <t>Chamby, Chaulin</t>
  </si>
  <si>
    <t>46.45369548026164, 6.908488043640638</t>
  </si>
  <si>
    <t>Villard-sur-Chamby, P.-Forand</t>
  </si>
  <si>
    <t>Villard-sur-Chamby</t>
  </si>
  <si>
    <t>bis 2018: Villard-sur-Chamby, poste</t>
  </si>
  <si>
    <t>46.473971876183775, 6.928028617704469</t>
  </si>
  <si>
    <t>Glion, funi</t>
  </si>
  <si>
    <t>46.43210559626946, 6.92410417673766</t>
  </si>
  <si>
    <t>Territet TMF</t>
  </si>
  <si>
    <t>SBA.61.047.1 hors service</t>
  </si>
  <si>
    <t>46.42604155353299, 6.923914661106011</t>
  </si>
  <si>
    <t>Belmont-sur-Montreux</t>
  </si>
  <si>
    <t>46.44203999795778, 6.906119994693679</t>
  </si>
  <si>
    <t>Toveyre</t>
  </si>
  <si>
    <t>46.42789999874341, 6.9284699975418675</t>
  </si>
  <si>
    <t>Montreux-Les Planches</t>
  </si>
  <si>
    <t>46.43310000238087, 6.91756000509384</t>
  </si>
  <si>
    <t>Jaman</t>
  </si>
  <si>
    <t>46.44133999970815, 6.976790003045374</t>
  </si>
  <si>
    <t>Paccot</t>
  </si>
  <si>
    <t>46.4377599951408, 6.962689997349655</t>
  </si>
  <si>
    <t>Chamby, Brison</t>
  </si>
  <si>
    <t>46.45625502636235, 6.9192145426980805</t>
  </si>
  <si>
    <t>Villard-sur-Chamby, Saumont</t>
  </si>
  <si>
    <t>46.4598684063333, 6.926469530294691</t>
  </si>
  <si>
    <t>Collonge (funi)</t>
  </si>
  <si>
    <t>SBA.61.046.2</t>
  </si>
  <si>
    <t>46.42827969874438, 6.923516089469708</t>
  </si>
  <si>
    <t>Chailly-Montreux, Poneyre</t>
  </si>
  <si>
    <t>46.45177238949659, 6.8885690664536</t>
  </si>
  <si>
    <t>Caux, gare</t>
  </si>
  <si>
    <t>46.431235027011276, 6.93799457630588</t>
  </si>
  <si>
    <t>Haut-de-Caux, gare</t>
  </si>
  <si>
    <t>46.434116286933836, 6.946380893474322</t>
  </si>
  <si>
    <t>Sonzier, gare</t>
  </si>
  <si>
    <t>46.4388529850953, 6.922244313394401</t>
  </si>
  <si>
    <t>Montreux, rue du Centre</t>
  </si>
  <si>
    <t>46.438414723670135, 6.910146599555091</t>
  </si>
  <si>
    <t>Montreux, Théâtre Mtx Riviera</t>
  </si>
  <si>
    <t>46.43402002204693, 6.915420550057938</t>
  </si>
  <si>
    <t>Chernex, village</t>
  </si>
  <si>
    <t>46.44380168409783, 6.910758246932221</t>
  </si>
  <si>
    <t>Chailly-Montreux, Bonnettes</t>
  </si>
  <si>
    <t>46.45474002174971, 6.897390550175702</t>
  </si>
  <si>
    <t>Brent, village</t>
  </si>
  <si>
    <t>bis 2018: Brent</t>
  </si>
  <si>
    <t>46.458493312399135, 6.900965817412897</t>
  </si>
  <si>
    <t>Clarens, Tavel</t>
  </si>
  <si>
    <t>46.44614949743459, 6.895521930467439</t>
  </si>
  <si>
    <t>Clarens, Pertuiset</t>
  </si>
  <si>
    <t>46.446410021569015, 6.892780548153855</t>
  </si>
  <si>
    <t>Chailly-Montreux, Combe</t>
  </si>
  <si>
    <t>46.45421702005807, 6.9008131037913145</t>
  </si>
  <si>
    <t>Chailly-Montreux, Saussaz</t>
  </si>
  <si>
    <t>46.450410775526315, 6.890805871518425</t>
  </si>
  <si>
    <t>Chernex, Sottex</t>
  </si>
  <si>
    <t>46.44114470752844, 6.914710041168736</t>
  </si>
  <si>
    <t>Clarens, gare/Mayor-Vautier</t>
  </si>
  <si>
    <t>46.44219085557397, 6.8954142288552935</t>
  </si>
  <si>
    <t>Sur Cotterd TMF</t>
  </si>
  <si>
    <t>SBA.61.047.5 hors service</t>
  </si>
  <si>
    <t>46.42622238686635, 6.9280889023794385</t>
  </si>
  <si>
    <t>Cotterd-Le Flon TMF</t>
  </si>
  <si>
    <t>SBA.61.047.4 hors service</t>
  </si>
  <si>
    <t>46.426309757482514, 6.927515671298539</t>
  </si>
  <si>
    <t>Territet (funi)</t>
  </si>
  <si>
    <t>SBA.61.046.1</t>
  </si>
  <si>
    <t>46.42683102027271, 6.923438814269342</t>
  </si>
  <si>
    <t>Mont-Fleuri TMF</t>
  </si>
  <si>
    <t>SBA.61.047.9 hors service</t>
  </si>
  <si>
    <t>46.42593869607886, 6.929015228913976</t>
  </si>
  <si>
    <t>Tunnel des Crêtes (diag)</t>
  </si>
  <si>
    <t>46.44383741224059, 6.888867106397062</t>
  </si>
  <si>
    <t>Vernex (diag)</t>
  </si>
  <si>
    <t>46.44025201040649, 6.905171925693265</t>
  </si>
  <si>
    <t>Glion (funi)</t>
  </si>
  <si>
    <t>SBA.61.046.9</t>
  </si>
  <si>
    <t>46.43187017687859, 6.923768140263069</t>
  </si>
  <si>
    <t>Chaulin-Cornaux</t>
  </si>
  <si>
    <t>46.45689384345093, 6.909524055394371</t>
  </si>
  <si>
    <t>Villard-sur-Chamby, D'Zetiau</t>
  </si>
  <si>
    <t>46.468513082097424, 6.930397615920934</t>
  </si>
  <si>
    <t>Villard-sur-Chamby, anc. poste</t>
  </si>
  <si>
    <t>46.46646159928465, 6.930299728270953</t>
  </si>
  <si>
    <t>Chamby, gare</t>
  </si>
  <si>
    <t>bis 2018: Chamby, poste</t>
  </si>
  <si>
    <t>46.449043928033625, 6.914129960932306</t>
  </si>
  <si>
    <t>Montreux-Les Planches, gare</t>
  </si>
  <si>
    <t>46.43280380843191, 6.917253850671095</t>
  </si>
  <si>
    <t>Toveyre, gare</t>
  </si>
  <si>
    <t>46.42803809540542, 6.928266915744847</t>
  </si>
  <si>
    <t>Glion-Alpes, gare</t>
  </si>
  <si>
    <t>46.433996006266256, 6.9259741089363445</t>
  </si>
  <si>
    <t>Glion, chemin de Maulever</t>
  </si>
  <si>
    <t>46.4335236817132, 6.927356446723585</t>
  </si>
  <si>
    <t>Sendy-Sollard, gare</t>
  </si>
  <si>
    <t>46.44693100610921, 6.930144900589622</t>
  </si>
  <si>
    <t>Montreux, Le Taux</t>
  </si>
  <si>
    <t>46.43975443968228, 6.9128797339664</t>
  </si>
  <si>
    <t>Montreux, midi</t>
  </si>
  <si>
    <t>46.43177023247589, 6.917654126882193</t>
  </si>
  <si>
    <t>Montreux, débarcadère</t>
  </si>
  <si>
    <t>46.43432877791155, 6.910011852272958</t>
  </si>
  <si>
    <t>Montreux, rue du Marché</t>
  </si>
  <si>
    <t>46.433381537602976, 6.911008982216778</t>
  </si>
  <si>
    <t>Colondalles</t>
  </si>
  <si>
    <t>46.443149997012405, 6.904490004616869</t>
  </si>
  <si>
    <t>Montreux (lac)</t>
  </si>
  <si>
    <t>46.43453914379847, 6.909508454860454</t>
  </si>
  <si>
    <t>Planchamp</t>
  </si>
  <si>
    <t>46.45117999711551, 6.901000001365848</t>
  </si>
  <si>
    <t>Sonzier</t>
  </si>
  <si>
    <t>46.43931400661956, 6.921475114436649</t>
  </si>
  <si>
    <t>Jor</t>
  </si>
  <si>
    <t>46.45467000154823, 6.965120006203416</t>
  </si>
  <si>
    <t>46.435884341120214, 6.910440121305958</t>
  </si>
  <si>
    <t>46.431804747972016, 6.924185823742445</t>
  </si>
  <si>
    <t>46.44591999611401, 6.910080006379773</t>
  </si>
  <si>
    <t>Fontanivent</t>
  </si>
  <si>
    <t>46.452729997755924, 6.902329993577603</t>
  </si>
  <si>
    <t>Montreux MOB</t>
  </si>
  <si>
    <t>46.43625999910439, 6.910720003966976</t>
  </si>
  <si>
    <t>Haut-de-Caux</t>
  </si>
  <si>
    <t>46.43436999948614, 6.947949994598162</t>
  </si>
  <si>
    <t>Châtelard VD</t>
  </si>
  <si>
    <t>46.44677999986221, 6.901139995745103</t>
  </si>
  <si>
    <t>Chamby-Musée</t>
  </si>
  <si>
    <t>46.45382169941115, 6.912404583011384</t>
  </si>
  <si>
    <t>Glion-Collège</t>
  </si>
  <si>
    <t>46.4347803266588, 6.928736778260191</t>
  </si>
  <si>
    <t>Les Echets</t>
  </si>
  <si>
    <t>46.432179995320055, 6.94489000573515</t>
  </si>
  <si>
    <t>La Perche</t>
  </si>
  <si>
    <t>46.43639999441905, 6.97509999688305</t>
  </si>
  <si>
    <t>Sonloup</t>
  </si>
  <si>
    <t>Montreux-Vevey-Riviera (las)</t>
  </si>
  <si>
    <t>ch:1:sboid:100099</t>
  </si>
  <si>
    <t>SBA.61.001.9</t>
  </si>
  <si>
    <t>46.4571622934867, 6.938913038352184</t>
  </si>
  <si>
    <t>Chamby, rte de Joli-Bois</t>
  </si>
  <si>
    <t>46.454894854194805, 6.9091140781846985</t>
  </si>
  <si>
    <t>Glion, gare</t>
  </si>
  <si>
    <t>46.432853199572556, 6.923719753644897</t>
  </si>
  <si>
    <t>Les Avants, gare</t>
  </si>
  <si>
    <t>46.45368376553144, 6.943656899654821</t>
  </si>
  <si>
    <t>Les Avants (funi)</t>
  </si>
  <si>
    <t>SBA.61.001.1</t>
  </si>
  <si>
    <t>46.45429500006899, 6.943547177825629</t>
  </si>
  <si>
    <t>Montreux, rue de la Gare</t>
  </si>
  <si>
    <t>46.436178358899895, 6.911860541351709</t>
  </si>
  <si>
    <t>Montreux, av. Nestlé</t>
  </si>
  <si>
    <t>46.43135187226315, 6.912779229358017</t>
  </si>
  <si>
    <t>Montreux, Doyen-Bridel</t>
  </si>
  <si>
    <t>46.4315117732283, 6.9162281940367265</t>
  </si>
  <si>
    <t>Territet, av. Riviera</t>
  </si>
  <si>
    <t>46.42785009439202, 6.922024072842922</t>
  </si>
  <si>
    <t>Montreux, Vernex-Dessus</t>
  </si>
  <si>
    <t>46.43701001451204, 6.910420544292805</t>
  </si>
  <si>
    <t>Chailly-Montreux, Rottaz</t>
  </si>
  <si>
    <t>46.451972424696415, 6.89983665388196</t>
  </si>
  <si>
    <t>Chailly-Montreux, bourg</t>
  </si>
  <si>
    <t>46.45459518531301, 6.891493258409514</t>
  </si>
  <si>
    <t>Chernex, gare</t>
  </si>
  <si>
    <t>46.44584097216341, 6.91016573356949</t>
  </si>
  <si>
    <t>Villard-sur-Chamby, La Cranche</t>
  </si>
  <si>
    <t>46.460548094370736, 6.931578956562385</t>
  </si>
  <si>
    <t>Montricher,Fondation Michalski</t>
  </si>
  <si>
    <t>Montricher</t>
  </si>
  <si>
    <t>46.60761460410715, 6.376937071716184</t>
  </si>
  <si>
    <t>Montricher, gare</t>
  </si>
  <si>
    <t>46.59644412515717, 6.392441155921766</t>
  </si>
  <si>
    <t>Montricher, Grand Faubourg</t>
  </si>
  <si>
    <t>46.60262628612945, 6.378413690181081</t>
  </si>
  <si>
    <t>Montricher, village</t>
  </si>
  <si>
    <t>46.60049979740407, 6.377105655664746</t>
  </si>
  <si>
    <t>Montricher, Champet</t>
  </si>
  <si>
    <t>46.59908836924309, 6.3733538208953355</t>
  </si>
  <si>
    <t>46.596329994648826, 6.393050002957264</t>
  </si>
  <si>
    <t>Montricher, Petit Faubourg</t>
  </si>
  <si>
    <t>46.59824305766979, 6.37784538757768</t>
  </si>
  <si>
    <t>Mont-sur-Rolle, Bugnaux</t>
  </si>
  <si>
    <t>Mont-sur-Rolle</t>
  </si>
  <si>
    <t>46.47527433034948, 6.325057498183339</t>
  </si>
  <si>
    <t>Mont-sur-Rolle, Mont-Dessus</t>
  </si>
  <si>
    <t>46.47510783160232, 6.330100439821682</t>
  </si>
  <si>
    <t>Mont-sur-Rolle,Maison de Ville</t>
  </si>
  <si>
    <t>46.47262844925692, 6.336010853556128</t>
  </si>
  <si>
    <t>Mont-sur-Rolle, Bellefontaine</t>
  </si>
  <si>
    <t>46.463608143375964, 6.348432657676936</t>
  </si>
  <si>
    <t>Mont-sur-Rolle, La Ferme</t>
  </si>
  <si>
    <t>46.47494452952378, 6.335494873205815</t>
  </si>
  <si>
    <t>Rolle, hôpital</t>
  </si>
  <si>
    <t>46.464430338248675, 6.345994490350585</t>
  </si>
  <si>
    <t>Mont-sur-Rolle, Sans Souci</t>
  </si>
  <si>
    <t>46.48146481535967, 6.336195448641037</t>
  </si>
  <si>
    <t>Mont-sur-Rolle, Jeune Suisse</t>
  </si>
  <si>
    <t>46.46944747105332, 6.3410365149280175</t>
  </si>
  <si>
    <t>Mont-sur-Rolle, Les Granges</t>
  </si>
  <si>
    <t>46.48463320599163, 6.338214775193882</t>
  </si>
  <si>
    <t>Mont-sur-Rolle, église</t>
  </si>
  <si>
    <t>46.47064188046427, 6.336181535945481</t>
  </si>
  <si>
    <t>Morges-St-Jean</t>
  </si>
  <si>
    <t>46.518195362853874, 6.5080440329077245</t>
  </si>
  <si>
    <t>Morges, St-Jean nord</t>
  </si>
  <si>
    <t>46.518615845518944, 6.507346564346388</t>
  </si>
  <si>
    <t>Morges, Riond-Bosson</t>
  </si>
  <si>
    <t>46.50404299267117, 6.485324586795094</t>
  </si>
  <si>
    <t>Morges, Delay</t>
  </si>
  <si>
    <t>46.512657556889806, 6.48856775512632</t>
  </si>
  <si>
    <t>Morges, Prélionne</t>
  </si>
  <si>
    <t>46.50929020939338, 6.479688418803403</t>
  </si>
  <si>
    <t>Morges, St-Jean sud</t>
  </si>
  <si>
    <t>46.516784701415006, 6.508941901817396</t>
  </si>
  <si>
    <t>Morges, Banc-Vert</t>
  </si>
  <si>
    <t>46.51504344573145, 6.493894285522777</t>
  </si>
  <si>
    <t>Morges, de Beausobre</t>
  </si>
  <si>
    <t>46.516733777014736, 6.501928236490468</t>
  </si>
  <si>
    <t>Morges, St-Louis</t>
  </si>
  <si>
    <t>46.51121324259768, 6.499864361535465</t>
  </si>
  <si>
    <t>Morges, Blancherie</t>
  </si>
  <si>
    <t>46.51475022637854, 6.5033083331771335</t>
  </si>
  <si>
    <t>Morges, Patinoire</t>
  </si>
  <si>
    <t>46.512059781507055, 6.487014593346148</t>
  </si>
  <si>
    <t>Morges, Grassey</t>
  </si>
  <si>
    <t>46.51489640285573, 6.488632648446725</t>
  </si>
  <si>
    <t>Morges, Moulin</t>
  </si>
  <si>
    <t>46.51236343827267, 6.4910487386622</t>
  </si>
  <si>
    <t>Morges, Bellevue</t>
  </si>
  <si>
    <t>46.5169406136228, 6.497301926606327</t>
  </si>
  <si>
    <t>Morges, temple</t>
  </si>
  <si>
    <t>46.51055822773566, 6.500071185590046</t>
  </si>
  <si>
    <t>Morges, Charpentiers</t>
  </si>
  <si>
    <t>46.509972463852925, 6.496693548426613</t>
  </si>
  <si>
    <t>Morges, Casino</t>
  </si>
  <si>
    <t>46.508859410764835, 6.4991625296895945</t>
  </si>
  <si>
    <t>Morges, La Prairie</t>
  </si>
  <si>
    <t>46.50850397370191, 6.487574283278146</t>
  </si>
  <si>
    <t>Morges, Bief</t>
  </si>
  <si>
    <t>46.51714490730308, 6.512284859650188</t>
  </si>
  <si>
    <t>Lonay, Gracieuse</t>
  </si>
  <si>
    <t>46.52006474022814, 6.509602280512652</t>
  </si>
  <si>
    <t>Morges, En Bonjean</t>
  </si>
  <si>
    <t>46.50627583728398, 6.4892401247910465</t>
  </si>
  <si>
    <t>Morges [voie 5-6]</t>
  </si>
  <si>
    <t>46.51136907036155, 6.4937113281863725</t>
  </si>
  <si>
    <t>Morges, gare</t>
  </si>
  <si>
    <t>46.5103514133005, 6.4943613697799485</t>
  </si>
  <si>
    <t>Morges, Longeraie</t>
  </si>
  <si>
    <t>46.50635980478027, 6.482318789415666</t>
  </si>
  <si>
    <t>Prélionne</t>
  </si>
  <si>
    <t>46.50946999396079, 6.480270000959125</t>
  </si>
  <si>
    <t>Morges, ch. du Bochet</t>
  </si>
  <si>
    <t>46.507336887914676, 6.493576411705756</t>
  </si>
  <si>
    <t>Morges, Pâquis</t>
  </si>
  <si>
    <t>46.51309767174752, 6.499837445518014</t>
  </si>
  <si>
    <t>Morges, Auguste-Forel</t>
  </si>
  <si>
    <t>46.51754948514467, 6.503481448131589</t>
  </si>
  <si>
    <t>Morges, Vogéaz</t>
  </si>
  <si>
    <t>46.51077059322458, 6.4824115472879695</t>
  </si>
  <si>
    <t>Morges, Marcelin</t>
  </si>
  <si>
    <t>46.51782021629852, 6.488424908617395</t>
  </si>
  <si>
    <t>Morges, Les Pétoleyres</t>
  </si>
  <si>
    <t>46.52011109854683, 6.504364107572843</t>
  </si>
  <si>
    <t>Morges, Grosse-Pierre</t>
  </si>
  <si>
    <t>46.51776367446056, 6.501092908575685</t>
  </si>
  <si>
    <t>Morges, Eglantine</t>
  </si>
  <si>
    <t>46.511400129586775, 6.484524368336861</t>
  </si>
  <si>
    <t>46.51110119786621, 6.493969500635285</t>
  </si>
  <si>
    <t>Morges (lac)</t>
  </si>
  <si>
    <t>46.508410099707376, 6.500433981109736</t>
  </si>
  <si>
    <t>La Gottaz</t>
  </si>
  <si>
    <t>46.506549994582265, 6.484459999756998</t>
  </si>
  <si>
    <t>Morges, La Tour</t>
  </si>
  <si>
    <t>46.513857965918746, 6.491415028587926</t>
  </si>
  <si>
    <t>Morrens VD, village</t>
  </si>
  <si>
    <t>Morrens (VD)</t>
  </si>
  <si>
    <t>Morrens VD</t>
  </si>
  <si>
    <t>46.58973300816215, 6.6272417986603065</t>
  </si>
  <si>
    <t>Moudon, Verger</t>
  </si>
  <si>
    <t>Moudon</t>
  </si>
  <si>
    <t>46.66659097508905, 6.798614500580594</t>
  </si>
  <si>
    <t>Moudon, Sorbiers</t>
  </si>
  <si>
    <t>46.6622003547425, 6.795308610026639</t>
  </si>
  <si>
    <t>46.66805734102318, 6.802507939012097</t>
  </si>
  <si>
    <t>Moudon, Le Vallon</t>
  </si>
  <si>
    <t>46.66857035253092, 6.790724176342124</t>
  </si>
  <si>
    <t>Moudon, L'Ochette</t>
  </si>
  <si>
    <t>46.670662712573254, 6.801219007412032</t>
  </si>
  <si>
    <t>Moudon, La Prairie</t>
  </si>
  <si>
    <t>46.672973679637806, 6.802655383482721</t>
  </si>
  <si>
    <t>Moudon, av. de Bussy</t>
  </si>
  <si>
    <t>46.671957556884635, 6.7995178399233795</t>
  </si>
  <si>
    <t>Moudon, gare</t>
  </si>
  <si>
    <t>46.667915374553424, 6.802179304203142</t>
  </si>
  <si>
    <t>Bressonnaz, village</t>
  </si>
  <si>
    <t>46.651791434631456, 6.788848699558008</t>
  </si>
  <si>
    <t>Moudon, Chalet-Blanc</t>
  </si>
  <si>
    <t>46.672721216829366, 6.797744494441432</t>
  </si>
  <si>
    <t>Moudon, Grange-Verney</t>
  </si>
  <si>
    <t>46.67732777927516, 6.804290009748281</t>
  </si>
  <si>
    <t>Bressonnaz</t>
  </si>
  <si>
    <t>46.65315160510324, 6.791263084994819</t>
  </si>
  <si>
    <t>Moudon, Belflori</t>
  </si>
  <si>
    <t>46.6640367029218, 6.787616532498464</t>
  </si>
  <si>
    <t>Mutrux, anc. poste</t>
  </si>
  <si>
    <t>Mutrux</t>
  </si>
  <si>
    <t>46.8822095034991, 6.7272565799998905</t>
  </si>
  <si>
    <t>Mutrux, Le Ravin (Sylvabella)</t>
  </si>
  <si>
    <t>46.88637908646437, 6.723671815304675</t>
  </si>
  <si>
    <t>Novalles, collège</t>
  </si>
  <si>
    <t>Novalles</t>
  </si>
  <si>
    <t>46.82849254510777, 6.595942470911889</t>
  </si>
  <si>
    <t>Noville, Pré des Fourches</t>
  </si>
  <si>
    <t>Noville</t>
  </si>
  <si>
    <t>46.38564486685372, 6.9207497586507385</t>
  </si>
  <si>
    <t>Noville, Crebelley</t>
  </si>
  <si>
    <t>46.36446032392395, 6.901603552085638</t>
  </si>
  <si>
    <t>Noville, Collège</t>
  </si>
  <si>
    <t>46.379380258355134, 6.900727732956423</t>
  </si>
  <si>
    <t>Noville, Chotron</t>
  </si>
  <si>
    <t>46.36678293067303, 6.901957384105634</t>
  </si>
  <si>
    <t>Noville, La Mouniaz</t>
  </si>
  <si>
    <t>46.3898300196923, 6.921140543139381</t>
  </si>
  <si>
    <t>Noville, Les Saviez</t>
  </si>
  <si>
    <t>46.39242397366317, 6.9216091026272535</t>
  </si>
  <si>
    <t>L'Asse</t>
  </si>
  <si>
    <t>Nyon</t>
  </si>
  <si>
    <t>46.401773580174975, 6.21184431876294</t>
  </si>
  <si>
    <t>Nyon, hôpital</t>
  </si>
  <si>
    <t>46.38284925169411, 6.225777232057655</t>
  </si>
  <si>
    <t>Nyon, La Vuarpillière</t>
  </si>
  <si>
    <t>46.400430667318304, 6.218704732180522</t>
  </si>
  <si>
    <t>Nyon, route de Genève</t>
  </si>
  <si>
    <t>46.37150800852563, 6.2303200532597325</t>
  </si>
  <si>
    <t>Nyon, Colovray</t>
  </si>
  <si>
    <t>46.37006821061667, 6.227886917555773</t>
  </si>
  <si>
    <t>Nyon, La Suettaz</t>
  </si>
  <si>
    <t>(Bus) fermé le 13.12.2014, réouverture possible</t>
  </si>
  <si>
    <t>46.38472249087919, 6.222602184143813</t>
  </si>
  <si>
    <t>Nyon, rte de l'Etraz</t>
  </si>
  <si>
    <t>46.388637329124194, 6.238740219636583</t>
  </si>
  <si>
    <t>Nyon, Marens</t>
  </si>
  <si>
    <t>46.38713621003085, 6.227822190329808</t>
  </si>
  <si>
    <t>Nyon, Mafroi</t>
  </si>
  <si>
    <t>46.384846670384874, 6.240874370427912</t>
  </si>
  <si>
    <t>Nyon, route du Boiron</t>
  </si>
  <si>
    <t>46.38013260466308, 6.214944444568588</t>
  </si>
  <si>
    <t>Nyon, Petit Perdtemps</t>
  </si>
  <si>
    <t>46.38334965249889, 6.239421415487556</t>
  </si>
  <si>
    <t>Nyon, Champ-Colin</t>
  </si>
  <si>
    <t>(Bus) L'arrêt pourrait être ouvert plus tard</t>
  </si>
  <si>
    <t>46.38214821861178, 6.21580894613448</t>
  </si>
  <si>
    <t>Nyon, chemin des Plantaz</t>
  </si>
  <si>
    <t>46.391698371474874, 6.233861638960194</t>
  </si>
  <si>
    <t>Nyon, route de Divonne</t>
  </si>
  <si>
    <t>46.3837382553574, 6.2231052745616955</t>
  </si>
  <si>
    <t>Nyon, rue St-Jean</t>
  </si>
  <si>
    <t>46.38373761557723, 6.240100663532986</t>
  </si>
  <si>
    <t>Nyon, La Levratte</t>
  </si>
  <si>
    <t>46.38874764179643, 6.228817626924099</t>
  </si>
  <si>
    <t>Nyon, chemin du Reposoir</t>
  </si>
  <si>
    <t>46.39178228159325, 6.229074949006334</t>
  </si>
  <si>
    <t>Nyon, Bel Automne</t>
  </si>
  <si>
    <t>46.392448920011105, 6.231686558027891</t>
  </si>
  <si>
    <t>Nyon, Chantemerle</t>
  </si>
  <si>
    <t>46.39300454847594, 6.237191184620246</t>
  </si>
  <si>
    <t>Nyon, chemin du Vallon</t>
  </si>
  <si>
    <t>46.38690247605379, 6.240467964614717</t>
  </si>
  <si>
    <t>Nyon, chemin des Tines</t>
  </si>
  <si>
    <t>46.38077917326185, 6.218166761790562</t>
  </si>
  <si>
    <t>Nyon, route de l'Oulteret</t>
  </si>
  <si>
    <t>46.390258679537375, 6.232151387662884</t>
  </si>
  <si>
    <t>Nyon, La Paix</t>
  </si>
  <si>
    <t>46.391528731233265, 6.234703003752029</t>
  </si>
  <si>
    <t>Nyon, rte de Saint-Cergue</t>
  </si>
  <si>
    <t>46.39253304379516, 6.2311385830784545</t>
  </si>
  <si>
    <t>Nyon, Le Groseillier</t>
  </si>
  <si>
    <t>46.39347428382309, 6.230818553024595</t>
  </si>
  <si>
    <t>Nyon, Tattes d'Oie</t>
  </si>
  <si>
    <t>46.38430320692797, 6.221259540163083</t>
  </si>
  <si>
    <t>Nyon [gare souterraine]</t>
  </si>
  <si>
    <t>46.384535219157165, 6.235385887568252</t>
  </si>
  <si>
    <t>Nyon (lac)</t>
  </si>
  <si>
    <t>46.38229168004136, 6.243560650423274</t>
  </si>
  <si>
    <t>46.384418967533634, 6.235966130629612</t>
  </si>
  <si>
    <t>Nyon (bif)</t>
  </si>
  <si>
    <t>46.38256173000132, 6.233652653089623</t>
  </si>
  <si>
    <t>La Vuarpillière</t>
  </si>
  <si>
    <t>46.399099815246345, 6.217042481220914</t>
  </si>
  <si>
    <t>Nyon, La Redoute</t>
  </si>
  <si>
    <t>46.39163586810261, 6.238140750296546</t>
  </si>
  <si>
    <t>Nyon, Les Mésanges</t>
  </si>
  <si>
    <t>46.387074103656424, 6.226280755189956</t>
  </si>
  <si>
    <t>Nyon, Les Jouvencelles</t>
  </si>
  <si>
    <t>46.38574703750921, 6.219992037582318</t>
  </si>
  <si>
    <t>Nyon, chemin des Pensées</t>
  </si>
  <si>
    <t>46.379108184886945, 6.2343494070842835</t>
  </si>
  <si>
    <t>Nyon, route du Stand</t>
  </si>
  <si>
    <t>46.38163842097184, 6.225436316360094</t>
  </si>
  <si>
    <t>Nyon, Martavaux</t>
  </si>
  <si>
    <t>46.38103574998152, 6.230341690628225</t>
  </si>
  <si>
    <t>Nyon, ch. Monastier</t>
  </si>
  <si>
    <t>46.385320599607105, 6.230688225732159</t>
  </si>
  <si>
    <t>Nyon, L'Asse</t>
  </si>
  <si>
    <t>46.40181440028903, 6.213536712105128</t>
  </si>
  <si>
    <t>Nyon, centre ville</t>
  </si>
  <si>
    <t>46.38307511859078, 6.235957232458722</t>
  </si>
  <si>
    <t>Nyon, chemin de Bourgogne</t>
  </si>
  <si>
    <t>46.39053965989972, 6.230768996994613</t>
  </si>
  <si>
    <t>Nyon, ch. Valmont</t>
  </si>
  <si>
    <t>46.38148264305451, 6.2199968973674205</t>
  </si>
  <si>
    <t>Nyon, Conservatoire</t>
  </si>
  <si>
    <t>46.37804702445739, 6.237778700295306</t>
  </si>
  <si>
    <t>Nyon, plage</t>
  </si>
  <si>
    <t>46.376907746796554, 6.235414944162184</t>
  </si>
  <si>
    <t>Nyon, route de Signy</t>
  </si>
  <si>
    <t>46.38841695985479, 6.2248205617267045</t>
  </si>
  <si>
    <t>Nyon, Musée du Léman</t>
  </si>
  <si>
    <t>46.38025299063614, 6.2411796472393375</t>
  </si>
  <si>
    <t>Nyon, Usine à Gaz</t>
  </si>
  <si>
    <t>46.383549030033876, 6.243504838397623</t>
  </si>
  <si>
    <t>Nyon, Fontaine</t>
  </si>
  <si>
    <t>46.38735654164791, 6.221190247408898</t>
  </si>
  <si>
    <t>Les Plantaz</t>
  </si>
  <si>
    <t>46.390866912378364, 6.229341854308162</t>
  </si>
  <si>
    <t>Nyon, Petite Prairie</t>
  </si>
  <si>
    <t>46.390784524410904, 6.221680423291038</t>
  </si>
  <si>
    <t>Nyon, gare</t>
  </si>
  <si>
    <t>46.38437426592057, 6.236325492879923</t>
  </si>
  <si>
    <t>Nyon, CESSOUEST</t>
  </si>
  <si>
    <t>46.383319142204975, 6.231018808701756</t>
  </si>
  <si>
    <t>Ogens, village</t>
  </si>
  <si>
    <t>Ogens</t>
  </si>
  <si>
    <t>46.71102345389099, 6.722010868427447</t>
  </si>
  <si>
    <t>St-Triphon</t>
  </si>
  <si>
    <t>Ollon</t>
  </si>
  <si>
    <t>46.278798997094334, 6.971895899113651</t>
  </si>
  <si>
    <t>Roches Grises</t>
  </si>
  <si>
    <t>Villars-sur-Ollon</t>
  </si>
  <si>
    <t>46.29375999793236, 7.061100003355582</t>
  </si>
  <si>
    <t>46.29625999728537, 7.0562300052530285</t>
  </si>
  <si>
    <t>Verschiez</t>
  </si>
  <si>
    <t>Ollon VD</t>
  </si>
  <si>
    <t>46.30817402746623, 6.983668232370273</t>
  </si>
  <si>
    <t>St-Triphon, centre</t>
  </si>
  <si>
    <t>46.29281635179578, 6.978761903242759</t>
  </si>
  <si>
    <t>Salaz, Vers les Moulins</t>
  </si>
  <si>
    <t>46.27237588028006, 7.012598387193691</t>
  </si>
  <si>
    <t>Ollon VD, Vergers</t>
  </si>
  <si>
    <t>46.29450651541132, 6.9896747396935</t>
  </si>
  <si>
    <t>Antagnes, Le Boët</t>
  </si>
  <si>
    <t>46.28097957473362, 7.008846080170146</t>
  </si>
  <si>
    <t>Ollon VD, bif. Forchex</t>
  </si>
  <si>
    <t>46.281411058067704, 7.018314031952488</t>
  </si>
  <si>
    <t>Antagnes, Glutières</t>
  </si>
  <si>
    <t>46.285358220758084, 7.012989467366528</t>
  </si>
  <si>
    <t>Villars-sur-Ollon, gare</t>
  </si>
  <si>
    <t>46.2957497190067, 7.056085319795627</t>
  </si>
  <si>
    <t>Chesières, cimetière</t>
  </si>
  <si>
    <t>Chesières</t>
  </si>
  <si>
    <t>46.295708564264274, 7.036489032866956</t>
  </si>
  <si>
    <t>Huémoz, Bellevue</t>
  </si>
  <si>
    <t>Huémoz</t>
  </si>
  <si>
    <t>46.29279666442787, 7.0297365421409275</t>
  </si>
  <si>
    <t>Chesières, Hôtel du Soleil</t>
  </si>
  <si>
    <t>46.30083501694384, 7.042881666092383</t>
  </si>
  <si>
    <t>St-Triphon, Charpigny</t>
  </si>
  <si>
    <t>46.290507370170886, 6.977276185709482</t>
  </si>
  <si>
    <t>Villars-sur-Ollon, Hôtels</t>
  </si>
  <si>
    <t>46.29810421747955, 7.057488272641054</t>
  </si>
  <si>
    <t>Villars-sur-Ollon, télécabine</t>
  </si>
  <si>
    <t>46.30341673842332, 7.0550089224956025</t>
  </si>
  <si>
    <t>Villars-sur-Ollon, centre</t>
  </si>
  <si>
    <t>46.29776906450613, 7.054640613217277</t>
  </si>
  <si>
    <t>Chesières, Chavasses</t>
  </si>
  <si>
    <t>46.30353465063928, 7.050921587941781</t>
  </si>
  <si>
    <t>Villars-sur-Ollon, patinoire</t>
  </si>
  <si>
    <t>46.29781632382253, 7.052735296148964</t>
  </si>
  <si>
    <t>Chesières, Cornuit</t>
  </si>
  <si>
    <t>46.300813885720096, 7.035296020875718</t>
  </si>
  <si>
    <t>St-Triphon, gare</t>
  </si>
  <si>
    <t>46.27901254418728, 6.973326074235732</t>
  </si>
  <si>
    <t>Antagnes, Pissot</t>
  </si>
  <si>
    <t>46.27542157095509, 7.011575540328473</t>
  </si>
  <si>
    <t>Plambuit, bifurcation</t>
  </si>
  <si>
    <t>Panex</t>
  </si>
  <si>
    <t>46.32099606330637, 7.02664133745457</t>
  </si>
  <si>
    <t>Lac-Noir (Petit-Chamossaire)</t>
  </si>
  <si>
    <t>Télé-Villars-Gryon SA</t>
  </si>
  <si>
    <t>ch:1:sboid:100960</t>
  </si>
  <si>
    <t>SBA.73.241.1</t>
  </si>
  <si>
    <t>46.32986768987246, 7.079881506502966</t>
  </si>
  <si>
    <t>Villars-sur-Ollon, temple</t>
  </si>
  <si>
    <t>46.30027833848566, 7.051913073541198</t>
  </si>
  <si>
    <t>Villars-sur-Ollon, Colonges</t>
  </si>
  <si>
    <t>arrêt ligne 12.162</t>
  </si>
  <si>
    <t>46.29271969401432, 7.070057125015947</t>
  </si>
  <si>
    <t>Chesières, Aiglon Collège</t>
  </si>
  <si>
    <t>46.30201418363876, 7.046708489264247</t>
  </si>
  <si>
    <t>Chesières, La Palette</t>
  </si>
  <si>
    <t>46.297787393192465, 7.039250983462704</t>
  </si>
  <si>
    <t>Villars-s.-O., Col de la Croix</t>
  </si>
  <si>
    <t>46.32460921038763, 7.126635379644363</t>
  </si>
  <si>
    <t>St-Triphon-Gare</t>
  </si>
  <si>
    <t>46.278314726968105, 6.973649761471454</t>
  </si>
  <si>
    <t>Antagnes, Forêt</t>
  </si>
  <si>
    <t>46.282972865236346, 7.0055087204772</t>
  </si>
  <si>
    <t>Chaux-Ronde (Villars-s.-Ollon)</t>
  </si>
  <si>
    <t>ch:1:sboid:100959</t>
  </si>
  <si>
    <t>SBA.73.090.9</t>
  </si>
  <si>
    <t>46.320663537717536, 7.085097025242233</t>
  </si>
  <si>
    <t>Col-de-Soud</t>
  </si>
  <si>
    <t>46.30494000110108, 7.069540000758731</t>
  </si>
  <si>
    <t>Bouquetins</t>
  </si>
  <si>
    <t>46.31640000233462, 7.072339999586302</t>
  </si>
  <si>
    <t>Exergillod</t>
  </si>
  <si>
    <t>La Forclaz VD</t>
  </si>
  <si>
    <t>46.337109997985436, 7.038480004199044</t>
  </si>
  <si>
    <t>La Clairière</t>
  </si>
  <si>
    <t>Arveyes</t>
  </si>
  <si>
    <t>46.288340000466555, 7.067999996978398</t>
  </si>
  <si>
    <t>St-Triphon,gouille du Duzillet</t>
  </si>
  <si>
    <t>46.29284589872297, 6.959905704134726</t>
  </si>
  <si>
    <t>St-Triphon, site d'escalade</t>
  </si>
  <si>
    <t>46.295345187010305, 6.979012993802196</t>
  </si>
  <si>
    <t>St-Triphon, Monnaie</t>
  </si>
  <si>
    <t>46.29182087644898, 6.981729099557658</t>
  </si>
  <si>
    <t>Ollon VD, cimetière</t>
  </si>
  <si>
    <t>46.29776576911036, 6.98811630289073</t>
  </si>
  <si>
    <t>Ollon VD, Via Francigena</t>
  </si>
  <si>
    <t>46.28887865534268, 7.004358569692706</t>
  </si>
  <si>
    <t>Antagnes, place de la Dîme</t>
  </si>
  <si>
    <t>46.276604049880895, 7.012643017106618</t>
  </si>
  <si>
    <t>Salaz, Abbaye</t>
  </si>
  <si>
    <t>46.27380236839779, 7.00921428993961</t>
  </si>
  <si>
    <t>Arveyes, Regina</t>
  </si>
  <si>
    <t>46.291144403850325, 7.058894844643805</t>
  </si>
  <si>
    <t>Villars-sur-Ollon, Le Bristol</t>
  </si>
  <si>
    <t>46.29262704429476, 7.055743995720087</t>
  </si>
  <si>
    <t>Chesières, La Bercière</t>
  </si>
  <si>
    <t>46.3012050524465, 7.029011182238426</t>
  </si>
  <si>
    <t>St-Triphon-Village, gare</t>
  </si>
  <si>
    <t>46.302068731568056, 6.975516449705622</t>
  </si>
  <si>
    <t>Chesières, La Prairie</t>
  </si>
  <si>
    <t>46.30194591676881, 7.038327207646581</t>
  </si>
  <si>
    <t>Roc-d'Orsay</t>
  </si>
  <si>
    <t>SBA.72.031.9</t>
  </si>
  <si>
    <t>46.32208847412032, 7.063910583692271</t>
  </si>
  <si>
    <t>Chamossaire VD</t>
  </si>
  <si>
    <t>ch:1:sboid:100956</t>
  </si>
  <si>
    <t>SBA.73.137.9</t>
  </si>
  <si>
    <t>46.3265791877509, 7.061762929814782</t>
  </si>
  <si>
    <t>Ollon VD, gare</t>
  </si>
  <si>
    <t>46.29685993911259, 6.993341061057941</t>
  </si>
  <si>
    <t>Panex, En Mers</t>
  </si>
  <si>
    <t>46.30880116766431, 7.008249055921073</t>
  </si>
  <si>
    <t>Villars-sur-Ollon, rte du Roc</t>
  </si>
  <si>
    <t>46.301430809589775, 7.050688025892427</t>
  </si>
  <si>
    <t>Chesières, Les Ecovets</t>
  </si>
  <si>
    <t>46.30234087051613, 7.02718547472661</t>
  </si>
  <si>
    <t>Lac-Noir (Chaux-Ronde)</t>
  </si>
  <si>
    <t>SBA.73.090.1</t>
  </si>
  <si>
    <t>46.3276133054853, 7.078169370464633</t>
  </si>
  <si>
    <t>St-Triphon, Les Andonces</t>
  </si>
  <si>
    <t>46.28850810113797, 6.970351689979724</t>
  </si>
  <si>
    <t>Panex, Les Planches</t>
  </si>
  <si>
    <t>46.31303852057135, 7.022742306808064</t>
  </si>
  <si>
    <t>Plambuit, rte des Tailles</t>
  </si>
  <si>
    <t>46.322427834116155, 7.029512959360073</t>
  </si>
  <si>
    <t>Villars-sur-Ollon, rte Coufin</t>
  </si>
  <si>
    <t>46.3074442290619, 7.095792436375354</t>
  </si>
  <si>
    <t>Panex, Forêt des Esserts</t>
  </si>
  <si>
    <t>46.31589541100355, 7.0191571594919955</t>
  </si>
  <si>
    <t>Chesières, Crêt des Nex</t>
  </si>
  <si>
    <t>46.30415523729429, 7.04639407893402</t>
  </si>
  <si>
    <t>Chesières, Cormanon</t>
  </si>
  <si>
    <t>46.3028582031899, 7.040797574678715</t>
  </si>
  <si>
    <t>Col-de-Bretaye</t>
  </si>
  <si>
    <t>46.32192999943989, 7.07360999383511</t>
  </si>
  <si>
    <t>Villy, gare</t>
  </si>
  <si>
    <t>46.28714682447404, 6.993926867552505</t>
  </si>
  <si>
    <t>Ollon VD, Les Arnoux</t>
  </si>
  <si>
    <t>46.291464887249155, 6.996240277210196</t>
  </si>
  <si>
    <t>Antagnes, rte d'Antagnes</t>
  </si>
  <si>
    <t>46.27848622785679, 7.010811904804328</t>
  </si>
  <si>
    <t>Antagnes, Les Fontaines</t>
  </si>
  <si>
    <t>46.277882855031805, 7.008273830029788</t>
  </si>
  <si>
    <t>Salaz, Les Glareys</t>
  </si>
  <si>
    <t>46.27186883804669, 7.0000063533312264</t>
  </si>
  <si>
    <t>Ollon VD, Crettaz-Tavez</t>
  </si>
  <si>
    <t>46.306708078921915, 7.001983096367842</t>
  </si>
  <si>
    <t>Ollon VD, Le Moulin</t>
  </si>
  <si>
    <t>46.29795394769213, 6.999341097881365</t>
  </si>
  <si>
    <t>Les Arnoux</t>
  </si>
  <si>
    <t>46.29164505114743, 6.996744596703117</t>
  </si>
  <si>
    <t>Panex, Au Pomey rouge</t>
  </si>
  <si>
    <t>46.31102564677863, 7.0112820605821</t>
  </si>
  <si>
    <t>Ollon VD, bif. rte d'Antagnes</t>
  </si>
  <si>
    <t>46.29363458236319, 7.0012967453532555</t>
  </si>
  <si>
    <t>Villars-sur-Ollon, La Verneyre</t>
  </si>
  <si>
    <t>46.306709051706186, 7.093119130306479</t>
  </si>
  <si>
    <t>Villars-s.-O., Bois des Tines</t>
  </si>
  <si>
    <t>46.31775181156763, 7.119248566652091</t>
  </si>
  <si>
    <t>Arveyes, gare</t>
  </si>
  <si>
    <t>46.291220755284655, 7.062891158709444</t>
  </si>
  <si>
    <t>Arveyes, La Clairière</t>
  </si>
  <si>
    <t>46.28824194898932, 7.067959494279027</t>
  </si>
  <si>
    <t>Panex, réservoir</t>
  </si>
  <si>
    <t>46.3112480429239, 7.01723476476337</t>
  </si>
  <si>
    <t>Panex, Bois de la Glaive</t>
  </si>
  <si>
    <t>46.310143536982984, 7.0069670210118264</t>
  </si>
  <si>
    <t>Charmet</t>
  </si>
  <si>
    <t>ch:1:sboid:100957</t>
  </si>
  <si>
    <t>SBA.73.115.9</t>
  </si>
  <si>
    <t>46.32061513824172, 7.08400670307075</t>
  </si>
  <si>
    <t>Petit-Chamossaire</t>
  </si>
  <si>
    <t>SBA.73.241.9</t>
  </si>
  <si>
    <t>46.33150830605746, 7.067027091527522</t>
  </si>
  <si>
    <t>Villars-sur-Ollon (télécabine)</t>
  </si>
  <si>
    <t>SBA.72.031.1</t>
  </si>
  <si>
    <t>46.303653159964256, 7.054965197469535</t>
  </si>
  <si>
    <t>Villars-sur-Ollon La Rasse</t>
  </si>
  <si>
    <t>SBA.73.115.1</t>
  </si>
  <si>
    <t>46.30178614226103, 7.089464403525084</t>
  </si>
  <si>
    <t>Col-de-Bretaye (télésiège)</t>
  </si>
  <si>
    <t>SBA.73.137.1</t>
  </si>
  <si>
    <t>46.32067017097115, 7.073060996210191</t>
  </si>
  <si>
    <t>Bretaye Conche</t>
  </si>
  <si>
    <t>SBA.73.279.9</t>
  </si>
  <si>
    <t>46.32612471053791, 7.088229746588705</t>
  </si>
  <si>
    <t>Ollon VD, Plan-d'Essert</t>
  </si>
  <si>
    <t>46.30303092980446, 7.000208538761203</t>
  </si>
  <si>
    <t>Panex, La Croisée</t>
  </si>
  <si>
    <t>46.31028718307505, 7.01584434555652</t>
  </si>
  <si>
    <t>St-Triphon-Village</t>
  </si>
  <si>
    <t>46.302046285452654, 6.975877989128015</t>
  </si>
  <si>
    <t>46.29670462536613, 6.993201523515191</t>
  </si>
  <si>
    <t>46.29124999585974, 7.062689997506701</t>
  </si>
  <si>
    <t>Huémoz, Les Combes</t>
  </si>
  <si>
    <t>46.28707674680623, 7.027638663743488</t>
  </si>
  <si>
    <t>Villars-sur-Ollon Golf</t>
  </si>
  <si>
    <t>46.30911999816197, 7.075490004343779</t>
  </si>
  <si>
    <t>Villy, village</t>
  </si>
  <si>
    <t>46.28316384486897, 6.996762105604779</t>
  </si>
  <si>
    <t>Panex, village</t>
  </si>
  <si>
    <t>46.31076523898338, 7.01378954149088</t>
  </si>
  <si>
    <t>Auliens, halte</t>
  </si>
  <si>
    <t>46.28376048614785, 7.026041918265997</t>
  </si>
  <si>
    <t>Ollon VD,collège de Perrosalle</t>
  </si>
  <si>
    <t>46.29103787058141, 6.9875471699805205</t>
  </si>
  <si>
    <t>Huémoz, village</t>
  </si>
  <si>
    <t>46.290200207307194, 7.023254861945005</t>
  </si>
  <si>
    <t>Villy</t>
  </si>
  <si>
    <t>46.28685477826867, 6.9943085447664695</t>
  </si>
  <si>
    <t>Villars-sur-Ollon, tennis</t>
  </si>
  <si>
    <t>46.295651517338, 7.06165350691992</t>
  </si>
  <si>
    <t>St-Triphon Lessus</t>
  </si>
  <si>
    <t>46.29211062709121, 6.969003791070338</t>
  </si>
  <si>
    <t>Plambuit, Hameau</t>
  </si>
  <si>
    <t>46.32359489467692, 7.0288549211294855</t>
  </si>
  <si>
    <t>Les Diablerets, Les Mazots</t>
  </si>
  <si>
    <t>46.331354458518376, 7.12934961103568</t>
  </si>
  <si>
    <t>Villars-sur-Ollon, La Roche</t>
  </si>
  <si>
    <t>46.31013574253152, 7.101820692651643</t>
  </si>
  <si>
    <t>Onnens-Bonvillars</t>
  </si>
  <si>
    <t>Onnens (VD)</t>
  </si>
  <si>
    <t>Onnens VD</t>
  </si>
  <si>
    <t>46.83264056094969, 6.689858900834078</t>
  </si>
  <si>
    <t>Onnens VD, croisée</t>
  </si>
  <si>
    <t>46.8387484345975, 6.688858179794391</t>
  </si>
  <si>
    <t>Oppens, La Tuilière</t>
  </si>
  <si>
    <t>Oppens</t>
  </si>
  <si>
    <t>46.71408688237777, 6.700245961135294</t>
  </si>
  <si>
    <t>Oppens, croisée</t>
  </si>
  <si>
    <t>46.71420087643368, 6.691520701405202</t>
  </si>
  <si>
    <t>Orbe, gare</t>
  </si>
  <si>
    <t>Orbe</t>
  </si>
  <si>
    <t>46.72435943334232, 6.530329913816158</t>
  </si>
  <si>
    <t>St-Eloi</t>
  </si>
  <si>
    <t>46.72062137903839, 6.532054679166742</t>
  </si>
  <si>
    <t>Orbe, Chantemerle</t>
  </si>
  <si>
    <t>46.730301605924204, 6.528209889724492</t>
  </si>
  <si>
    <t>Orbe, Petit-Bois</t>
  </si>
  <si>
    <t>46.73386043836036, 6.527437338558557</t>
  </si>
  <si>
    <t>Les Granges (Orbe), gare</t>
  </si>
  <si>
    <t>46.72106478609425, 6.541792416783904</t>
  </si>
  <si>
    <t>BUS|TRAIN</t>
  </si>
  <si>
    <t>46.72440836623426, 6.530143011721603</t>
  </si>
  <si>
    <t>Orbe, Gruvatiez</t>
  </si>
  <si>
    <t>46.72130291700625, 6.5368063143181905</t>
  </si>
  <si>
    <t>Orbe, collège</t>
  </si>
  <si>
    <t>46.722474526758745, 6.531410283666294</t>
  </si>
  <si>
    <t>Orbe-Industrie (marchandises)</t>
  </si>
  <si>
    <t>46.72091715078077, 6.541495739101297</t>
  </si>
  <si>
    <t>Les Granges (Orbe)</t>
  </si>
  <si>
    <t>46.720970967157385, 6.541469727341632</t>
  </si>
  <si>
    <t>Orbe, Les Mosaïques</t>
  </si>
  <si>
    <t>46.738522304301554, 6.5301323323072795</t>
  </si>
  <si>
    <t>Orbe, rue Neuve</t>
  </si>
  <si>
    <t>46.72436361570983, 6.534792801262541</t>
  </si>
  <si>
    <t>Orbe, Penchèvre</t>
  </si>
  <si>
    <t>46.72767859238165, 6.535352046273063</t>
  </si>
  <si>
    <t>Orbe, croisée Agiez</t>
  </si>
  <si>
    <t>46.71905443807861, 6.528956437114532</t>
  </si>
  <si>
    <t>Orbe, Suchet</t>
  </si>
  <si>
    <t>46.73014111253303, 6.526021694920565</t>
  </si>
  <si>
    <t>Orbe, Le Devin</t>
  </si>
  <si>
    <t>46.710908967033376, 6.527328383510175</t>
  </si>
  <si>
    <t>Orbe, Montchoisi</t>
  </si>
  <si>
    <t>46.73212065598903, 6.5317057016210684</t>
  </si>
  <si>
    <t>Orbe, hôpital</t>
  </si>
  <si>
    <t>46.72899523747994, 6.532360148403331</t>
  </si>
  <si>
    <t>Orbe, poste</t>
  </si>
  <si>
    <t>46.7240538695627, 6.530912739564207</t>
  </si>
  <si>
    <t>Orbe, Taborneires</t>
  </si>
  <si>
    <t>46.71983805542495, 6.546131178334912</t>
  </si>
  <si>
    <t>Orbe, Champ de la Pierre</t>
  </si>
  <si>
    <t>46.72014840032613, 6.524019600133693</t>
  </si>
  <si>
    <t>Orbe, route de Valeyres</t>
  </si>
  <si>
    <t>46.73476821992022, 6.529790057042717</t>
  </si>
  <si>
    <t>Orbe, Plamont</t>
  </si>
  <si>
    <t>46.73144934661764, 6.5264966970572384</t>
  </si>
  <si>
    <t>Orbe, Couronne</t>
  </si>
  <si>
    <t>46.72708677604792, 6.5321960275671085</t>
  </si>
  <si>
    <t>Orbe, La Croix</t>
  </si>
  <si>
    <t>46.7303836025417, 6.530846948720715</t>
  </si>
  <si>
    <t>Orbe, Fleurs-de-Lys</t>
  </si>
  <si>
    <t>46.71715338799099, 6.528596141451369</t>
  </si>
  <si>
    <t>Orbe, Dame</t>
  </si>
  <si>
    <t>46.72767621983592, 6.5327879044184565</t>
  </si>
  <si>
    <t>Orbe, route de Chavornay</t>
  </si>
  <si>
    <t>46.72208707206132, 6.538585431242574</t>
  </si>
  <si>
    <t>Orbe, Les Moulins</t>
  </si>
  <si>
    <t>46.72066505723897, 6.534645572334127</t>
  </si>
  <si>
    <t>Orges, Gret</t>
  </si>
  <si>
    <t>Orges</t>
  </si>
  <si>
    <t>46.80853175327845, 6.590018703612026</t>
  </si>
  <si>
    <t>Orges, village</t>
  </si>
  <si>
    <t>46.80831433661321, 6.5861963351002615</t>
  </si>
  <si>
    <t>Mi-Laouissalet (Meilleret)</t>
  </si>
  <si>
    <t>Ormont-Dessous</t>
  </si>
  <si>
    <t>SBA.73.280.1</t>
  </si>
  <si>
    <t>46.33280456781934, 7.107783445077318</t>
  </si>
  <si>
    <t>Choulet - Le Fer</t>
  </si>
  <si>
    <t>Le Sépey</t>
  </si>
  <si>
    <t>SBA.74.023.1</t>
  </si>
  <si>
    <t>46.37156236471855, 7.04205971675884</t>
  </si>
  <si>
    <t>Meilleret (Mi-Laouissalet)</t>
  </si>
  <si>
    <t>SBA.73.280.9</t>
  </si>
  <si>
    <t>46.33332882260317, 7.121182623814612</t>
  </si>
  <si>
    <t>Solepraz (télésiège)</t>
  </si>
  <si>
    <t>SBA.74.024.1</t>
  </si>
  <si>
    <t>46.37621100973087, 7.049200071820851</t>
  </si>
  <si>
    <t>Les Fontanelles</t>
  </si>
  <si>
    <t>46.34312999823321, 7.045450001544031</t>
  </si>
  <si>
    <t>Les Planches (Aigle)</t>
  </si>
  <si>
    <t>46.35534000043915, 7.055269997276302</t>
  </si>
  <si>
    <t>Les Echenards</t>
  </si>
  <si>
    <t>46.35534999649843, 7.085060005444977</t>
  </si>
  <si>
    <t>Les Mosses, L'Arsaz</t>
  </si>
  <si>
    <t>Les Mosses</t>
  </si>
  <si>
    <t>46.407351491759314, 7.104557393406898</t>
  </si>
  <si>
    <t>La Comballaz, centre</t>
  </si>
  <si>
    <t>La Comballaz</t>
  </si>
  <si>
    <t>bis 2018: La Comballaz, poste</t>
  </si>
  <si>
    <t>46.37992272656798, 7.083631044187388</t>
  </si>
  <si>
    <t>Le Sépey, gare</t>
  </si>
  <si>
    <t>bis 2018: Le Sépey, gare/poste</t>
  </si>
  <si>
    <t>46.36131685595531, 7.05263354295921</t>
  </si>
  <si>
    <t>Mi-Laouissalet (Conche)</t>
  </si>
  <si>
    <t>SBA.73.279.1</t>
  </si>
  <si>
    <t>46.33211637385899, 7.112410849824772</t>
  </si>
  <si>
    <t>Cergnat, Pied de Crettaz</t>
  </si>
  <si>
    <t>46.34948364903749, 7.031062345966449</t>
  </si>
  <si>
    <t>Cergnat, Les Noisetiers</t>
  </si>
  <si>
    <t>46.35316585913705, 7.034386472427223</t>
  </si>
  <si>
    <t>Les Mosses, église</t>
  </si>
  <si>
    <t>46.39102410425286, 7.095492784921062</t>
  </si>
  <si>
    <t>La Comballaz, Les Voëttes</t>
  </si>
  <si>
    <t>46.382305970036036, 7.0863061086560775</t>
  </si>
  <si>
    <t>La Forclaz VD, Les Granges</t>
  </si>
  <si>
    <t>46.34362423769711, 7.050590417335035</t>
  </si>
  <si>
    <t>La Forclaz VD, Le Bouillet</t>
  </si>
  <si>
    <t>46.34682534505196, 7.052814766055376</t>
  </si>
  <si>
    <t>Les Planches (Aigle), gare</t>
  </si>
  <si>
    <t>46.35453413359769, 7.055293267532992</t>
  </si>
  <si>
    <t>Le Sépey, La Combaz</t>
  </si>
  <si>
    <t>46.360504683836176, 7.059850642218145</t>
  </si>
  <si>
    <t>Le Sépey, Aux Caudreys</t>
  </si>
  <si>
    <t>46.365131982894056, 7.07181214480393</t>
  </si>
  <si>
    <t>Cergnat, église</t>
  </si>
  <si>
    <t>46.35739839648583, 7.043293801354409</t>
  </si>
  <si>
    <t>La Forclaz VD, La Trappaz</t>
  </si>
  <si>
    <t>46.3485252748085, 7.050113624919109</t>
  </si>
  <si>
    <t>La Forclaz VD, Vougny-Paluex</t>
  </si>
  <si>
    <t>46.34952949507088, 7.0597325476467825</t>
  </si>
  <si>
    <t>Le Sépey, Pont de la Tine</t>
  </si>
  <si>
    <t>46.343097891206156, 7.038955870249612</t>
  </si>
  <si>
    <t>La Forclaz VD, village</t>
  </si>
  <si>
    <t>46.350922397803075, 7.067426494819335</t>
  </si>
  <si>
    <t>Meilleret</t>
  </si>
  <si>
    <t>SBA.73.159.9</t>
  </si>
  <si>
    <t>46.33420928983214, 7.1207878512034375</t>
  </si>
  <si>
    <t>La Comballaz, L'Ortier</t>
  </si>
  <si>
    <t>46.38581592308219, 7.0897280910821845</t>
  </si>
  <si>
    <t>Les Mosses, Col des Mosses</t>
  </si>
  <si>
    <t>46.39732975852564, 7.1013557557993545</t>
  </si>
  <si>
    <t>46.36124000014802, 7.052790000219997</t>
  </si>
  <si>
    <t>Les Mosses, village</t>
  </si>
  <si>
    <t>46.39447572399019, 7.100554459517004</t>
  </si>
  <si>
    <t>Le Sépey, La Mosse</t>
  </si>
  <si>
    <t>46.363573158237216, 7.060128038044764</t>
  </si>
  <si>
    <t>La Comballaz, Le Pilet</t>
  </si>
  <si>
    <t>46.3755985295397, 7.078811548893568</t>
  </si>
  <si>
    <t>Les Diablerets,rte Creux Culan</t>
  </si>
  <si>
    <t>Ormont-Dessus</t>
  </si>
  <si>
    <t>Les Diablerets</t>
  </si>
  <si>
    <t>46.328928080263125, 7.140284476743122</t>
  </si>
  <si>
    <t>Les Diablerets, La Bierlaz</t>
  </si>
  <si>
    <t>46.33094545861619, 7.137025107963838</t>
  </si>
  <si>
    <t>Vers-l'Eglise, Le Rosex</t>
  </si>
  <si>
    <t>Vers-l'Eglise</t>
  </si>
  <si>
    <t>46.35656199161198, 7.107703192141277</t>
  </si>
  <si>
    <t>Les Diablerets, La Vuargnaz</t>
  </si>
  <si>
    <t>46.35310292026276, 7.162847362628055</t>
  </si>
  <si>
    <t>Col-du-Pillon (téléphérique)</t>
  </si>
  <si>
    <t>Gstaad 3000 AG</t>
  </si>
  <si>
    <t>ch:1:sboid:100219</t>
  </si>
  <si>
    <t>SBA.71.014.1</t>
  </si>
  <si>
    <t>46.354143289720476, 7.20531205973797</t>
  </si>
  <si>
    <t>Cabane-des-Diabl. (Oldenegg)</t>
  </si>
  <si>
    <t>SBA.73.139.9 reiner Betriebspunkt, VP=8530590</t>
  </si>
  <si>
    <t>46.33999454067401, 7.214893557060422</t>
  </si>
  <si>
    <t>Les Nicolets</t>
  </si>
  <si>
    <t>46.35446000093237, 7.119539999710976</t>
  </si>
  <si>
    <t>Vers-l'Eglise, Plan Morier</t>
  </si>
  <si>
    <t>46.355628390349004, 7.126446716710239</t>
  </si>
  <si>
    <t>Sur-le-Buis</t>
  </si>
  <si>
    <t>46.35330000206168, 7.100629999496757</t>
  </si>
  <si>
    <t>Les Diablerets, Lilas/Chamois</t>
  </si>
  <si>
    <t>46.35281702619964, 7.152793446803683</t>
  </si>
  <si>
    <t>Les Diablerets,parc des sports</t>
  </si>
  <si>
    <t>46.347951947205935, 7.157002014685868</t>
  </si>
  <si>
    <t>Les Diablerets, Les Vioz</t>
  </si>
  <si>
    <t>46.34756221375422, 7.155834926821837</t>
  </si>
  <si>
    <t>Les Diablerets, gare</t>
  </si>
  <si>
    <t>46.35116871928394, 7.15553027391724</t>
  </si>
  <si>
    <t>Les Diablerets, Mon Abri</t>
  </si>
  <si>
    <t>46.354060632655745, 7.1501235702545145</t>
  </si>
  <si>
    <t>Les Diablerets (Isenau aval)</t>
  </si>
  <si>
    <t>SBA.72.011.1</t>
  </si>
  <si>
    <t>46.35007415718553, 7.160316608530147</t>
  </si>
  <si>
    <t>Les Mazots</t>
  </si>
  <si>
    <t>SBA.73.018.9 neu SBA.72.171.9</t>
  </si>
  <si>
    <t>46.332254750981875, 7.132915765474262</t>
  </si>
  <si>
    <t>Les Diablerets, Les Diablotins</t>
  </si>
  <si>
    <t>46.34945914608178, 7.170088726112962</t>
  </si>
  <si>
    <t>Vers-l'Eglise, bifurcation</t>
  </si>
  <si>
    <t>46.35546261695756, 7.132537808083148</t>
  </si>
  <si>
    <t>Les Diablerets, Le Planet</t>
  </si>
  <si>
    <t>46.354382154513274, 7.156318951886299</t>
  </si>
  <si>
    <t>Les Diablerets, Les Preises</t>
  </si>
  <si>
    <t>46.349686900957636, 7.182935376463118</t>
  </si>
  <si>
    <t>Les Diablerets, La Marche</t>
  </si>
  <si>
    <t>46.359400065087144, 7.225142650062135</t>
  </si>
  <si>
    <t>Les Diablerets, La Moille</t>
  </si>
  <si>
    <t>46.35384593022261, 7.165452595217151</t>
  </si>
  <si>
    <t>Plan Morier</t>
  </si>
  <si>
    <t>46.35356999777143, 7.129199996739162</t>
  </si>
  <si>
    <t>Glacier-des-Diabl. (Sex Rouge)</t>
  </si>
  <si>
    <t>SBA.74.190.9 reiner Betriebspunkt, VP=8501354</t>
  </si>
  <si>
    <t>46.32639956226762, 7.204782471475927</t>
  </si>
  <si>
    <t>Les Diablerets, accrobranche</t>
  </si>
  <si>
    <t>46.33985033734851, 7.158407951238692</t>
  </si>
  <si>
    <t>Les Diablerets, La Faverge</t>
  </si>
  <si>
    <t>46.35511634115587, 7.14787032602621</t>
  </si>
  <si>
    <t>Les Diablerets, Les Rochers</t>
  </si>
  <si>
    <t>46.35051218905295, 7.166562970174341</t>
  </si>
  <si>
    <t>Les Diablerets, Lac Retaud</t>
  </si>
  <si>
    <t>46.35924745930817, 7.198468730449511</t>
  </si>
  <si>
    <t>Les Diablerets, Crétêt au Rot</t>
  </si>
  <si>
    <t>46.35268999381696, 7.166915776910325</t>
  </si>
  <si>
    <t>Cabane-des-Diablerets</t>
  </si>
  <si>
    <t>SBA.71.014.9</t>
  </si>
  <si>
    <t>46.34018311274314, 7.214723927764375</t>
  </si>
  <si>
    <t>Cabane-des-Diabl. (Glacier)</t>
  </si>
  <si>
    <t>SBA.71.015.1 reiner Betriebspunkt, VP=8530590</t>
  </si>
  <si>
    <t>46.33993976724247, 7.214491145582705</t>
  </si>
  <si>
    <t>Glacier du Sex Rouge</t>
  </si>
  <si>
    <t>SBA.74.190.1</t>
  </si>
  <si>
    <t>46.326876829073036, 7.209403141677565</t>
  </si>
  <si>
    <t>Mi-Ruvine</t>
  </si>
  <si>
    <t>SBA.73.159.1</t>
  </si>
  <si>
    <t>46.33968158864061, 7.1315879784920915</t>
  </si>
  <si>
    <t>Les Diablerets, Les Bovets</t>
  </si>
  <si>
    <t>46.35569483547704, 7.142020756617626</t>
  </si>
  <si>
    <t>Les Diablerets, Les Frasses</t>
  </si>
  <si>
    <t>46.35121170371526, 7.169417482875053</t>
  </si>
  <si>
    <t>Col-du-Pillon, Glacier 3000</t>
  </si>
  <si>
    <t>46.35382006647882, 7.205612262590459</t>
  </si>
  <si>
    <t>Les Diablerets Le Vioz</t>
  </si>
  <si>
    <t>SBA.73.018.1 neu SBA.72.171.1</t>
  </si>
  <si>
    <t>46.34561309845036, 7.155036329494376</t>
  </si>
  <si>
    <t>Les Diablerets, Les Parchets</t>
  </si>
  <si>
    <t>46.34938243951988, 7.175714039944134</t>
  </si>
  <si>
    <t>Les Diablerets, Sasset</t>
  </si>
  <si>
    <t>46.35230565864906, 7.165215683671582</t>
  </si>
  <si>
    <t>Les Diablerets, Droutzay</t>
  </si>
  <si>
    <t>46.33981492651401, 7.161335195863767</t>
  </si>
  <si>
    <t>Vers-l'Eglise, Les Nicolets</t>
  </si>
  <si>
    <t>46.35488643395354, 7.122296212862343</t>
  </si>
  <si>
    <t>La Faverge</t>
  </si>
  <si>
    <t>46.354929994011115, 7.147120002922439</t>
  </si>
  <si>
    <t>46.35115999853249, 7.155020005386132</t>
  </si>
  <si>
    <t>46.35362999354051, 7.134140001149164</t>
  </si>
  <si>
    <t>Glacier-des-Diablerets</t>
  </si>
  <si>
    <t>SBA.71.015.9</t>
  </si>
  <si>
    <t>46.32680412096592, 7.204663855829559</t>
  </si>
  <si>
    <t>Les Diablerets, Le Rachy</t>
  </si>
  <si>
    <t>46.34722645991332, 7.144145586842023</t>
  </si>
  <si>
    <t>Les Aviolats</t>
  </si>
  <si>
    <t>46.3529700008271, 7.113160005121262</t>
  </si>
  <si>
    <t>Les Diablerets, Le Belvédère</t>
  </si>
  <si>
    <t>46.35360439446439, 7.164491896077776</t>
  </si>
  <si>
    <t>Les Diablerets, Commune</t>
  </si>
  <si>
    <t>46.348648034355755, 7.15837537833363</t>
  </si>
  <si>
    <t>La Jorasse</t>
  </si>
  <si>
    <t>Télé-Villars-Gryon-Diablerets SA</t>
  </si>
  <si>
    <t>ch:1:sboid:1100022</t>
  </si>
  <si>
    <t>46.33687986107873, 7.139480986573759</t>
  </si>
  <si>
    <t>Les Bovets</t>
  </si>
  <si>
    <t>46.355460000248435, 7.1416399987524475</t>
  </si>
  <si>
    <t>Les Diablerets, Les Ormonts</t>
  </si>
  <si>
    <t>46.350187791280085, 7.158977970777081</t>
  </si>
  <si>
    <t>Orny, village</t>
  </si>
  <si>
    <t>Orny</t>
  </si>
  <si>
    <t>46.66791728323623, 6.52629086679315</t>
  </si>
  <si>
    <t>Oron-le-Châtel, La Chavanne</t>
  </si>
  <si>
    <t>Oron</t>
  </si>
  <si>
    <t>Oron-le-Châtel</t>
  </si>
  <si>
    <t>46.57577142094787, 6.842010308621177</t>
  </si>
  <si>
    <t>Palézieux</t>
  </si>
  <si>
    <t>46.54276359358115, 6.837875276813898</t>
  </si>
  <si>
    <t>Bussigny-sur-Oron, collège</t>
  </si>
  <si>
    <t>Bussigny-sur-Oron</t>
  </si>
  <si>
    <t>46.569769854079816, 6.862646786393176</t>
  </si>
  <si>
    <t>Oron-la-Ville, gare routière</t>
  </si>
  <si>
    <t>Oron-la-Ville</t>
  </si>
  <si>
    <t>46.571209263457284, 6.821581301333403</t>
  </si>
  <si>
    <t>Les Thioleyres, village</t>
  </si>
  <si>
    <t>Les Thioleyres</t>
  </si>
  <si>
    <t>46.539624276974884, 6.811643171256561</t>
  </si>
  <si>
    <t>Les Tavernes, collège</t>
  </si>
  <si>
    <t>Les Tavernes</t>
  </si>
  <si>
    <t>46.553303378775695, 6.814248822487205</t>
  </si>
  <si>
    <t>Oron-le-Châtel, gare</t>
  </si>
  <si>
    <t>46.572468754755256, 6.836672470232651</t>
  </si>
  <si>
    <t>Ecoteaux, collège</t>
  </si>
  <si>
    <t>Ecoteaux</t>
  </si>
  <si>
    <t>46.54571440260721, 6.862525244744052</t>
  </si>
  <si>
    <t>Ecoteaux, Platta-Pierraz</t>
  </si>
  <si>
    <t>46.54536885664717, 6.851277171946997</t>
  </si>
  <si>
    <t>Vuibroye, Champacot</t>
  </si>
  <si>
    <t>Vuibroye</t>
  </si>
  <si>
    <t>46.57578214172227, 6.80901854111848</t>
  </si>
  <si>
    <t>Vuibroye, village</t>
  </si>
  <si>
    <t>46.572194772612086, 6.806138412758192</t>
  </si>
  <si>
    <t>Châtillens, gare</t>
  </si>
  <si>
    <t>Châtillens</t>
  </si>
  <si>
    <t>46.57042844709366, 6.815329081297836</t>
  </si>
  <si>
    <t>Palézieux, gare</t>
  </si>
  <si>
    <t>46.542139730401914, 6.837610194527385</t>
  </si>
  <si>
    <t>Ecoteaux, laiterie</t>
  </si>
  <si>
    <t>46.543163047677496, 6.859671190086359</t>
  </si>
  <si>
    <t>Palézieux, zone ind. En Grivaz</t>
  </si>
  <si>
    <t>Palézieux-Village</t>
  </si>
  <si>
    <t>46.54199832231591, 6.831327849466611</t>
  </si>
  <si>
    <t>Palézieux-Village, collège</t>
  </si>
  <si>
    <t>46.55566741910814, 6.833834376738656</t>
  </si>
  <si>
    <t>Oron-la-Ville, Pralets</t>
  </si>
  <si>
    <t>46.57100092763476, 6.819666187178014</t>
  </si>
  <si>
    <t>Palézieux, En Plan</t>
  </si>
  <si>
    <t>46.550144596686195, 6.8239082408100025</t>
  </si>
  <si>
    <t>Bussigny-sur-Oron, La Resse</t>
  </si>
  <si>
    <t>46.56810517172925, 6.8572645650601665</t>
  </si>
  <si>
    <t>Palézieux Est (bif)</t>
  </si>
  <si>
    <t>46.54618183375128, 6.843724903102607</t>
  </si>
  <si>
    <t>Oron-la-Ville, centre</t>
  </si>
  <si>
    <t>46.57088872782371, 6.827180907308626</t>
  </si>
  <si>
    <t>Bussigny-sur-Oron, croisée</t>
  </si>
  <si>
    <t>Chesalles-sur-Oron</t>
  </si>
  <si>
    <t>46.57530045759296, 6.864061872105564</t>
  </si>
  <si>
    <t>Oron-le-Châtel, Château</t>
  </si>
  <si>
    <t>46.5751085010789, 6.839121612160447</t>
  </si>
  <si>
    <t>Palézieux [voie 11-12]</t>
  </si>
  <si>
    <t>Transports publics fribourgeois</t>
  </si>
  <si>
    <t>ch:1:sboid:100034</t>
  </si>
  <si>
    <t>46.54219062816765, 6.837673895124957</t>
  </si>
  <si>
    <t>46.557113199779806, 6.828874524740348</t>
  </si>
  <si>
    <t>46.57254560973378, 6.837104144003912</t>
  </si>
  <si>
    <t>46.57053302432071, 6.815481520130104</t>
  </si>
  <si>
    <t>Palézieux-Village, centre</t>
  </si>
  <si>
    <t>46.555196596209385, 6.82990146118472</t>
  </si>
  <si>
    <t>Oron-la-Ville, Pré à l'Abbé</t>
  </si>
  <si>
    <t>46.56705173128464, 6.831319935209418</t>
  </si>
  <si>
    <t>Châtillens, collège</t>
  </si>
  <si>
    <t>46.56547155243198, 6.803934668075031</t>
  </si>
  <si>
    <t>46.576701704227276, 6.853088724088641</t>
  </si>
  <si>
    <t>Châtillens, Le Péleret</t>
  </si>
  <si>
    <t>46.56306420270705, 6.796567981701812</t>
  </si>
  <si>
    <t>Essertes, village</t>
  </si>
  <si>
    <t>Essertes</t>
  </si>
  <si>
    <t>46.56254802872666, 6.78807061420497</t>
  </si>
  <si>
    <t>Orzens, village</t>
  </si>
  <si>
    <t>Orzens</t>
  </si>
  <si>
    <t>46.72325701426686, 6.682931504337101</t>
  </si>
  <si>
    <t>Oulens-sous-Echallens,Gd Salle</t>
  </si>
  <si>
    <t>Oulens-sous-Echallens</t>
  </si>
  <si>
    <t>46.63927221993103, 6.576851633164543</t>
  </si>
  <si>
    <t>Oulens-sous-Echallens, collège</t>
  </si>
  <si>
    <t>46.64350105621181, 6.5781294603016445</t>
  </si>
  <si>
    <t>Pailly, village</t>
  </si>
  <si>
    <t>Pailly</t>
  </si>
  <si>
    <t>46.70147320447046, 6.674136233048425</t>
  </si>
  <si>
    <t>Pailly, Le Rembloz</t>
  </si>
  <si>
    <t>46.698169301195136, 6.6791516736618854</t>
  </si>
  <si>
    <t>Pailly, Moulin-Pacot</t>
  </si>
  <si>
    <t>46.696521396573004, 6.687032822799444</t>
  </si>
  <si>
    <t>Paudex, Marronnier</t>
  </si>
  <si>
    <t>Paudex</t>
  </si>
  <si>
    <t>46.505738313528724, 6.675418648185158</t>
  </si>
  <si>
    <t>Paudex, village</t>
  </si>
  <si>
    <t>46.50666603340664, 6.672917031931323</t>
  </si>
  <si>
    <t>Paudex, Verrière</t>
  </si>
  <si>
    <t>46.505807716830105, 6.671040026721771</t>
  </si>
  <si>
    <t>Payerne</t>
  </si>
  <si>
    <t>46.81964995917924, 6.939884923199121</t>
  </si>
  <si>
    <t>Payerne, Stade</t>
  </si>
  <si>
    <t>46.82352524156948, 6.943941422007995</t>
  </si>
  <si>
    <t>Payerne, Vuaz Vauchy</t>
  </si>
  <si>
    <t>46.834265771083004, 6.936535842140554</t>
  </si>
  <si>
    <t>Vers-chez-Perrin, Etrabloz</t>
  </si>
  <si>
    <t>Vers-chez-Perrin</t>
  </si>
  <si>
    <t>46.79166693859296, 6.938710529316902</t>
  </si>
  <si>
    <t>Payerne, Simplon</t>
  </si>
  <si>
    <t>(neue Hst per 08.2018 aber keine Fahrplandaten)</t>
  </si>
  <si>
    <t>46.81945435152479, 6.936695956723768</t>
  </si>
  <si>
    <t>Payerne, Rives de la Broye</t>
  </si>
  <si>
    <t>46.81469901204424, 6.927319250276555</t>
  </si>
  <si>
    <t>Vers-chez-Perrin, bif.</t>
  </si>
  <si>
    <t>46.79682704319899, 6.939998600175327</t>
  </si>
  <si>
    <t>Payerne, Beaulieu</t>
  </si>
  <si>
    <t>46.820402421308216, 6.9334240786916155</t>
  </si>
  <si>
    <t>Payerne, gymnase</t>
  </si>
  <si>
    <t>46.81575801172425, 6.938931857160664</t>
  </si>
  <si>
    <t>Payerne Est (bif)</t>
  </si>
  <si>
    <t>46.826996022499685, 6.948040242988017</t>
  </si>
  <si>
    <t>Payerne, hôpital</t>
  </si>
  <si>
    <t>46.81947157293441, 6.946838493887663</t>
  </si>
  <si>
    <t>Payerne, Concorde</t>
  </si>
  <si>
    <t>46.82002859266185, 6.938407267584982</t>
  </si>
  <si>
    <t>Payerne, Sansui</t>
  </si>
  <si>
    <t>46.82193506353714, 6.946540736584206</t>
  </si>
  <si>
    <t>Payerne, Colline</t>
  </si>
  <si>
    <t>46.8199675767092, 6.949218949014696</t>
  </si>
  <si>
    <t>Payerne, croisée de Cugy</t>
  </si>
  <si>
    <t>46.81921112564259, 6.930526148173708</t>
  </si>
  <si>
    <t>Payerne, Les Sorbiers</t>
  </si>
  <si>
    <t>46.81620385435403, 6.9278853333504635</t>
  </si>
  <si>
    <t>Payerne, gare</t>
  </si>
  <si>
    <t>46.81998219858285, 6.9401374788381505</t>
  </si>
  <si>
    <t>Payerne, Moulin à Pigeon</t>
  </si>
  <si>
    <t>46.811647215096585, 6.938970091579637</t>
  </si>
  <si>
    <t>Payerne, Grandes Rayes</t>
  </si>
  <si>
    <t>46.8257058119405, 6.940723306788541</t>
  </si>
  <si>
    <t>Payerne, Champ Aubert</t>
  </si>
  <si>
    <t>46.82716256027411, 6.928523007533564</t>
  </si>
  <si>
    <t>Payerne, La Palaz</t>
  </si>
  <si>
    <t>46.8232855923648, 6.93222829942922</t>
  </si>
  <si>
    <t>Payerne, caserne</t>
  </si>
  <si>
    <t>46.82641933228896, 6.93709910596976</t>
  </si>
  <si>
    <t>Payerne, Grand'Rue</t>
  </si>
  <si>
    <t>46.82132102014053, 6.937739996212812</t>
  </si>
  <si>
    <t>Payerne, Aéropôle</t>
  </si>
  <si>
    <t>46.8388569482275, 6.916585571424147</t>
  </si>
  <si>
    <t>Cossonay-Penthalaz (funi)</t>
  </si>
  <si>
    <t>Penthalaz</t>
  </si>
  <si>
    <t>SBA.61.009.1</t>
  </si>
  <si>
    <t>46.605906271097766, 6.5228617949711625</t>
  </si>
  <si>
    <t>Cossonay-Penthalaz</t>
  </si>
  <si>
    <t>46.6060100852867, 6.523689168142412</t>
  </si>
  <si>
    <t>Cossonay-Penthalaz, gare</t>
  </si>
  <si>
    <t>46.60581174285841, 6.523411627966799</t>
  </si>
  <si>
    <t>Penthalaz, village</t>
  </si>
  <si>
    <t>46.613457745582906, 6.527798968104601</t>
  </si>
  <si>
    <t>Penthalaz, Verney</t>
  </si>
  <si>
    <t>46.60436259713349, 6.528918341516292</t>
  </si>
  <si>
    <t>Penthalaz, poste</t>
  </si>
  <si>
    <t>46.60975880731903, 6.525368072019379</t>
  </si>
  <si>
    <t>Penthaz, La Vaux</t>
  </si>
  <si>
    <t>Penthaz</t>
  </si>
  <si>
    <t>46.602176375958166, 6.531147959058235</t>
  </si>
  <si>
    <t>Penthaz, village</t>
  </si>
  <si>
    <t>46.59946807944156, 6.539011341936963</t>
  </si>
  <si>
    <t>Penthéréaz, village</t>
  </si>
  <si>
    <t>Penthéréaz</t>
  </si>
  <si>
    <t>46.68178975909402, 6.6036869633649165</t>
  </si>
  <si>
    <t>Penthéréaz, Le Battoir</t>
  </si>
  <si>
    <t>46.68616746196988, 6.605684572905265</t>
  </si>
  <si>
    <t>Penthéréaz, Champ-de-Vaud</t>
  </si>
  <si>
    <t>46.693219414176376, 6.620440767415653</t>
  </si>
  <si>
    <t>Perroy</t>
  </si>
  <si>
    <t>46.47123185896843, 6.362992260381611</t>
  </si>
  <si>
    <t>Perroy, village</t>
  </si>
  <si>
    <t>46.46889885088727, 6.363586046017817</t>
  </si>
  <si>
    <t>Perroy, Couronnette</t>
  </si>
  <si>
    <t>46.46387611407035, 6.352918901648455</t>
  </si>
  <si>
    <t>Perroy, Vinicole</t>
  </si>
  <si>
    <t>46.47048784011646, 6.36798155535601</t>
  </si>
  <si>
    <t>Poliez-Pittet, collège</t>
  </si>
  <si>
    <t>Poliez-Pittet</t>
  </si>
  <si>
    <t>46.63077085687746, 6.677671689143971</t>
  </si>
  <si>
    <t>Poliez-Pittet, village</t>
  </si>
  <si>
    <t>46.62808943783684, 6.682971960992948</t>
  </si>
  <si>
    <t>Poliez-Pittet, Grands-Champs</t>
  </si>
  <si>
    <t>46.63260881935328, 6.676744669588884</t>
  </si>
  <si>
    <t>Poliez-Pittet, Les Roches</t>
  </si>
  <si>
    <t>46.62956279602667, 6.679973975327162</t>
  </si>
  <si>
    <t>Pompaples, La Colline</t>
  </si>
  <si>
    <t>Pompaples</t>
  </si>
  <si>
    <t>46.66613277613107, 6.509215476740316</t>
  </si>
  <si>
    <t>St-Loup, hôpital</t>
  </si>
  <si>
    <t>46.66717020280956, 6.504074957903854</t>
  </si>
  <si>
    <t>Pomy, collège</t>
  </si>
  <si>
    <t>Pomy</t>
  </si>
  <si>
    <t>46.75883582040387, 6.670847329238494</t>
  </si>
  <si>
    <t>Pomy, village</t>
  </si>
  <si>
    <t>46.760312823264606, 6.668430741427392</t>
  </si>
  <si>
    <t>Pomy, Centre Orif</t>
  </si>
  <si>
    <t>46.76450763304124, 6.655632889041579</t>
  </si>
  <si>
    <t>Pomy, croisée de Sermuz</t>
  </si>
  <si>
    <t>46.76019588191017, 6.653928444007187</t>
  </si>
  <si>
    <t>Prangins, Les Clos</t>
  </si>
  <si>
    <t>Prangins</t>
  </si>
  <si>
    <t>46.39206315022458, 6.249913216862347</t>
  </si>
  <si>
    <t>Prangins, Tour d'Eau</t>
  </si>
  <si>
    <t>46.40268809138396, 6.248565902052106</t>
  </si>
  <si>
    <t>Prangins, Les Morettes</t>
  </si>
  <si>
    <t>46.39925210079153, 6.25244984038806</t>
  </si>
  <si>
    <t>Prangins, La Banderolle</t>
  </si>
  <si>
    <t>46.38782928468708, 6.247713885948735</t>
  </si>
  <si>
    <t>Prangins, La Bruyère</t>
  </si>
  <si>
    <t>46.39725286107569, 6.251605183268332</t>
  </si>
  <si>
    <t>Prangins, gare</t>
  </si>
  <si>
    <t>46.39607883515992, 6.245202150092708</t>
  </si>
  <si>
    <t>Prangins, La Tuilière</t>
  </si>
  <si>
    <t>46.39949556388446, 6.2457574680511705</t>
  </si>
  <si>
    <t>Prangins, hôpital</t>
  </si>
  <si>
    <t>46.398666239119486, 6.257334747851874</t>
  </si>
  <si>
    <t>Prangins, Sus-Gare</t>
  </si>
  <si>
    <t>46.396724075214514, 6.243723534272709</t>
  </si>
  <si>
    <t>Prangins, Musée national</t>
  </si>
  <si>
    <t>46.392938991826114, 6.25080231329261</t>
  </si>
  <si>
    <t>46.396004406420076, 6.244980948432408</t>
  </si>
  <si>
    <t>Prangins, Bénex-Dessus</t>
  </si>
  <si>
    <t>46.4008522967947, 6.251887456396127</t>
  </si>
  <si>
    <t>Prangins, Les Mélèzes</t>
  </si>
  <si>
    <t>46.39387497772115, 6.242863663413214</t>
  </si>
  <si>
    <t>Prangins, Pont de la Redoute</t>
  </si>
  <si>
    <t>46.39113112113905, 6.241471379718453</t>
  </si>
  <si>
    <t>Prangins, Vieux Pressoir</t>
  </si>
  <si>
    <t>46.394839212737566, 6.249428855637456</t>
  </si>
  <si>
    <t>Prangins, Sadex</t>
  </si>
  <si>
    <t>46.389710739384235, 6.25009295592756</t>
  </si>
  <si>
    <t>Prangins, temple</t>
  </si>
  <si>
    <t>46.39431215160808, 6.249627972726598</t>
  </si>
  <si>
    <t>Prangins, Les Abériaux</t>
  </si>
  <si>
    <t>46.39300983767094, 6.254129396067228</t>
  </si>
  <si>
    <t>Premier, collège</t>
  </si>
  <si>
    <t>Premier</t>
  </si>
  <si>
    <t>46.70431414748599, 6.445499521581564</t>
  </si>
  <si>
    <t>Premier, croisée de Forel</t>
  </si>
  <si>
    <t>46.70150947069503, 6.449879497411116</t>
  </si>
  <si>
    <t>Premier, village</t>
  </si>
  <si>
    <t>46.70347844301589, 6.44663953525394</t>
  </si>
  <si>
    <t>Préverenges, Capellan</t>
  </si>
  <si>
    <t>46.51955767353338, 6.525823157329829</t>
  </si>
  <si>
    <t>Préverenges, Taudaz</t>
  </si>
  <si>
    <t>46.51781000786395, 6.517733817535222</t>
  </si>
  <si>
    <t>Préverenges, village</t>
  </si>
  <si>
    <t>46.5173393697413, 6.526290657406674</t>
  </si>
  <si>
    <t>Prévonloup, café</t>
  </si>
  <si>
    <t>Prévonloup</t>
  </si>
  <si>
    <t>46.69896235858652, 6.883387989911752</t>
  </si>
  <si>
    <t>Prévonloup, poste</t>
  </si>
  <si>
    <t>46.70066717802537, 6.882494354488424</t>
  </si>
  <si>
    <t>Union-Prilly, gare</t>
  </si>
  <si>
    <t>46.53503837792419, 6.609758951330921</t>
  </si>
  <si>
    <t>Prilly, Mont-Goulin</t>
  </si>
  <si>
    <t>46.53862649015892, 6.611061487005326</t>
  </si>
  <si>
    <t>Prilly, Flumeaux</t>
  </si>
  <si>
    <t>46.52995899032867, 6.600675261565543</t>
  </si>
  <si>
    <t>Prilly, Coudraie</t>
  </si>
  <si>
    <t>46.5402896821149, 6.609680156165989</t>
  </si>
  <si>
    <t>Prilly, Huttins</t>
  </si>
  <si>
    <t>46.53323652303582, 6.6084196232123436</t>
  </si>
  <si>
    <t>Cery-Fleur-de-Lys, gare</t>
  </si>
  <si>
    <t>arrêt Taxibus 960</t>
  </si>
  <si>
    <t>46.544647395217225, 6.605258555138089</t>
  </si>
  <si>
    <t>Prilly-Malley</t>
  </si>
  <si>
    <t>46.52669197652311, 6.6026289392506525</t>
  </si>
  <si>
    <t>Union-Prilly</t>
  </si>
  <si>
    <t>46.53472000029555, 6.6098499957699275</t>
  </si>
  <si>
    <t>Cery-Fleur-de-Lys</t>
  </si>
  <si>
    <t>46.544579997347824, 6.605010005346762</t>
  </si>
  <si>
    <t>Prilly, Grand Vigne</t>
  </si>
  <si>
    <t>46.53172843617947, 6.603958731908137</t>
  </si>
  <si>
    <t>Prilly-Malley, Galicien</t>
  </si>
  <si>
    <t>46.52828259669206, 6.603619439782549</t>
  </si>
  <si>
    <t>Prilly-Malley, gare</t>
  </si>
  <si>
    <t>46.52764149501712, 6.602516552906934</t>
  </si>
  <si>
    <t>Prilly, Chasseur</t>
  </si>
  <si>
    <t>46.53914268807974, 6.606608021601741</t>
  </si>
  <si>
    <t>Prilly, centre</t>
  </si>
  <si>
    <t>46.534566413960924, 6.605226528885792</t>
  </si>
  <si>
    <t>Prilly-Chasseur</t>
  </si>
  <si>
    <t>46.539650001094884, 6.607429999799677</t>
  </si>
  <si>
    <t>Prilly-Malley, gare/aréna</t>
  </si>
  <si>
    <t>46.52838253185972, 6.601638181129214</t>
  </si>
  <si>
    <t>Prilly, Corminjoz</t>
  </si>
  <si>
    <t>46.5371852179583, 6.601957186623665</t>
  </si>
  <si>
    <t>Provence, Les Rochats</t>
  </si>
  <si>
    <t>Provence</t>
  </si>
  <si>
    <t>46.88970546014013, 6.673384498252535</t>
  </si>
  <si>
    <t>Creux-du-Van, Chez les Favre</t>
  </si>
  <si>
    <t>Couvet</t>
  </si>
  <si>
    <t>46.92244001045271, 6.698880006609493</t>
  </si>
  <si>
    <t>Provence, Le Couvent</t>
  </si>
  <si>
    <t>46.91371584449393, 6.654939075713871</t>
  </si>
  <si>
    <t>Provence, poste</t>
  </si>
  <si>
    <t>46.89011855040655, 6.7261151422019685</t>
  </si>
  <si>
    <t>Provence, anc. poste</t>
  </si>
  <si>
    <t>46.89186109474485, 6.728585226028661</t>
  </si>
  <si>
    <t>Provence, La Grangette</t>
  </si>
  <si>
    <t>46.88976913818517, 6.727786233317028</t>
  </si>
  <si>
    <t>Provence, Vuissens</t>
  </si>
  <si>
    <t>46.89422129246223, 6.643098140880567</t>
  </si>
  <si>
    <t>Provence, village</t>
  </si>
  <si>
    <t>46.891469989098276, 6.7278949290378725</t>
  </si>
  <si>
    <t>Puidoux</t>
  </si>
  <si>
    <t>46.49384122879209, 6.765686484646686</t>
  </si>
  <si>
    <t>Le Verney (embr)</t>
  </si>
  <si>
    <t>46.48800084505212, 6.76306827379806</t>
  </si>
  <si>
    <t>Chexbres, Bellevue</t>
  </si>
  <si>
    <t>46.48133286682049, 6.774097622099306</t>
  </si>
  <si>
    <t>Puidoux, Cité-de-Sully</t>
  </si>
  <si>
    <t>46.49245689262496, 6.7688419477194595</t>
  </si>
  <si>
    <t>Puidoux, Grangeneuve</t>
  </si>
  <si>
    <t>46.529620974623626, 6.7987771632620735</t>
  </si>
  <si>
    <t>Puidoux, La Lôche</t>
  </si>
  <si>
    <t>46.51628600094493, 6.793475043147545</t>
  </si>
  <si>
    <t>Puidoux, En Botonnet</t>
  </si>
  <si>
    <t>46.51274320532765, 6.787458295861215</t>
  </si>
  <si>
    <t>Puidoux, Drugex</t>
  </si>
  <si>
    <t>46.52104286853749, 6.7962983638426255</t>
  </si>
  <si>
    <t>Puidoux, gare</t>
  </si>
  <si>
    <t>46.49372277073782, 6.765374470751261</t>
  </si>
  <si>
    <t>Moreillon</t>
  </si>
  <si>
    <t>46.50839811665493, 6.78564542808098</t>
  </si>
  <si>
    <t>Puidoux, Moreillon</t>
  </si>
  <si>
    <t>46.50785368805773, 6.785649459187576</t>
  </si>
  <si>
    <t>Puidoux, Logis du Pont</t>
  </si>
  <si>
    <t>46.498170433430616, 6.769031698377449</t>
  </si>
  <si>
    <t>Epesses, Chapotannaz</t>
  </si>
  <si>
    <t>46.48475974876073, 6.758831058626963</t>
  </si>
  <si>
    <t>Puidoux, La Tronche</t>
  </si>
  <si>
    <t>46.53776869388737, 6.809578918279182</t>
  </si>
  <si>
    <t>Puidoux,gare/Collège du Verney</t>
  </si>
  <si>
    <t>46.49280475728611, 6.766818698135297</t>
  </si>
  <si>
    <t>Puidoux, village</t>
  </si>
  <si>
    <t>46.500777692249436, 6.7826129639142145</t>
  </si>
  <si>
    <t>Pully, Trois-Chasseurs</t>
  </si>
  <si>
    <t>Les Monts-de-Pully</t>
  </si>
  <si>
    <t>46.534360928597344, 6.6844260634037385</t>
  </si>
  <si>
    <t>Pully, Chenaulaz</t>
  </si>
  <si>
    <t>46.52705922777306, 6.672797538537136</t>
  </si>
  <si>
    <t>Pully, Rosiaz</t>
  </si>
  <si>
    <t>46.5215986646449, 6.6622143183249065</t>
  </si>
  <si>
    <t>Pully, Pré Pariset</t>
  </si>
  <si>
    <t>46.51908028505239, 6.667026550796179</t>
  </si>
  <si>
    <t>Pully, gare</t>
  </si>
  <si>
    <t>46.51032141089047, 6.658832169802723</t>
  </si>
  <si>
    <t>Pully, Pierraz-Portay</t>
  </si>
  <si>
    <t>46.50936921507795, 6.643484018024766</t>
  </si>
  <si>
    <t>Pully, Métairie</t>
  </si>
  <si>
    <t>46.510070161530656, 6.64081563511572</t>
  </si>
  <si>
    <t>Pully, Pavillard</t>
  </si>
  <si>
    <t>46.51972314935417, 6.658537471294899</t>
  </si>
  <si>
    <t>Pully, Boverattes</t>
  </si>
  <si>
    <t>46.51632480796197, 6.665847596155375</t>
  </si>
  <si>
    <t>Pully, Rochettaz</t>
  </si>
  <si>
    <t>46.5141225568191, 6.663388373876147</t>
  </si>
  <si>
    <t>Pully, Clergère</t>
  </si>
  <si>
    <t>46.51120658067058, 6.661972665881726</t>
  </si>
  <si>
    <t>Pully, Chantemerle</t>
  </si>
  <si>
    <t>46.517091945260916, 6.660948009472276</t>
  </si>
  <si>
    <t>Pully, Reymondin</t>
  </si>
  <si>
    <t>46.50924474934347, 6.665625178998985</t>
  </si>
  <si>
    <t>Pully, Daillettes</t>
  </si>
  <si>
    <t>46.52298415632626, 6.666182466748293</t>
  </si>
  <si>
    <t>Pully, Ravessoud</t>
  </si>
  <si>
    <t>46.53917514088077, 6.69691320900258</t>
  </si>
  <si>
    <t>Pully, Margerol</t>
  </si>
  <si>
    <t>46.51993331489017, 6.660953939451322</t>
  </si>
  <si>
    <t>Pully, Bruyère</t>
  </si>
  <si>
    <t>46.52393866709813, 6.663020064624682</t>
  </si>
  <si>
    <t>Pully, Bourdonnière</t>
  </si>
  <si>
    <t>46.5065301829782, 6.646587565580432</t>
  </si>
  <si>
    <t>Pully, C. F. Ramuz</t>
  </si>
  <si>
    <t>46.5095370186102, 6.648185249701605</t>
  </si>
  <si>
    <t>Pully, Montillier</t>
  </si>
  <si>
    <t>46.51236441753664, 6.657656034183158</t>
  </si>
  <si>
    <t>Pully, Vignes</t>
  </si>
  <si>
    <t>46.50721850527584, 6.665508711576937</t>
  </si>
  <si>
    <t>Pully, Verney</t>
  </si>
  <si>
    <t>46.50647111038737, 6.649728395113107</t>
  </si>
  <si>
    <t>Pully, Moulins</t>
  </si>
  <si>
    <t>46.508409610469045, 6.6700128564619146</t>
  </si>
  <si>
    <t>Pully, Ruisselet</t>
  </si>
  <si>
    <t>46.512834350835625, 6.664529300232438</t>
  </si>
  <si>
    <t>46.510923623181604, 6.659468140211437</t>
  </si>
  <si>
    <t>Pully, Les Liaudes</t>
  </si>
  <si>
    <t>46.51784445836704, 6.656560393923926</t>
  </si>
  <si>
    <t>Pully, Tour Haldimand</t>
  </si>
  <si>
    <t>46.50662756372486, 6.642508080581785</t>
  </si>
  <si>
    <t>Pully, Roses</t>
  </si>
  <si>
    <t>46.51509194184851, 6.656600215115785</t>
  </si>
  <si>
    <t>Pully,Centre Sportif Rochettaz</t>
  </si>
  <si>
    <t>46.51177433369477, 6.670043198423991</t>
  </si>
  <si>
    <t>Pully, Monts-de-Pully</t>
  </si>
  <si>
    <t>46.53597190160384, 6.688601149867501</t>
  </si>
  <si>
    <t>Pully, Val-Vert</t>
  </si>
  <si>
    <t>46.52189215673333, 6.666993060029455</t>
  </si>
  <si>
    <t>Pully, port</t>
  </si>
  <si>
    <t>46.50626386407182, 6.661405254906462</t>
  </si>
  <si>
    <t>Pully, Caudoz</t>
  </si>
  <si>
    <t>46.51181757337023, 6.667136860272329</t>
  </si>
  <si>
    <t>Pully, Vallon</t>
  </si>
  <si>
    <t>46.51804179591222, 6.667098416030502</t>
  </si>
  <si>
    <t>Pully, Osches</t>
  </si>
  <si>
    <t>46.50886761289069, 6.654234541099499</t>
  </si>
  <si>
    <t>Pully, Châtaignier</t>
  </si>
  <si>
    <t>46.50646253384658, 6.653803349795257</t>
  </si>
  <si>
    <t>Pully, Somais</t>
  </si>
  <si>
    <t>46.50670366481074, 6.657531358267764</t>
  </si>
  <si>
    <t>Pully, Joliette</t>
  </si>
  <si>
    <t>46.50989596218756, 6.653235531943572</t>
  </si>
  <si>
    <t>Pully, Perraudettaz</t>
  </si>
  <si>
    <t>46.51404139514092, 6.65428291597401</t>
  </si>
  <si>
    <t>Pully (lac)</t>
  </si>
  <si>
    <t>46.50534342474838, 6.661205467732405</t>
  </si>
  <si>
    <t>Pully, Bosquets</t>
  </si>
  <si>
    <t>46.5262203900055, 6.665813336432788</t>
  </si>
  <si>
    <t>Pully-Nord</t>
  </si>
  <si>
    <t>46.51468146448523, 6.657987606597673</t>
  </si>
  <si>
    <t>Rances, Praz-Riond</t>
  </si>
  <si>
    <t>Rances</t>
  </si>
  <si>
    <t>46.76437458658134, 6.540051272797173</t>
  </si>
  <si>
    <t>Rances, bif.</t>
  </si>
  <si>
    <t>46.76019249230191, 6.531101774244825</t>
  </si>
  <si>
    <t>Renens VD Entrepôts</t>
  </si>
  <si>
    <t>Renens (VD)</t>
  </si>
  <si>
    <t>Renens VD</t>
  </si>
  <si>
    <t>46.534826581825264, 6.582688565698789</t>
  </si>
  <si>
    <t>Renens VD, Simplon</t>
  </si>
  <si>
    <t>46.5342906401279, 6.58205490800164</t>
  </si>
  <si>
    <t>Renens VD, 14 Avril</t>
  </si>
  <si>
    <t>46.5393201363406, 6.579710157034854</t>
  </si>
  <si>
    <t>Renens VD, Temple de Broye</t>
  </si>
  <si>
    <t>46.53929457702753, 6.597573077421576</t>
  </si>
  <si>
    <t>Renens VD, gare</t>
  </si>
  <si>
    <t>46.53761908661437, 6.578518549175006</t>
  </si>
  <si>
    <t>Renens VD, cimetière</t>
  </si>
  <si>
    <t>46.529724678329025, 6.580595652965176</t>
  </si>
  <si>
    <t>Renens VD, Poste</t>
  </si>
  <si>
    <t>46.53922125451854, 6.583250429519345</t>
  </si>
  <si>
    <t>Renens VD, Verdeaux</t>
  </si>
  <si>
    <t>46.53842060018652, 6.5880126334563425</t>
  </si>
  <si>
    <t>Renens VD, Lilas</t>
  </si>
  <si>
    <t>46.54209600387454, 6.583788348716881</t>
  </si>
  <si>
    <t>Renens VD, rue du Lac</t>
  </si>
  <si>
    <t>46.52899516114425, 6.590108479400722</t>
  </si>
  <si>
    <t>Renens VD, Longemalle</t>
  </si>
  <si>
    <t>46.52557468991172, 6.596598551170598</t>
  </si>
  <si>
    <t>Renens VD, Follieu</t>
  </si>
  <si>
    <t>46.539671460993524, 6.592950165687719</t>
  </si>
  <si>
    <t>Renens VD, Censuy</t>
  </si>
  <si>
    <t>46.532380264052314, 6.583965657136456</t>
  </si>
  <si>
    <t>Renens VD, 1er Mai</t>
  </si>
  <si>
    <t>46.54073323456168, 6.583377242397835</t>
  </si>
  <si>
    <t>Renens VD, 1er Août</t>
  </si>
  <si>
    <t>46.536746999535, 6.5820584793227885</t>
  </si>
  <si>
    <t>Renens VD, Bourg-Dessus</t>
  </si>
  <si>
    <t>46.53822803817095, 6.594823956844971</t>
  </si>
  <si>
    <t>Renens VD, Borjod</t>
  </si>
  <si>
    <t>46.53959473949837, 6.588701312806733</t>
  </si>
  <si>
    <t>Renens VD, Sous l'Eglise</t>
  </si>
  <si>
    <t>46.535069442065705, 6.588668194201955</t>
  </si>
  <si>
    <t>Renens VD, Saugiaz</t>
  </si>
  <si>
    <t>46.54027856159833, 6.586317797068468</t>
  </si>
  <si>
    <t>Renens VD, piscine</t>
  </si>
  <si>
    <t>46.5304019688885, 6.585274347401455</t>
  </si>
  <si>
    <t>Renens VD Est (bif)</t>
  </si>
  <si>
    <t>46.53325562799005, 6.5870726329003215</t>
  </si>
  <si>
    <t>Renens VD, Caudray</t>
  </si>
  <si>
    <t>46.53172923994984, 6.585918180387198</t>
  </si>
  <si>
    <t>Renens VD, Roche</t>
  </si>
  <si>
    <t>46.53276437254919, 6.598492514274258</t>
  </si>
  <si>
    <t>Renens VD, Baumettes</t>
  </si>
  <si>
    <t>46.54392143328322, 6.590001044055672</t>
  </si>
  <si>
    <t>Renens VD, Sur-la-Croix</t>
  </si>
  <si>
    <t>46.54140492942268, 6.593238389416824</t>
  </si>
  <si>
    <t>Renens VD, Jonquilles</t>
  </si>
  <si>
    <t>46.538482890031325, 6.5903123104006465</t>
  </si>
  <si>
    <t>Renens VD, Pallettes</t>
  </si>
  <si>
    <t>46.544754411394145, 6.58523133706596</t>
  </si>
  <si>
    <t>Renens VD, Florissant</t>
  </si>
  <si>
    <t>46.53067124850541, 6.598778825319171</t>
  </si>
  <si>
    <t>Renens VD, Hôtel-de-Ville/ECAL</t>
  </si>
  <si>
    <t>46.536004824685214, 6.5856029755120735</t>
  </si>
  <si>
    <t>Renens VD, Croisée/Tilleuls</t>
  </si>
  <si>
    <t>46.53359698861025, 6.59073800791911</t>
  </si>
  <si>
    <t>Renens VD, Vorsiaz</t>
  </si>
  <si>
    <t>46.535318078167286, 6.598156048138537</t>
  </si>
  <si>
    <t>Renens VD, Marais</t>
  </si>
  <si>
    <t>46.52735686137509, 6.592295122032066</t>
  </si>
  <si>
    <t>46.5370424668982, 6.578935338085809</t>
  </si>
  <si>
    <t>Renens VD, Avenir</t>
  </si>
  <si>
    <t>46.538548697581156, 6.582790916071104</t>
  </si>
  <si>
    <t>Renens VD, Alpes</t>
  </si>
  <si>
    <t>46.53818275907407, 6.58603141422399</t>
  </si>
  <si>
    <t>Renens VD, Château</t>
  </si>
  <si>
    <t>46.53480203513723, 6.594834438082713</t>
  </si>
  <si>
    <t>Renens VD, Mont Robert</t>
  </si>
  <si>
    <t>46.5413973660294, 6.596028238543998</t>
  </si>
  <si>
    <t>Renens VD, Eterpy</t>
  </si>
  <si>
    <t>46.54215806190589, 6.590041342003404</t>
  </si>
  <si>
    <t>Renens VD, Perrelet</t>
  </si>
  <si>
    <t>46.53040097262898, 6.597012313563925</t>
  </si>
  <si>
    <t>Renens VD, Biondes</t>
  </si>
  <si>
    <t>46.54603403907738, 6.58501962711468</t>
  </si>
  <si>
    <t>Renens VD, Creuse</t>
  </si>
  <si>
    <t>46.53609461738299, 6.591900637263155</t>
  </si>
  <si>
    <t>Renens VD, Mont Robert/EMS</t>
  </si>
  <si>
    <t>46.5431762944413, 6.593934528390936</t>
  </si>
  <si>
    <t>Rennaz, centre commercial</t>
  </si>
  <si>
    <t>Rennaz</t>
  </si>
  <si>
    <t>46.38387096366391, 6.922339610282774</t>
  </si>
  <si>
    <t>Rennaz, village</t>
  </si>
  <si>
    <t>46.37726921569886, 6.918672259405367</t>
  </si>
  <si>
    <t>Rennaz, hôpital</t>
  </si>
  <si>
    <t>bis 2018: Rennaz, motel</t>
  </si>
  <si>
    <t>46.379322145067704, 6.91908148427421</t>
  </si>
  <si>
    <t>En Grillon (diag)</t>
  </si>
  <si>
    <t>Rivaz</t>
  </si>
  <si>
    <t>46.47432899037857, 6.778672710551464</t>
  </si>
  <si>
    <t>Rivaz, gare</t>
  </si>
  <si>
    <t>46.47413671807036, 6.783469949649215</t>
  </si>
  <si>
    <t>46.47420773607816, 6.784594982914345</t>
  </si>
  <si>
    <t>Rivaz-St-Saphorin (lac)</t>
  </si>
  <si>
    <t>46.473640195877735, 6.784103981941564</t>
  </si>
  <si>
    <t>Roche VD, Rotzéranne-Pré-Clos</t>
  </si>
  <si>
    <t>Roche (VD)</t>
  </si>
  <si>
    <t>Roche VD</t>
  </si>
  <si>
    <t>46.35729528057842, 6.93183065960837</t>
  </si>
  <si>
    <t>46.35869637210566, 6.927052837461041</t>
  </si>
  <si>
    <t>Roche VD, centre commercial</t>
  </si>
  <si>
    <t>46.353306426658015, 6.933011242260906</t>
  </si>
  <si>
    <t>Roche VD, Salines</t>
  </si>
  <si>
    <t>46.36099900701236, 6.92926226282762</t>
  </si>
  <si>
    <t>Rolle (lac)</t>
  </si>
  <si>
    <t>Rolle</t>
  </si>
  <si>
    <t>46.45498964544956, 6.33728131389524</t>
  </si>
  <si>
    <t>Rolle, Quatre-Communes</t>
  </si>
  <si>
    <t>46.459760007809095, 6.33288821805159</t>
  </si>
  <si>
    <t>Rolle, Les Vernes</t>
  </si>
  <si>
    <t>46.46258789926882, 6.343388834323366</t>
  </si>
  <si>
    <t>Rolle, déchetterie</t>
  </si>
  <si>
    <t>46.46313249334954, 6.325411443383366</t>
  </si>
  <si>
    <t>Rolle, place des Tilleuls</t>
  </si>
  <si>
    <t>46.460229800335235, 6.340494389489557</t>
  </si>
  <si>
    <t>46.46274581604107, 6.336403807618889</t>
  </si>
  <si>
    <t>Rolle, gare nord</t>
  </si>
  <si>
    <t>46.4630990991912, 6.336725736336149</t>
  </si>
  <si>
    <t>Rolle, Bellefontaine</t>
  </si>
  <si>
    <t>46.46267514408526, 6.346837097260966</t>
  </si>
  <si>
    <t>Rolle, Baccara</t>
  </si>
  <si>
    <t>46.45759890408115, 6.323507477848245</t>
  </si>
  <si>
    <t>Rolle, Uttins-Maupas</t>
  </si>
  <si>
    <t>46.45481322616738, 6.328420247952012</t>
  </si>
  <si>
    <t>Rolle, route de Gilly</t>
  </si>
  <si>
    <t>46.45246408634013, 6.331071732731999</t>
  </si>
  <si>
    <t>Rolle, gare sud</t>
  </si>
  <si>
    <t>46.46253192498569, 6.3366852065955985</t>
  </si>
  <si>
    <t>Rolle, La Prairie</t>
  </si>
  <si>
    <t>46.45920805881697, 6.334409600163934</t>
  </si>
  <si>
    <t>Rolle, Martinet</t>
  </si>
  <si>
    <t>46.457812674589114, 6.331548104198637</t>
  </si>
  <si>
    <t>Rolle, Les Eaux</t>
  </si>
  <si>
    <t>46.461357772030816, 6.33806305179029</t>
  </si>
  <si>
    <t>Rolle, La Pièce</t>
  </si>
  <si>
    <t>46.46106227918321, 6.3225638810833455</t>
  </si>
  <si>
    <t>Rolle, centre ville</t>
  </si>
  <si>
    <t>46.457734284138, 6.338279915877716</t>
  </si>
  <si>
    <t>Croy-Romainmôtier, gare</t>
  </si>
  <si>
    <t>Romainmôtier-Envy</t>
  </si>
  <si>
    <t>Romainmôtier</t>
  </si>
  <si>
    <t>46.696653229543294, 6.47779182026848</t>
  </si>
  <si>
    <t>Romainmôtier, Les Portes</t>
  </si>
  <si>
    <t>46.69367908732149, 6.4630061082063275</t>
  </si>
  <si>
    <t>Romainmôtier, église</t>
  </si>
  <si>
    <t>46.6934773148625, 6.460460250633796</t>
  </si>
  <si>
    <t>Romainmôtier, Le Nid</t>
  </si>
  <si>
    <t>46.69601190810037, 6.457053961475754</t>
  </si>
  <si>
    <t>Croy-Romainmôtier</t>
  </si>
  <si>
    <t>46.69671231859737, 6.4781162685524185</t>
  </si>
  <si>
    <t>Romainmôtier, poste</t>
  </si>
  <si>
    <t>46.694522394990486, 6.460637401729599</t>
  </si>
  <si>
    <t>46.562469994784706, 6.6031699971269475</t>
  </si>
  <si>
    <t>Romanel-sur-Lausanne, gare</t>
  </si>
  <si>
    <t>46.56270097712048, 6.603819228749401</t>
  </si>
  <si>
    <t>Romanel-sur-Morges,Z.I. Moulin</t>
  </si>
  <si>
    <t>Romanel-sur-Morges</t>
  </si>
  <si>
    <t>46.5624985611498, 6.521828162998183</t>
  </si>
  <si>
    <t>Romanel-sur-Morges, Pra-Vuatte</t>
  </si>
  <si>
    <t>46.55113416921986, 6.512266668169812</t>
  </si>
  <si>
    <t>Romanel-sur-Morges, poste</t>
  </si>
  <si>
    <t>46.55566191057921, 6.511028127812335</t>
  </si>
  <si>
    <t>Ropraz, Corcelles-Jorat</t>
  </si>
  <si>
    <t>Ropraz</t>
  </si>
  <si>
    <t>46.59108992516386, 6.74516036920683</t>
  </si>
  <si>
    <t>Ropraz, Ussières</t>
  </si>
  <si>
    <t>46.601144830490036, 6.755133066552346</t>
  </si>
  <si>
    <t>Ropraz, village</t>
  </si>
  <si>
    <t>46.6151470990018, 6.751430834591904</t>
  </si>
  <si>
    <t>Ropraz, Home du Jorat</t>
  </si>
  <si>
    <t>46.59583911922317, 6.7509719727672515</t>
  </si>
  <si>
    <t>Rossenges, croisée</t>
  </si>
  <si>
    <t>Rossenges</t>
  </si>
  <si>
    <t>46.65212278818673, 6.776120527382605</t>
  </si>
  <si>
    <t>La Tine</t>
  </si>
  <si>
    <t>Rossinière</t>
  </si>
  <si>
    <t>46.46716999525477, 7.046570001311358</t>
  </si>
  <si>
    <t>46.46480999670123, 7.083240002174651</t>
  </si>
  <si>
    <t>Rossinière, Hôtel de Ville</t>
  </si>
  <si>
    <t>46.46732843327817, 7.081832947093047</t>
  </si>
  <si>
    <t>La Chaudanne-Les Moulins</t>
  </si>
  <si>
    <t>46.46605207107037, 7.096734699534454</t>
  </si>
  <si>
    <t>La Tine, village</t>
  </si>
  <si>
    <t>46.46984941056064, 7.052353012631206</t>
  </si>
  <si>
    <t>La Chaudanne-Les Moulins, gare</t>
  </si>
  <si>
    <t>46.4659621551194, 7.096748287189905</t>
  </si>
  <si>
    <t>Les Gouilles (Videmanette)</t>
  </si>
  <si>
    <t>Bergbahnen Destination Gstaad AG</t>
  </si>
  <si>
    <t>Rougemont</t>
  </si>
  <si>
    <t>ch:1:sboid:100183</t>
  </si>
  <si>
    <t>SBA.81.038.1 reiner Betriebspunkt, VP=8530033</t>
  </si>
  <si>
    <t>46.45763231565494, 7.206725970642877</t>
  </si>
  <si>
    <t>46.48208999459528, 7.186070004776346</t>
  </si>
  <si>
    <t>La Videmanette</t>
  </si>
  <si>
    <t>SBA.72.023.9</t>
  </si>
  <si>
    <t>46.459976082709225, 7.204737297382987</t>
  </si>
  <si>
    <t>Les Gouilles</t>
  </si>
  <si>
    <t>SBA.73.199.9</t>
  </si>
  <si>
    <t>46.45714615357973, 7.2065328135411395</t>
  </si>
  <si>
    <t>Rougemont, chemin des Palettes</t>
  </si>
  <si>
    <t>Gander Autocar Sàrl</t>
  </si>
  <si>
    <t>ch:1:sboid:1100042</t>
  </si>
  <si>
    <t>46.48842812229015, 7.203449577003236</t>
  </si>
  <si>
    <t>Ch. du Perrex</t>
  </si>
  <si>
    <t>46.489904439536694, 7.215183014473006</t>
  </si>
  <si>
    <t>Rougemont, Les Adannes</t>
  </si>
  <si>
    <t>46.532358260873146, 7.244465160801446</t>
  </si>
  <si>
    <t>Flendruz, gare</t>
  </si>
  <si>
    <t>46.48244415086227, 7.186564622112751</t>
  </si>
  <si>
    <t>Rougemont, gare</t>
  </si>
  <si>
    <t>46.488599600332556, 7.208806888038203</t>
  </si>
  <si>
    <t>Rougemont, La Videmanette</t>
  </si>
  <si>
    <t>46.48591659020189, 7.208734045140999</t>
  </si>
  <si>
    <t>Rougemont (télécabine)</t>
  </si>
  <si>
    <t>SBA.72.023.1</t>
  </si>
  <si>
    <t>46.48570236452718, 7.208493652004502</t>
  </si>
  <si>
    <t>La Videmanette (Les Gouilles)</t>
  </si>
  <si>
    <t>SBA.81.038.9 reiner Betriebspunkt, VP=8501358</t>
  </si>
  <si>
    <t>46.459705918951656, 7.204595280922811</t>
  </si>
  <si>
    <t>46.48861999879943, 7.208960002316979</t>
  </si>
  <si>
    <t>Rougemont, Les Allamans</t>
  </si>
  <si>
    <t>46.49009846903557, 7.220615458555378</t>
  </si>
  <si>
    <t>Flendruz, Le Crêt</t>
  </si>
  <si>
    <t>46.486053701589114, 7.192790135810626</t>
  </si>
  <si>
    <t>Rougemont, pl. de la Fontaine</t>
  </si>
  <si>
    <t>46.489808364923185, 7.21059095264714</t>
  </si>
  <si>
    <t>Flendruz, village</t>
  </si>
  <si>
    <t>46.48242792870782, 7.183878921776974</t>
  </si>
  <si>
    <t>Arrissoules, village</t>
  </si>
  <si>
    <t>Rovray</t>
  </si>
  <si>
    <t>46.79864898746067, 6.77973808459133</t>
  </si>
  <si>
    <t>Rovray, village</t>
  </si>
  <si>
    <t>46.78461844394912, 6.764823409733934</t>
  </si>
  <si>
    <t>Rueyres VD, Le Dejors</t>
  </si>
  <si>
    <t>Rueyres</t>
  </si>
  <si>
    <t>46.692550818153286, 6.696109108909433</t>
  </si>
  <si>
    <t>Rueyres VD, croisée</t>
  </si>
  <si>
    <t>46.693547774849705, 6.69311449682591</t>
  </si>
  <si>
    <t>St-Barthélemy, Champ Cadet</t>
  </si>
  <si>
    <t>Saint-Barthélemy (VD)</t>
  </si>
  <si>
    <t>St-Barthélemy VD</t>
  </si>
  <si>
    <t>46.63515561673166, 6.607543189165604</t>
  </si>
  <si>
    <t>St-Barthélemy, Château</t>
  </si>
  <si>
    <t>46.63497353688459, 6.596249113760785</t>
  </si>
  <si>
    <t>St-Barthélemy, village</t>
  </si>
  <si>
    <t>46.635838988658946, 6.601368254227651</t>
  </si>
  <si>
    <t>La Givrine</t>
  </si>
  <si>
    <t>Saint-Cergue</t>
  </si>
  <si>
    <t>St-Cergue</t>
  </si>
  <si>
    <t>46.45459999365591, 6.111439999745718</t>
  </si>
  <si>
    <t>St-Cergue Les Cheseaux, gare</t>
  </si>
  <si>
    <t>46.44593908313137, 6.147081157911446</t>
  </si>
  <si>
    <t>St-Cergue Les Cheseaux</t>
  </si>
  <si>
    <t>46.44688000225904, 6.147279994100998</t>
  </si>
  <si>
    <t>St-Cergue, bif. La Chèvrerie</t>
  </si>
  <si>
    <t>46.45122501234092, 6.1735845026425995</t>
  </si>
  <si>
    <t>La Givrine, gare</t>
  </si>
  <si>
    <t>46.45443055240167, 6.112267705953971</t>
  </si>
  <si>
    <t>St-Cergue, gare</t>
  </si>
  <si>
    <t>46.44850977162287, 6.159728964407098</t>
  </si>
  <si>
    <t>La Cure</t>
  </si>
  <si>
    <t>46.46514999705084, 6.073570005229383</t>
  </si>
  <si>
    <t>Les Pralies, gare</t>
  </si>
  <si>
    <t>46.4510006804128, 6.126787599042378</t>
  </si>
  <si>
    <t>46.448610000612014, 6.1603600010073825</t>
  </si>
  <si>
    <t>Les Pralies</t>
  </si>
  <si>
    <t>46.45118000069597, 6.126870003891381</t>
  </si>
  <si>
    <t>La Cure, gare</t>
  </si>
  <si>
    <t>46.46510047127266, 6.073357278967982</t>
  </si>
  <si>
    <t>Ste-Croix, La Charmille</t>
  </si>
  <si>
    <t>Ste-Croix</t>
  </si>
  <si>
    <t>46.82152866434602, 6.503436177125493</t>
  </si>
  <si>
    <t>La Chaux-de-Ste-Croix</t>
  </si>
  <si>
    <t>L'Auberson</t>
  </si>
  <si>
    <t>46.831298291504055, 6.479036110942586</t>
  </si>
  <si>
    <t>La Vraconnaz, Les Rochettes</t>
  </si>
  <si>
    <t>La Vraconnaz</t>
  </si>
  <si>
    <t>46.84515014789873, 6.470823941409993</t>
  </si>
  <si>
    <t>La Vraconnaz, Noirvaux-Dessus</t>
  </si>
  <si>
    <t>46.83541073124094, 6.490505290464651</t>
  </si>
  <si>
    <t>Ste-Croix, gare</t>
  </si>
  <si>
    <t>46.81963625437598, 6.500848099693559</t>
  </si>
  <si>
    <t>Ste-Croix, poste</t>
  </si>
  <si>
    <t>46.82237506047299, 6.501337656869413</t>
  </si>
  <si>
    <t>L'Auberson, Vers-chz-ls-Jaques</t>
  </si>
  <si>
    <t>46.81795627302622, 6.456216879389158</t>
  </si>
  <si>
    <t>Ste-Croix, La Cité</t>
  </si>
  <si>
    <t>arrêt allobus TRAVYS 10.615</t>
  </si>
  <si>
    <t>46.8202408362589, 6.51375599670933</t>
  </si>
  <si>
    <t>L'Auberson, La Grand'Borne</t>
  </si>
  <si>
    <t>46.82351144726928, 6.440165330905833</t>
  </si>
  <si>
    <t>L'Auberson, école</t>
  </si>
  <si>
    <t>46.81782498052058, 6.463612037543253</t>
  </si>
  <si>
    <t>Ste-Croix, Les Replans</t>
  </si>
  <si>
    <t>46.82413179549793, 6.520520310874017</t>
  </si>
  <si>
    <t>Ste-Croix, Rocher</t>
  </si>
  <si>
    <t>Le Château-de-Ste-Croix</t>
  </si>
  <si>
    <t>46.82050515995252, 6.519711827138936</t>
  </si>
  <si>
    <t>Ste-Croix, av. des Gittaz</t>
  </si>
  <si>
    <t>46.8235663023953, 6.497218012316517</t>
  </si>
  <si>
    <t>46.819435055402906, 6.500704862738937</t>
  </si>
  <si>
    <t>L'Auberson, Les Sapins</t>
  </si>
  <si>
    <t>46.819189675729675, 6.468094630889126</t>
  </si>
  <si>
    <t>L'Auberson, Vers-le-Bois</t>
  </si>
  <si>
    <t>46.82792967097813, 6.4887760408309445</t>
  </si>
  <si>
    <t>Ste-Croix, place du Pont</t>
  </si>
  <si>
    <t>46.82412730576444, 6.501097409498636</t>
  </si>
  <si>
    <t>Ste-Croix, rue des Rasses</t>
  </si>
  <si>
    <t>46.823238121695404, 6.506761536519341</t>
  </si>
  <si>
    <t>Ste-Croix,centre de soins-hôp.</t>
  </si>
  <si>
    <t>46.81929417800154, 6.494523066555081</t>
  </si>
  <si>
    <t>Ste-Croix, av. de Neuchâtel</t>
  </si>
  <si>
    <t>46.826060990850884, 6.496672993258124</t>
  </si>
  <si>
    <t>Ste-Croix, av. des Alpes</t>
  </si>
  <si>
    <t>46.82090471652035, 6.505877771686775</t>
  </si>
  <si>
    <t>La Vraconnaz, bif. nord</t>
  </si>
  <si>
    <t>46.842765380947526, 6.48139474782313</t>
  </si>
  <si>
    <t>Ste-Croix, Col-des-Etroits</t>
  </si>
  <si>
    <t>46.8298791957965, 6.4949676497905555</t>
  </si>
  <si>
    <t>L'Auberson, Vers-chez-Gueissaz</t>
  </si>
  <si>
    <t>46.82674405091441, 6.4797996789950165</t>
  </si>
  <si>
    <t>L'Auberson, ch. du Carre</t>
  </si>
  <si>
    <t>46.81828153294018, 6.465829807314417</t>
  </si>
  <si>
    <t>Ste-Croix, Le Château</t>
  </si>
  <si>
    <t>46.81822455700626, 6.534057922211778</t>
  </si>
  <si>
    <t>L'Auberson, ch. des Grangettes</t>
  </si>
  <si>
    <t>46.81778025184768, 6.459810759469767</t>
  </si>
  <si>
    <t>Les Rasses, Bois de Ban</t>
  </si>
  <si>
    <t>46.82664570950166, 6.527293608100481</t>
  </si>
  <si>
    <t>L'Auberson, La Combe</t>
  </si>
  <si>
    <t>46.819619977883214, 6.470250587446792</t>
  </si>
  <si>
    <t>Les Rasses, Crêt-Junod</t>
  </si>
  <si>
    <t>46.82750978637045, 6.532272072098367</t>
  </si>
  <si>
    <t>St-George, village</t>
  </si>
  <si>
    <t>Saint-George</t>
  </si>
  <si>
    <t>St-George</t>
  </si>
  <si>
    <t>46.51389489224837, 6.260760111828941</t>
  </si>
  <si>
    <t>Saint-George, Le Fort</t>
  </si>
  <si>
    <t>46.53334181153987, 6.26822328799009</t>
  </si>
  <si>
    <t>St-George, Côte-Malherbe</t>
  </si>
  <si>
    <t>46.51352282129417, 6.270020507343164</t>
  </si>
  <si>
    <t>St-George, Maison Neuve</t>
  </si>
  <si>
    <t>46.50807914339424, 6.257785601756435</t>
  </si>
  <si>
    <t>St-Livres, village</t>
  </si>
  <si>
    <t>Saint-Livres</t>
  </si>
  <si>
    <t>St-Livres</t>
  </si>
  <si>
    <t>46.50737203172586, 6.387082501113534</t>
  </si>
  <si>
    <t>Aubonne, Sermaret</t>
  </si>
  <si>
    <t>46.499560631803824, 6.390699741176965</t>
  </si>
  <si>
    <t>St-Livres, grande salle</t>
  </si>
  <si>
    <t>46.50913720726776, 6.390201450307398</t>
  </si>
  <si>
    <t>St-Oyens, église</t>
  </si>
  <si>
    <t>Saint-Oyens</t>
  </si>
  <si>
    <t>St-Oyens</t>
  </si>
  <si>
    <t>46.49857282939702, 6.309335491857883</t>
  </si>
  <si>
    <t>St-Prex, gare nord</t>
  </si>
  <si>
    <t>Saint-Prex</t>
  </si>
  <si>
    <t>St-Prex</t>
  </si>
  <si>
    <t>46.482994443304605, 6.455177405235745</t>
  </si>
  <si>
    <t>St-Prex, Penguey</t>
  </si>
  <si>
    <t>46.48366833437075, 6.457811354003598</t>
  </si>
  <si>
    <t>St-Prex, Taillecou</t>
  </si>
  <si>
    <t>46.48589599652712, 6.461322086777478</t>
  </si>
  <si>
    <t>St-Prex, gare sud</t>
  </si>
  <si>
    <t>46.48149660008718, 6.457081285553468</t>
  </si>
  <si>
    <t>St-Prex, Pont Rouge</t>
  </si>
  <si>
    <t>46.47929883732143, 6.4512024296113895</t>
  </si>
  <si>
    <t>St-Prex, place d'Armes</t>
  </si>
  <si>
    <t>46.48096741795959, 6.460535343762191</t>
  </si>
  <si>
    <t>St-Prex, Scierie</t>
  </si>
  <si>
    <t>46.47719911001442, 6.44402938696689</t>
  </si>
  <si>
    <t>46.482316906306195, 6.455906017304926</t>
  </si>
  <si>
    <t>St-Prex (lac)</t>
  </si>
  <si>
    <t>46.478748966721014, 6.461906970844283</t>
  </si>
  <si>
    <t>St-Prex, Epondaz</t>
  </si>
  <si>
    <t>46.48498947166752, 6.453397641464724</t>
  </si>
  <si>
    <t>St-Saphorin</t>
  </si>
  <si>
    <t>Saint-Saphorin (Lavaux)</t>
  </si>
  <si>
    <t>St-Saphorin (Lavaux)</t>
  </si>
  <si>
    <t>46.472593707752836, 6.797033689379044</t>
  </si>
  <si>
    <t>St-Saphorin (Lavaux), gare</t>
  </si>
  <si>
    <t>46.47269529115874, 6.798103907871372</t>
  </si>
  <si>
    <t>St-Sulpice VD, Laviau</t>
  </si>
  <si>
    <t>Saint-Sulpice (VD)</t>
  </si>
  <si>
    <t>46.51128004049808, 6.550616135861815</t>
  </si>
  <si>
    <t>St-Sulpice VD, Venoge sud</t>
  </si>
  <si>
    <t>46.512829731820894, 6.546329675355274</t>
  </si>
  <si>
    <t>St-Sulpice VD, Ochettaz-Ormet</t>
  </si>
  <si>
    <t>46.5137949104142, 6.556434955983805</t>
  </si>
  <si>
    <t>St-Sulpice VD, En Champagny</t>
  </si>
  <si>
    <t>46.51377762895995, 6.549767779953437</t>
  </si>
  <si>
    <t>St-Sulpice VD, Russel</t>
  </si>
  <si>
    <t>46.51513473192479, 6.5639097468692285</t>
  </si>
  <si>
    <t>St-Sulpice VD, Parc Scient.</t>
  </si>
  <si>
    <t>46.516582129619145, 6.563782076778429</t>
  </si>
  <si>
    <t>St-Sulpice VD, centre</t>
  </si>
  <si>
    <t>46.51007893301721, 6.558102013553923</t>
  </si>
  <si>
    <t>St-Sulpice VD, Bochet</t>
  </si>
  <si>
    <t>46.5133371560909, 6.559469297773421</t>
  </si>
  <si>
    <t>St-Sulpice VD, Chantres</t>
  </si>
  <si>
    <t>46.510484200438995, 6.553534904003516</t>
  </si>
  <si>
    <t>St-Sulpice VD, Castolin</t>
  </si>
  <si>
    <t>46.513423987706126, 6.546391791208048</t>
  </si>
  <si>
    <t>St-Sulpice VD, Venoge nord</t>
  </si>
  <si>
    <t>46.513822744949955, 6.545622652050942</t>
  </si>
  <si>
    <t>St-Sulpice VD (lac)</t>
  </si>
  <si>
    <t>46.50858321323263, 6.561222976504764</t>
  </si>
  <si>
    <t>St-Sulpice VD, Pâqueret</t>
  </si>
  <si>
    <t>46.51649183471221, 6.570638591607028</t>
  </si>
  <si>
    <t>Saubraz, village</t>
  </si>
  <si>
    <t>Saubraz</t>
  </si>
  <si>
    <t>46.51385530696295, 6.330048944600191</t>
  </si>
  <si>
    <t>Savigny, Claie-aux-Moines</t>
  </si>
  <si>
    <t>46.54063419435302, 6.7040896244492005</t>
  </si>
  <si>
    <t>Mollie-Margot, centre</t>
  </si>
  <si>
    <t>Mollie-Margot</t>
  </si>
  <si>
    <t>46.5565065457686, 6.750572959436394</t>
  </si>
  <si>
    <t>Savigny, ancienne poste</t>
  </si>
  <si>
    <t>46.53987570579605, 6.724789392251025</t>
  </si>
  <si>
    <t>Savigny, Clair-Matin</t>
  </si>
  <si>
    <t>46.5502325861145, 6.74698884230878</t>
  </si>
  <si>
    <t>Savigny, St-Amour</t>
  </si>
  <si>
    <t>46.54783142240162, 6.745637484460708</t>
  </si>
  <si>
    <t>Savigny, Publoz</t>
  </si>
  <si>
    <t>46.54183318974649, 6.715689569181506</t>
  </si>
  <si>
    <t>Savigny, Palaz</t>
  </si>
  <si>
    <t>46.54146929756565, 6.735080757096507</t>
  </si>
  <si>
    <t>Savigny, Grange-la-Ville</t>
  </si>
  <si>
    <t>46.55223691198402, 6.748175874665115</t>
  </si>
  <si>
    <t>Savigny, Crêt-Rouge</t>
  </si>
  <si>
    <t>46.543417895935214, 6.738875412634512</t>
  </si>
  <si>
    <t>Savigny, centre</t>
  </si>
  <si>
    <t>46.53853773561214, 6.7309211842468475</t>
  </si>
  <si>
    <t>Senarclens, village</t>
  </si>
  <si>
    <t>Senarclens</t>
  </si>
  <si>
    <t>46.60041496425442, 6.486766724948886</t>
  </si>
  <si>
    <t>Sergey</t>
  </si>
  <si>
    <t>46.75067232316906, 6.499719762348373</t>
  </si>
  <si>
    <t>Servion, Moléson</t>
  </si>
  <si>
    <t>Servion</t>
  </si>
  <si>
    <t>46.5685443063403, 6.7826896017563385</t>
  </si>
  <si>
    <t>Servion, Grange Rouge</t>
  </si>
  <si>
    <t>46.57125800541496, 6.779056404634097</t>
  </si>
  <si>
    <t>Servion, Vieux-Collège</t>
  </si>
  <si>
    <t>46.57572015434955, 6.783750406059069</t>
  </si>
  <si>
    <t>Servion, Zoo-Tropiquarium</t>
  </si>
  <si>
    <t>46.5661167865417, 6.772115077854489</t>
  </si>
  <si>
    <t>Servion, Clos de l'Auberge</t>
  </si>
  <si>
    <t>46.568262286510034, 6.782145197642712</t>
  </si>
  <si>
    <t>Servion, Mannessivaz</t>
  </si>
  <si>
    <t>46.58301395117819, 6.78342706691406</t>
  </si>
  <si>
    <t>Servion, poste/croisée</t>
  </si>
  <si>
    <t>46.573212633934794, 6.781041420455006</t>
  </si>
  <si>
    <t>Les Cullayes, Pra la Tête</t>
  </si>
  <si>
    <t>Les Cullayes</t>
  </si>
  <si>
    <t>46.565030272076726, 6.758798724755407</t>
  </si>
  <si>
    <t>Les Cullayes, village</t>
  </si>
  <si>
    <t>46.57291772026203, 6.752490113433848</t>
  </si>
  <si>
    <t>Signy, centre commercial</t>
  </si>
  <si>
    <t>Signy-Avenex</t>
  </si>
  <si>
    <t>Signy</t>
  </si>
  <si>
    <t>46.39787449305133, 6.205413862386875</t>
  </si>
  <si>
    <t>Signy, Le Glassey</t>
  </si>
  <si>
    <t>46.389706587894864, 6.197721942350284</t>
  </si>
  <si>
    <t>Signy, village</t>
  </si>
  <si>
    <t>46.390566864894595, 6.202343973461926</t>
  </si>
  <si>
    <t>Suchy, village</t>
  </si>
  <si>
    <t>Suchy</t>
  </si>
  <si>
    <t>46.72266798946339, 6.598854134060022</t>
  </si>
  <si>
    <t>Suchy, Grande Salle</t>
  </si>
  <si>
    <t>46.724780187798956, 6.601045091622523</t>
  </si>
  <si>
    <t>Sullens, Auberge</t>
  </si>
  <si>
    <t>Sullens</t>
  </si>
  <si>
    <t>46.59365959336547, 6.565926056764861</t>
  </si>
  <si>
    <t>Suscévaz, village</t>
  </si>
  <si>
    <t>Suscévaz</t>
  </si>
  <si>
    <t>46.76418173660095, 6.578006391891406</t>
  </si>
  <si>
    <t>Suscévaz, Les Vignes</t>
  </si>
  <si>
    <t>46.76672394114255, 6.589512832415286</t>
  </si>
  <si>
    <t>Suscévaz, Au Coin</t>
  </si>
  <si>
    <t>46.76687468351731, 6.58440458212336</t>
  </si>
  <si>
    <t>Syens, Champ-du-Chêne</t>
  </si>
  <si>
    <t>Syens</t>
  </si>
  <si>
    <t>46.64368337580689, 6.783656388716565</t>
  </si>
  <si>
    <t>Syens, Clos du Château</t>
  </si>
  <si>
    <t>46.64374477387258, 6.77871827758749</t>
  </si>
  <si>
    <t>Tannay, giratoire</t>
  </si>
  <si>
    <t>Tannay</t>
  </si>
  <si>
    <t>46.31017730373154, 6.173561287436776</t>
  </si>
  <si>
    <t>Tannay, village</t>
  </si>
  <si>
    <t>46.30930630274593, 6.175321261056969</t>
  </si>
  <si>
    <t>Tannay, gare</t>
  </si>
  <si>
    <t>46.30831617841637, 6.183469726657891</t>
  </si>
  <si>
    <t>46.30764514488336, 6.181120364557774</t>
  </si>
  <si>
    <t>Rolle, La Pièce-Etraz</t>
  </si>
  <si>
    <t>Tartegnin</t>
  </si>
  <si>
    <t>46.46164103834109, 6.3219530841526</t>
  </si>
  <si>
    <t>Tartegnin, village</t>
  </si>
  <si>
    <t>46.46602524219456, 6.314962115803456</t>
  </si>
  <si>
    <t>Villars-Burquin, pl. fontaine</t>
  </si>
  <si>
    <t>Tévenon</t>
  </si>
  <si>
    <t>Villars-Burquin</t>
  </si>
  <si>
    <t>46.846586145342584, 6.62738812858296</t>
  </si>
  <si>
    <t>La Combaz VD (Romairon)</t>
  </si>
  <si>
    <t>46.875503411892595, 6.636986813378715</t>
  </si>
  <si>
    <t>Fontanezier, bas du village</t>
  </si>
  <si>
    <t>Fontanezier</t>
  </si>
  <si>
    <t>46.8530760440701, 6.652375039982958</t>
  </si>
  <si>
    <t>Romairon, village</t>
  </si>
  <si>
    <t>Romairon</t>
  </si>
  <si>
    <t>46.850893546457776, 6.642494067043667</t>
  </si>
  <si>
    <t>Vaugondry, bif.</t>
  </si>
  <si>
    <t>46.84756234383717, 6.634401172980234</t>
  </si>
  <si>
    <t>Romairon, Les Rochats bif.</t>
  </si>
  <si>
    <t>46.88105286623873, 6.640708670590713</t>
  </si>
  <si>
    <t>Villars-Burquin, Grange-Meule</t>
  </si>
  <si>
    <t>46.85093496678115, 6.629197529225514</t>
  </si>
  <si>
    <t>Villars-Burquin, Bassugnet</t>
  </si>
  <si>
    <t>46.84862375011548, 6.622978018718952</t>
  </si>
  <si>
    <t>Villars-Burquin, Douvaz</t>
  </si>
  <si>
    <t>46.85000086407963, 6.625605764629929</t>
  </si>
  <si>
    <t>Romairon, collège</t>
  </si>
  <si>
    <t>Vaugondry</t>
  </si>
  <si>
    <t>46.84912424616482, 6.637760665220629</t>
  </si>
  <si>
    <t>Villars-Burquin, Les Oches</t>
  </si>
  <si>
    <t>46.84431823423126, 6.627251930142767</t>
  </si>
  <si>
    <t>Villars-Burquin, La Forge</t>
  </si>
  <si>
    <t>46.84794226110492, 6.625807367436627</t>
  </si>
  <si>
    <t>Villars-Burquin, Laiterie</t>
  </si>
  <si>
    <t>46.84723020927089, 6.629410680293735</t>
  </si>
  <si>
    <t>Tolochenaz, Les Saux</t>
  </si>
  <si>
    <t>Tolochenaz</t>
  </si>
  <si>
    <t>46.49896818428502, 6.473996065802106</t>
  </si>
  <si>
    <t>Tolochenaz, Le Portail</t>
  </si>
  <si>
    <t>46.50597707376616, 6.474897752425834</t>
  </si>
  <si>
    <t>Tolochenaz, Molliau</t>
  </si>
  <si>
    <t>46.50157533649618, 6.481219209647008</t>
  </si>
  <si>
    <t>Tolochenaz, La Grillette</t>
  </si>
  <si>
    <t>46.503067697090856, 6.470724701231225</t>
  </si>
  <si>
    <t>Tolochenaz, La Plantaz</t>
  </si>
  <si>
    <t>46.50815499047155, 6.477363218192733</t>
  </si>
  <si>
    <t>(Zug) [löschen]</t>
  </si>
  <si>
    <t>46.49684009504634, 6.475008978773484</t>
  </si>
  <si>
    <t>Tolochenaz, pl. Audrey Hepburn</t>
  </si>
  <si>
    <t>46.50458046413518, 6.473003205868675</t>
  </si>
  <si>
    <t>Tolochenaz, Les Noyers</t>
  </si>
  <si>
    <t>46.49919846859107, 6.477809007145814</t>
  </si>
  <si>
    <t>Tolochenaz,cimetière de Morges</t>
  </si>
  <si>
    <t>46.500404093217284, 6.483733665659782</t>
  </si>
  <si>
    <t>Trélex</t>
  </si>
  <si>
    <t>46.41371999488676, 6.206420004283509</t>
  </si>
  <si>
    <t>Dépôt trains Trélex (voie D4)</t>
  </si>
  <si>
    <t>46.40575841210683, 6.20890221634299</t>
  </si>
  <si>
    <t>Dépôt trains Trélex (voie D4B)</t>
  </si>
  <si>
    <t>46.405026065369526, 6.209352338363791</t>
  </si>
  <si>
    <t>Trélex, dépôt</t>
  </si>
  <si>
    <t>46.40715563997808, 6.2085803281644765</t>
  </si>
  <si>
    <t>Dépôt trains Trélex (voie D1)</t>
  </si>
  <si>
    <t>46.40581455659156, 6.2091466053097895</t>
  </si>
  <si>
    <t>Dépôt trains Trélex (voie D2)</t>
  </si>
  <si>
    <t>46.405796829514635, 6.209068857159867</t>
  </si>
  <si>
    <t>Dépôt trains Trélex (voie D5)</t>
  </si>
  <si>
    <t>46.40573812239288, 6.208815370663246</t>
  </si>
  <si>
    <t>Dépôt trains Trélex (voie D6B)</t>
  </si>
  <si>
    <t>46.40527525898411, 6.209114618876978</t>
  </si>
  <si>
    <t>Trélex, gare</t>
  </si>
  <si>
    <t>46.41347280056036, 6.205948014163891</t>
  </si>
  <si>
    <t>Dépôt trains Trélex (voie D13)</t>
  </si>
  <si>
    <t>46.404004574945134, 6.209788969336004</t>
  </si>
  <si>
    <t>Dépôt trains Trélex (voie D12)</t>
  </si>
  <si>
    <t>46.404013161844844, 6.209839265211019</t>
  </si>
  <si>
    <t>Dépôt trains Trélex (voie D11)</t>
  </si>
  <si>
    <t>46.404022547730506, 6.20988995980263</t>
  </si>
  <si>
    <t>Dépôt trains Trélex (voie D6)</t>
  </si>
  <si>
    <t>46.40571882729801, 6.208721948409629</t>
  </si>
  <si>
    <t>Dépôt trains Trélex (voie D3B)</t>
  </si>
  <si>
    <t>46.40531530405283, 6.209265472364734</t>
  </si>
  <si>
    <t>Trélex dépôt</t>
  </si>
  <si>
    <t>46.40661101032752, 6.208841006100871</t>
  </si>
  <si>
    <t>Dépôt trains Trélex (voie D15)</t>
  </si>
  <si>
    <t>46.403960047728596, 6.20953944172478</t>
  </si>
  <si>
    <t>Dépôt trains Trélex (voie D14)</t>
  </si>
  <si>
    <t>46.403980229711266, 6.2096541434045545</t>
  </si>
  <si>
    <t>Dépôt trains Trélex (voie D2B)</t>
  </si>
  <si>
    <t>46.40512404260467, 6.209434126997375</t>
  </si>
  <si>
    <t>Dépôt trains Trélex (voie D3)</t>
  </si>
  <si>
    <t>46.40577767831829, 6.208986024430299</t>
  </si>
  <si>
    <t>Dépôt trains Trélex (voie D2C)</t>
  </si>
  <si>
    <t>46.404910556924385, 6.20956790264629</t>
  </si>
  <si>
    <t>Trey</t>
  </si>
  <si>
    <t>46.779957097461555, 6.916250945172529</t>
  </si>
  <si>
    <t>Granges-sous-Trey, village</t>
  </si>
  <si>
    <t>46.77145751976911, 6.915488875499213</t>
  </si>
  <si>
    <t>Trey, Planche-à-Failly</t>
  </si>
  <si>
    <t>46.778336923880026, 6.9308993671523105</t>
  </si>
  <si>
    <t>Trey, village</t>
  </si>
  <si>
    <t>46.76915609447953, 6.925696876399385</t>
  </si>
  <si>
    <t>Trey, Les Folosses</t>
  </si>
  <si>
    <t>46.76297402495445, 6.923242458767275</t>
  </si>
  <si>
    <t>Treycovagnes, village</t>
  </si>
  <si>
    <t>Treycovagnes</t>
  </si>
  <si>
    <t>46.77404971869946, 6.609482955850204</t>
  </si>
  <si>
    <t>Treycovagnes, Champ-Murat</t>
  </si>
  <si>
    <t>46.777046426316645, 6.610306923679594</t>
  </si>
  <si>
    <t>Treytorrens (Payerne), Nord</t>
  </si>
  <si>
    <t>Treytorrens (Payerne)</t>
  </si>
  <si>
    <t>46.77402338742861, 6.800904812430492</t>
  </si>
  <si>
    <t>Treytorrens (Payerne), village</t>
  </si>
  <si>
    <t>46.771378119004986, 6.799506334084311</t>
  </si>
  <si>
    <t>Treytorrens, Les Molliettes</t>
  </si>
  <si>
    <t>46.76648636672454, 6.799756265703736</t>
  </si>
  <si>
    <t>Ursins, Le Battoir</t>
  </si>
  <si>
    <t>Ursins</t>
  </si>
  <si>
    <t>46.73543760089023, 6.669519324324079</t>
  </si>
  <si>
    <t>Ursins, Grange-des-Bois</t>
  </si>
  <si>
    <t>46.732169521446046, 6.678515054713837</t>
  </si>
  <si>
    <t>Combremont-le-Grand, village</t>
  </si>
  <si>
    <t>Valbroye</t>
  </si>
  <si>
    <t>Combremont-le-Grand</t>
  </si>
  <si>
    <t>46.76092551621488, 6.817376237265337</t>
  </si>
  <si>
    <t>Villars-Bramard, village</t>
  </si>
  <si>
    <t>Villars-Bramard</t>
  </si>
  <si>
    <t>46.720005430899356, 6.898788618688819</t>
  </si>
  <si>
    <t>Granges-Marnand</t>
  </si>
  <si>
    <t>Granges-près-Marnand</t>
  </si>
  <si>
    <t>46.75884492426054, 6.8942897289298015</t>
  </si>
  <si>
    <t>Combremont-le-Petit, poste</t>
  </si>
  <si>
    <t>Combremont-le-Petit</t>
  </si>
  <si>
    <t>46.74836851423571, 6.809367936330743</t>
  </si>
  <si>
    <t>Sassel, village</t>
  </si>
  <si>
    <t>Sassel</t>
  </si>
  <si>
    <t>46.77533830690232, 6.858651139769219</t>
  </si>
  <si>
    <t>Granges-près-Marnand,Le Canard</t>
  </si>
  <si>
    <t>46.76042705982415, 6.89211281382988</t>
  </si>
  <si>
    <t>Seigneux, village</t>
  </si>
  <si>
    <t>Seigneux</t>
  </si>
  <si>
    <t>46.72820279451858, 6.8787822964923055</t>
  </si>
  <si>
    <t>Granges-près-Marnand, poste</t>
  </si>
  <si>
    <t>46.762373842574775, 6.889147684779448</t>
  </si>
  <si>
    <t>Granges-près-Marnand, gare</t>
  </si>
  <si>
    <t>46.758682524861044, 6.894120148324203</t>
  </si>
  <si>
    <t>Combremont-le-Petit, village</t>
  </si>
  <si>
    <t>46.750492163350515, 6.809487065037799</t>
  </si>
  <si>
    <t>Combremont-le-Grand, église</t>
  </si>
  <si>
    <t>46.76176134733856, 6.818396094719684</t>
  </si>
  <si>
    <t>Combremont-le-Grand, Crévy</t>
  </si>
  <si>
    <t>46.76486718477625, 6.82932218052932</t>
  </si>
  <si>
    <t>Marnand, village</t>
  </si>
  <si>
    <t>Marnand</t>
  </si>
  <si>
    <t>46.75720895872747, 6.898258153969217</t>
  </si>
  <si>
    <t>Cerniaz VD, La Croisée</t>
  </si>
  <si>
    <t>Cerniaz VD</t>
  </si>
  <si>
    <t>46.72737855165285, 6.898086726693181</t>
  </si>
  <si>
    <t>Henniez, usine eau minérale</t>
  </si>
  <si>
    <t>46.730512773803056, 6.869990844655446</t>
  </si>
  <si>
    <t>Combremont-le-Grand, Le Garage</t>
  </si>
  <si>
    <t>46.76448174189757, 6.821223202629253</t>
  </si>
  <si>
    <t>Villars-Bramard, Farzin</t>
  </si>
  <si>
    <t>46.72213023096597, 6.916530817378557</t>
  </si>
  <si>
    <t>Valeyres-sous-Montagny</t>
  </si>
  <si>
    <t>46.79682308618987, 6.611339018423848</t>
  </si>
  <si>
    <t>Valeyres-s.-Montagny, village</t>
  </si>
  <si>
    <t>46.79918144026643, 6.609095474653354</t>
  </si>
  <si>
    <t>Valeyres-s.-M., centre sportif</t>
  </si>
  <si>
    <t>46.79779403516694, 6.611291384620357</t>
  </si>
  <si>
    <t>Valeyres-sous-Rances, rest.</t>
  </si>
  <si>
    <t>Valeyres-sous-Rances</t>
  </si>
  <si>
    <t>46.75294740467022, 6.526184770699751</t>
  </si>
  <si>
    <t>Valeyres-sous-Rances, croisée</t>
  </si>
  <si>
    <t>46.75046491718947, 6.530742243796966</t>
  </si>
  <si>
    <t>Valeyres-sous-Ursins, village</t>
  </si>
  <si>
    <t>Valeyres-sous-Ursins</t>
  </si>
  <si>
    <t>46.74636278307778, 6.655608921728101</t>
  </si>
  <si>
    <t>Vallorbe, place de la Liberté</t>
  </si>
  <si>
    <t>Vallorbe</t>
  </si>
  <si>
    <t>46.71197421156733, 6.375280695640115</t>
  </si>
  <si>
    <t>Vallorbe, La Promenade</t>
  </si>
  <si>
    <t>46.71056983991212, 6.368444516270757</t>
  </si>
  <si>
    <t>Vallorbe, Les Revinnoz</t>
  </si>
  <si>
    <t>46.708025863132534, 6.374112885787262</t>
  </si>
  <si>
    <t>Vallorbe, gare</t>
  </si>
  <si>
    <t>46.71207892203278, 6.370474708781087</t>
  </si>
  <si>
    <t>Vallorbe, Trésit</t>
  </si>
  <si>
    <t>46.716582854165914, 6.388113259959897</t>
  </si>
  <si>
    <t>Vallorbe, Les Jurats</t>
  </si>
  <si>
    <t>46.722297973226574, 6.392292553789143</t>
  </si>
  <si>
    <t>Vallorbe, poste</t>
  </si>
  <si>
    <t>46.71141108739281, 6.37949045409303</t>
  </si>
  <si>
    <t>Le Day</t>
  </si>
  <si>
    <t>46.72003152823104, 6.399023786518672</t>
  </si>
  <si>
    <t>Le Day, gare</t>
  </si>
  <si>
    <t>46.71913101166115, 6.399086050586049</t>
  </si>
  <si>
    <t>Vallorbe, Les Pontets</t>
  </si>
  <si>
    <t>46.7261957837807, 6.392556980311329</t>
  </si>
  <si>
    <t>Vallorbe, Mont d'Orzeires</t>
  </si>
  <si>
    <t>46.69206010252881, 6.340569398518197</t>
  </si>
  <si>
    <t>Vallorbe, Toscane</t>
  </si>
  <si>
    <t>46.7087342464356, 6.362551567993048</t>
  </si>
  <si>
    <t>Vallorbe, rue de Lausanne</t>
  </si>
  <si>
    <t>46.711315146986394, 6.38415605062651</t>
  </si>
  <si>
    <t>Vallorbe, Les Baraquettes</t>
  </si>
  <si>
    <t>46.7068431502714, 6.357538968713305</t>
  </si>
  <si>
    <t>Vallorbe, grottes</t>
  </si>
  <si>
    <t>46.70291290795343, 6.349633794257948</t>
  </si>
  <si>
    <t>Le Day Ouest</t>
  </si>
  <si>
    <t>46.71737322194979, 6.400491455249134</t>
  </si>
  <si>
    <t>Vallorbe, La Raz</t>
  </si>
  <si>
    <t>46.70360903756988, 6.3605483249475085</t>
  </si>
  <si>
    <t>Vallorbe, Le Day</t>
  </si>
  <si>
    <t>46.71585452219938, 6.396040761852465</t>
  </si>
  <si>
    <t>Vallorbe, Eterpaz</t>
  </si>
  <si>
    <t>46.71335390956558, 6.382107891723201</t>
  </si>
  <si>
    <t>Vallorbe, collège</t>
  </si>
  <si>
    <t>46.71363107673059, 6.379170400792807</t>
  </si>
  <si>
    <t>Le Day Sud (bif)</t>
  </si>
  <si>
    <t>46.718497685114514, 6.400062366539687</t>
  </si>
  <si>
    <t>Vallorbe, Le Creux</t>
  </si>
  <si>
    <t>46.73021686861899, 6.388619255906863</t>
  </si>
  <si>
    <t>46.7124063243017, 6.370565635407371</t>
  </si>
  <si>
    <t>Vallorbe-Frontière</t>
  </si>
  <si>
    <t>(Zug) Güterverkehr und Landesgrenze</t>
  </si>
  <si>
    <t>46.71359374876837, 6.3477617415368535</t>
  </si>
  <si>
    <t>Vaulion, Sur la Creusaz</t>
  </si>
  <si>
    <t>46.69066331572478, 6.391886916660669</t>
  </si>
  <si>
    <t>Vaulion, poste</t>
  </si>
  <si>
    <t>46.6854289273092, 6.387164765654354</t>
  </si>
  <si>
    <t>Vaulion, centre</t>
  </si>
  <si>
    <t>46.68842715545931, 6.389381040729235</t>
  </si>
  <si>
    <t>Vaulion, Les Rippes</t>
  </si>
  <si>
    <t>46.677086663851796, 6.377184670423516</t>
  </si>
  <si>
    <t>Vaulion, Le Moulin</t>
  </si>
  <si>
    <t>46.69293273576465, 6.400001280537765</t>
  </si>
  <si>
    <t>Vaulion, Nidau</t>
  </si>
  <si>
    <t>46.69694230600332, 6.421616029875416</t>
  </si>
  <si>
    <t>Vaulion, collège</t>
  </si>
  <si>
    <t>46.6864572769835, 6.386491062414589</t>
  </si>
  <si>
    <t>Vaux-sur-Morges, Petit-Vaux</t>
  </si>
  <si>
    <t>Vaux-sur-Morges</t>
  </si>
  <si>
    <t>46.53370155925973, 6.4696218867917255</t>
  </si>
  <si>
    <t>Vaux-sur-Morges, village</t>
  </si>
  <si>
    <t>46.53553757014291, 6.463409793852288</t>
  </si>
  <si>
    <t>Vaux-sur-Morges, Bugnon</t>
  </si>
  <si>
    <t>46.53982613374001, 6.45372392845252</t>
  </si>
  <si>
    <t>Vevey, gare</t>
  </si>
  <si>
    <t>Vevey</t>
  </si>
  <si>
    <t>46.46278783243048, 6.842054300938568</t>
  </si>
  <si>
    <t>Vevey, P+R/gare</t>
  </si>
  <si>
    <t>46.46372715726239, 6.843558622051471</t>
  </si>
  <si>
    <t>Gilamont</t>
  </si>
  <si>
    <t>46.471420001429365, 6.852629994972024</t>
  </si>
  <si>
    <t>Vevey, Marché</t>
  </si>
  <si>
    <t>46.460143628033485, 6.841830285873013</t>
  </si>
  <si>
    <t>Vevey, Charmontey</t>
  </si>
  <si>
    <t>46.46636001679492, 6.847510552946027</t>
  </si>
  <si>
    <t>Vevey, Copet</t>
  </si>
  <si>
    <t>46.468920019519864, 6.846040550840969</t>
  </si>
  <si>
    <t>Vevey, Hôtel de Ville</t>
  </si>
  <si>
    <t>46.45919167073059, 6.846693601070994</t>
  </si>
  <si>
    <t>Vevey, Nord</t>
  </si>
  <si>
    <t>46.46601002125532, 6.840790544974821</t>
  </si>
  <si>
    <t>Vevey, Palud</t>
  </si>
  <si>
    <t>46.465367110221365, 6.852705756051915</t>
  </si>
  <si>
    <t>Vevey, Moulins</t>
  </si>
  <si>
    <t>46.46639034716871, 6.845351976483973</t>
  </si>
  <si>
    <t>Vevey [voie 6-7]</t>
  </si>
  <si>
    <t>46.46291233871676, 6.844283583585861</t>
  </si>
  <si>
    <t>Vevey-Marché (lac)</t>
  </si>
  <si>
    <t>46.45890792785499, 6.84054513127383</t>
  </si>
  <si>
    <t>Vevey Vignerons</t>
  </si>
  <si>
    <t>arrêt en construction 2018</t>
  </si>
  <si>
    <t>46.4690830033101, 6.852821733645918</t>
  </si>
  <si>
    <t>Bosquets</t>
  </si>
  <si>
    <t>46.46703541993558, 6.846568697861962</t>
  </si>
  <si>
    <t>Vevey, Ateliers</t>
  </si>
  <si>
    <t>46.465352100870305, 6.842928864565799</t>
  </si>
  <si>
    <t>Vevey, Clara-Haskil</t>
  </si>
  <si>
    <t>46.458140577404016, 6.850408633140052</t>
  </si>
  <si>
    <t>Vevey, Quatre-Vents</t>
  </si>
  <si>
    <t>46.4621400206205, 6.855660545050406</t>
  </si>
  <si>
    <t>Vevey, funiculaire</t>
  </si>
  <si>
    <t>46.46863710749454, 6.836408964680204</t>
  </si>
  <si>
    <t>Vevey, Gutenberg</t>
  </si>
  <si>
    <t>46.46694228434909, 6.839122790900015</t>
  </si>
  <si>
    <t>Vevey, Ancienne-Corderie</t>
  </si>
  <si>
    <t>46.46931447372685, 6.848887288400394</t>
  </si>
  <si>
    <t>Vevey, funiculaire/av. Reller</t>
  </si>
  <si>
    <t>46.467675994829044, 6.837023735406771</t>
  </si>
  <si>
    <t>Vevey-Funi</t>
  </si>
  <si>
    <t>46.46827670459154, 6.835443290340249</t>
  </si>
  <si>
    <t>Vevey, Cour-au-Chantre</t>
  </si>
  <si>
    <t>46.45983615983107, 6.845494848465302</t>
  </si>
  <si>
    <t>Vevey, Ste-Claire</t>
  </si>
  <si>
    <t>46.458517057501396, 6.848432253766469</t>
  </si>
  <si>
    <t>Vevey, Crosets</t>
  </si>
  <si>
    <t>46.47076335477691, 6.84843233943747</t>
  </si>
  <si>
    <t>Vevey, Pra</t>
  </si>
  <si>
    <t>46.47127067971052, 6.8530496799816785</t>
  </si>
  <si>
    <t>Vevey, Point du Jour</t>
  </si>
  <si>
    <t>46.46417934255132, 6.849177610626189</t>
  </si>
  <si>
    <t>La Tour-de-Peilz, Oyonne</t>
  </si>
  <si>
    <t>46.457484804280035, 6.853551685282966</t>
  </si>
  <si>
    <t>Vevey, L'Union</t>
  </si>
  <si>
    <t>46.464721534456075, 6.839355702361205</t>
  </si>
  <si>
    <t>Vevey, Savoie</t>
  </si>
  <si>
    <t>46.4655389240257, 6.836583493667087</t>
  </si>
  <si>
    <t>Vevey Ouest (bif)</t>
  </si>
  <si>
    <t>46.466285042979074, 6.838305778427868</t>
  </si>
  <si>
    <t>Vevey, Ronjat</t>
  </si>
  <si>
    <t>46.46141411793437, 6.843356858054836</t>
  </si>
  <si>
    <t>Vevey, Entre-Deux-Villes</t>
  </si>
  <si>
    <t>46.45719993961636, 6.852896966416406</t>
  </si>
  <si>
    <t>Vevey, Berges-du-Léman</t>
  </si>
  <si>
    <t>46.46323334251511, 6.854108799564134</t>
  </si>
  <si>
    <t>Vevey, Bergère</t>
  </si>
  <si>
    <t>46.466551570229754, 6.8366925658892335</t>
  </si>
  <si>
    <t>Vevey, Samaritain</t>
  </si>
  <si>
    <t>46.46049210088281, 6.855025973709948</t>
  </si>
  <si>
    <t>Vevey, Biéler</t>
  </si>
  <si>
    <t>46.467276685115486, 6.8531797970307275</t>
  </si>
  <si>
    <t>Vevey-La Tour (lac)</t>
  </si>
  <si>
    <t>46.45730514327494, 6.850130155403032</t>
  </si>
  <si>
    <t>Vevey-Plan (lac)</t>
  </si>
  <si>
    <t>46.464978278433584, 6.834149126506761</t>
  </si>
  <si>
    <t>46.46300181065662, 6.8434455982384</t>
  </si>
  <si>
    <t>Vevey (funi)</t>
  </si>
  <si>
    <t>SBA.61.050.1</t>
  </si>
  <si>
    <t>46.468634961388375, 6.836005383532228</t>
  </si>
  <si>
    <t>Vevey, Gustave-Coindet</t>
  </si>
  <si>
    <t>46.464074884833494, 6.840311569245852</t>
  </si>
  <si>
    <t>Vevey, Arabie</t>
  </si>
  <si>
    <t>46.462443769215774, 6.83806851394806</t>
  </si>
  <si>
    <t>Vevey, Dévin</t>
  </si>
  <si>
    <t>46.470910020515745, 6.850540556686162</t>
  </si>
  <si>
    <t>Vevey, Major-Davel</t>
  </si>
  <si>
    <t>46.46366001826344, 6.850960555149589</t>
  </si>
  <si>
    <t>Vevey, Gilamont</t>
  </si>
  <si>
    <t>46.47178001880437, 6.8519005532965345</t>
  </si>
  <si>
    <t>Vevey, Beau-Séjour</t>
  </si>
  <si>
    <t>46.460216043604355, 6.849923743532676</t>
  </si>
  <si>
    <t>Vevey, Mémise</t>
  </si>
  <si>
    <t>46.46805553398245, 6.850710707304528</t>
  </si>
  <si>
    <t>Veytaux, château de Chillon</t>
  </si>
  <si>
    <t>Veytaux</t>
  </si>
  <si>
    <t>46.41412980152812, 6.928750709070779</t>
  </si>
  <si>
    <t>Veytaux, Grandchamp</t>
  </si>
  <si>
    <t>46.409855566148444, 6.931325529381625</t>
  </si>
  <si>
    <t>Veytaux-Chillon</t>
  </si>
  <si>
    <t>46.41762119586779, 6.927860782293662</t>
  </si>
  <si>
    <t>Veytaux, Bonivard</t>
  </si>
  <si>
    <t>46.4213895995956, 6.925649954590685</t>
  </si>
  <si>
    <t>Château-de-Chillon (lac)</t>
  </si>
  <si>
    <t>46.41282918185035, 6.929271731960228</t>
  </si>
  <si>
    <t>Rochers-de-Naye</t>
  </si>
  <si>
    <t>46.431679994167624, 6.979019996935932</t>
  </si>
  <si>
    <t>Veytaux, gare</t>
  </si>
  <si>
    <t>46.419040016362636, 6.927950554204882</t>
  </si>
  <si>
    <t>Vich, poste</t>
  </si>
  <si>
    <t>Vich</t>
  </si>
  <si>
    <t>46.428683111504725, 6.249979417101777</t>
  </si>
  <si>
    <t>Vich, La Bichette</t>
  </si>
  <si>
    <t>46.42672405940064, 6.253626334497807</t>
  </si>
  <si>
    <t>Villars-Epeney, Fontaine</t>
  </si>
  <si>
    <t>Villars-Epeney</t>
  </si>
  <si>
    <t>46.78093844629755, 6.696630646644809</t>
  </si>
  <si>
    <t>Villars-le-Comte, poste</t>
  </si>
  <si>
    <t>Villars-le-Comte</t>
  </si>
  <si>
    <t>46.71066510423749, 6.79928075892904</t>
  </si>
  <si>
    <t>Villars-le-Comte, Le Chalet</t>
  </si>
  <si>
    <t>46.712168047845985, 6.804219611068265</t>
  </si>
  <si>
    <t>Villars-le-Terroir, av. d'Orbe</t>
  </si>
  <si>
    <t>Villars-le-Terroir</t>
  </si>
  <si>
    <t>46.65764335898475, 6.638579726982853</t>
  </si>
  <si>
    <t>Villars-le-Terroir, poste</t>
  </si>
  <si>
    <t>46.65559662168114, 6.639198016813482</t>
  </si>
  <si>
    <t>Villars-le-Terroir, Le Buron</t>
  </si>
  <si>
    <t>46.67538071795863, 6.625508136249703</t>
  </si>
  <si>
    <t>Villars-le-Terroir, pl. Eglise</t>
  </si>
  <si>
    <t>46.657063641233044, 6.639293852870606</t>
  </si>
  <si>
    <t>Villars-le-Terroir, B.-Croix</t>
  </si>
  <si>
    <t>46.65914537123625, 6.643666149821251</t>
  </si>
  <si>
    <t>Villars-Ste-Croix, En Coulaye</t>
  </si>
  <si>
    <t>Villars-Ste-Croix</t>
  </si>
  <si>
    <t>46.56599556674099, 6.559219733410789</t>
  </si>
  <si>
    <t>Villars-Ste-Croix, village</t>
  </si>
  <si>
    <t>46.56802746059839, 6.5616721341733895</t>
  </si>
  <si>
    <t>Villars-Ste-Croix, Le Sansy</t>
  </si>
  <si>
    <t>46.56815061493981, 6.565281665205171</t>
  </si>
  <si>
    <t>Villars-Ste-Croix, Colice</t>
  </si>
  <si>
    <t>46.56253584542762, 6.5662984652092335</t>
  </si>
  <si>
    <t>Villars-sous-Yens, village</t>
  </si>
  <si>
    <t>Villars-sous-Yens</t>
  </si>
  <si>
    <t>46.51007100688059, 6.4286746385018745</t>
  </si>
  <si>
    <t>Villars-sous-Yens, Le Moulin</t>
  </si>
  <si>
    <t>46.5102726290294, 6.421035151047389</t>
  </si>
  <si>
    <t>Villarzel, Planche-Perte</t>
  </si>
  <si>
    <t>Villarzel</t>
  </si>
  <si>
    <t>46.74407712799123, 6.9062808913653875</t>
  </si>
  <si>
    <t>Rossens VD, village</t>
  </si>
  <si>
    <t>Rossens VD</t>
  </si>
  <si>
    <t>46.73545148259126, 6.922158455420766</t>
  </si>
  <si>
    <t>Villarzel, Le Cachet</t>
  </si>
  <si>
    <t>46.744286899467234, 6.918579667807715</t>
  </si>
  <si>
    <t>Villarzel, Les Râpes</t>
  </si>
  <si>
    <t>46.73813172319635, 6.92007845878046</t>
  </si>
  <si>
    <t>Villarzel, village</t>
  </si>
  <si>
    <t>46.74852116965899, 6.912126083710548</t>
  </si>
  <si>
    <t>Sédeilles, village</t>
  </si>
  <si>
    <t>Sédeilles</t>
  </si>
  <si>
    <t>46.748919644584085, 6.9325511886291515</t>
  </si>
  <si>
    <t>Rossens VD, La Rapette</t>
  </si>
  <si>
    <t>46.73929553923406, 6.924790850866974</t>
  </si>
  <si>
    <t>Villeneuve VD (lac)</t>
  </si>
  <si>
    <t>Villeneuve (VD)</t>
  </si>
  <si>
    <t>Villeneuve VD</t>
  </si>
  <si>
    <t>46.39861690901683, 6.924708494789573</t>
  </si>
  <si>
    <t>Villeneuve VD, rte du Grammont</t>
  </si>
  <si>
    <t>46.39104848469872, 6.932793127881756</t>
  </si>
  <si>
    <t>Villeneuve VD, La Plage</t>
  </si>
  <si>
    <t>46.401700016736314, 6.926560550825475</t>
  </si>
  <si>
    <t>Villeneuve VD, industrie</t>
  </si>
  <si>
    <t>46.38868001814456, 6.928890553371616</t>
  </si>
  <si>
    <t>Villeneuve VD, Poterlaz</t>
  </si>
  <si>
    <t>46.39586873966727, 6.926307291601434</t>
  </si>
  <si>
    <t>Villeneuve VD, Carroz-Derrière</t>
  </si>
  <si>
    <t>46.39410001923622, 6.934910545217989</t>
  </si>
  <si>
    <t>Villeneuve VD, gare</t>
  </si>
  <si>
    <t>46.398428383647, 6.926777691310587</t>
  </si>
  <si>
    <t>Villeneuve VD, Eau-Froide</t>
  </si>
  <si>
    <t>46.394636594441145, 6.92182090279012</t>
  </si>
  <si>
    <t>Villeneuve VD, Clos du Moulin</t>
  </si>
  <si>
    <t>46.40583007660626, 6.930232929393144</t>
  </si>
  <si>
    <t>Villeneuve VD, sous le viaduc</t>
  </si>
  <si>
    <t>46.388528841198664, 6.93185033686815</t>
  </si>
  <si>
    <t>Villeneuve VD, Pré du Bruit</t>
  </si>
  <si>
    <t>46.39453001839563, 6.930690549188511</t>
  </si>
  <si>
    <t>Villeneuve VD, route d'Arvel</t>
  </si>
  <si>
    <t>46.39617001820205, 6.930750548876288</t>
  </si>
  <si>
    <t>Villeneuve VD, Pré au Comte</t>
  </si>
  <si>
    <t>46.39647002215219, 6.929510547221373</t>
  </si>
  <si>
    <t>46.3983715064178, 6.927003108049976</t>
  </si>
  <si>
    <t>Villeneuve VD, Pré Neuf</t>
  </si>
  <si>
    <t>46.38775507567449, 6.933833577492507</t>
  </si>
  <si>
    <t>Villeneuve VD, Pré Jaquet</t>
  </si>
  <si>
    <t>46.39105001576752, 6.929620545766588</t>
  </si>
  <si>
    <t>Villeneuve VD, rte des Paquays</t>
  </si>
  <si>
    <t>46.385583362060274, 6.928813591142034</t>
  </si>
  <si>
    <t>Villeneuve VD, centres comm.</t>
  </si>
  <si>
    <t>46.386185337376766, 6.934849181099142</t>
  </si>
  <si>
    <t>Vinzel, village</t>
  </si>
  <si>
    <t>Vinzel</t>
  </si>
  <si>
    <t>46.447567417822135, 6.279539647539844</t>
  </si>
  <si>
    <t>Vuarrens, poste</t>
  </si>
  <si>
    <t>Vuarrens</t>
  </si>
  <si>
    <t>46.68603245243963, 6.647269623982037</t>
  </si>
  <si>
    <t>Vuarrengel, Orée du Bois</t>
  </si>
  <si>
    <t>46.699399752608116, 6.644588929097536</t>
  </si>
  <si>
    <t>Vuarrens, gar. du Gros-de-Vaud</t>
  </si>
  <si>
    <t>46.67638912312654, 6.646025801017007</t>
  </si>
  <si>
    <t>Vuarrengel, Laiterie</t>
  </si>
  <si>
    <t>46.692765274750734, 6.646530118266519</t>
  </si>
  <si>
    <t>Vuarrengel, En Chollet</t>
  </si>
  <si>
    <t>46.68998590163487, 6.646584048205956</t>
  </si>
  <si>
    <t>Vucherens, village</t>
  </si>
  <si>
    <t>Vucherens</t>
  </si>
  <si>
    <t>46.62473093241146, 6.782411071305987</t>
  </si>
  <si>
    <t>Vucherens, Closy</t>
  </si>
  <si>
    <t>46.628233918195654, 6.78303441058337</t>
  </si>
  <si>
    <t>Vucherens, Bruvière</t>
  </si>
  <si>
    <t>46.62711245440035, 6.775800967188912</t>
  </si>
  <si>
    <t>La Râpe VD</t>
  </si>
  <si>
    <t>46.62611346004739, 6.76805705189195</t>
  </si>
  <si>
    <t>Vucherens, église</t>
  </si>
  <si>
    <t>46.62242243165608, 6.773717306503319</t>
  </si>
  <si>
    <t>Vufflens-la-Ville,grande salle</t>
  </si>
  <si>
    <t>Vufflens-la-Ville</t>
  </si>
  <si>
    <t>46.58153237027981, 6.542016995662973</t>
  </si>
  <si>
    <t>Vufflens-la-Ville, gare</t>
  </si>
  <si>
    <t>46.57717759642328, 6.531346238984005</t>
  </si>
  <si>
    <t>Vufflens-la-Ville coté COS (B)</t>
  </si>
  <si>
    <t>46.57623602061641, 6.530777717322757</t>
  </si>
  <si>
    <t>Vufflens-la-Ville coté BY (B)</t>
  </si>
  <si>
    <t>46.56836302874429, 6.529032553255162</t>
  </si>
  <si>
    <t>Vufflens-la-Ville, église</t>
  </si>
  <si>
    <t>46.57700640807006, 6.539357982402905</t>
  </si>
  <si>
    <t>Vufflens-la-Ville, Cuvillard</t>
  </si>
  <si>
    <t>46.57962447321557, 6.534938271240327</t>
  </si>
  <si>
    <t>46.576244980897606, 6.5307675996123775</t>
  </si>
  <si>
    <t>Mex VD, Faraz</t>
  </si>
  <si>
    <t>46.566222426716045, 6.550511130066548</t>
  </si>
  <si>
    <t>Vufflens-le-Château</t>
  </si>
  <si>
    <t>46.524809993690994, 6.473179994731305</t>
  </si>
  <si>
    <t>Le Marais</t>
  </si>
  <si>
    <t>46.52746999620516, 6.462590000925124</t>
  </si>
  <si>
    <t>Vufflens-le-Château, village</t>
  </si>
  <si>
    <t>46.52519955025536, 6.474337922088384</t>
  </si>
  <si>
    <t>Vufflens-le-Château, Le Marais</t>
  </si>
  <si>
    <t>46.52780157441983, 6.462992200019608</t>
  </si>
  <si>
    <t>Vugelles, croisée</t>
  </si>
  <si>
    <t>Vugelles-La Mothe</t>
  </si>
  <si>
    <t>46.82378037504178, 6.5780875787767865</t>
  </si>
  <si>
    <t>La Mothe, haut-du-village</t>
  </si>
  <si>
    <t>46.81856525573703, 6.565394092071484</t>
  </si>
  <si>
    <t>La Mothe, Fontannet</t>
  </si>
  <si>
    <t>46.81932675676556, 6.568513763918224</t>
  </si>
  <si>
    <t>Peney, village</t>
  </si>
  <si>
    <t>Vuiteboeuf</t>
  </si>
  <si>
    <t>arrêt bus de remplacement 15.05.-01.06.17</t>
  </si>
  <si>
    <t>46.80244249211331, 6.5616077857803665</t>
  </si>
  <si>
    <t>Vuiteboeuf, gare</t>
  </si>
  <si>
    <t>46.803938799590846, 6.553840664908545</t>
  </si>
  <si>
    <t>Vuiteboeuf, collège</t>
  </si>
  <si>
    <t>46.80771774958397, 6.549297609255819</t>
  </si>
  <si>
    <t>46.803762417294756, 6.553740873343511</t>
  </si>
  <si>
    <t>Vulliens, Praz-Botsard</t>
  </si>
  <si>
    <t>Vulliens</t>
  </si>
  <si>
    <t>46.61495494253521, 6.779736250730025</t>
  </si>
  <si>
    <t>Vulliens, Le Corria</t>
  </si>
  <si>
    <t>46.615729748185714, 6.790888841341336</t>
  </si>
  <si>
    <t>Vulliens, village</t>
  </si>
  <si>
    <t>46.62220468548096, 6.792103686495085</t>
  </si>
  <si>
    <t>Vullierens, village</t>
  </si>
  <si>
    <t>Vullierens</t>
  </si>
  <si>
    <t>46.57268080406483, 6.481738212322137</t>
  </si>
  <si>
    <t>Vullierens, Abbaye</t>
  </si>
  <si>
    <t>46.573733648965664, 6.482584456463373</t>
  </si>
  <si>
    <t>Mur, village</t>
  </si>
  <si>
    <t>Vully-les-Lacs</t>
  </si>
  <si>
    <t>Mur (Vully) VD</t>
  </si>
  <si>
    <t>46.944270168682095, 7.061318635571722</t>
  </si>
  <si>
    <t>Salavaux, école</t>
  </si>
  <si>
    <t>Salavaux</t>
  </si>
  <si>
    <t>46.914334769994326, 7.028014403209637</t>
  </si>
  <si>
    <t>Vallamand-Dessus, cimetière</t>
  </si>
  <si>
    <t>Vallamand</t>
  </si>
  <si>
    <t>46.9337853168408, 7.038636047490185</t>
  </si>
  <si>
    <t>Salavaux, Cotterd</t>
  </si>
  <si>
    <t>Cotterd</t>
  </si>
  <si>
    <t>46.92032878652988, 7.0214303455170155</t>
  </si>
  <si>
    <t>Vallamand-Dessous, Garinettes</t>
  </si>
  <si>
    <t>46.93039626173397, 7.044699302851206</t>
  </si>
  <si>
    <t>Constantine, collège</t>
  </si>
  <si>
    <t>Constantine</t>
  </si>
  <si>
    <t>46.91800133341529, 7.012324348207044</t>
  </si>
  <si>
    <t>Villars-le-Grand, village</t>
  </si>
  <si>
    <t>Villars-le-Grand</t>
  </si>
  <si>
    <t>46.90587295470253, 6.990501582613611</t>
  </si>
  <si>
    <t>Bellerive VD, village</t>
  </si>
  <si>
    <t>Bellerive VD</t>
  </si>
  <si>
    <t>46.92444657792679, 7.023328368853798</t>
  </si>
  <si>
    <t>Vallamand-Dessous, village</t>
  </si>
  <si>
    <t>46.9245666995143, 7.034238314513399</t>
  </si>
  <si>
    <t>Vallamand-Dessus, pl. village</t>
  </si>
  <si>
    <t>46.931834258605036, 7.03916033439524</t>
  </si>
  <si>
    <t>Chabrey, village</t>
  </si>
  <si>
    <t>Chabrey</t>
  </si>
  <si>
    <t>46.92648804445839, 6.9808491277921</t>
  </si>
  <si>
    <t>Montmagny, croisée</t>
  </si>
  <si>
    <t>Montmagny</t>
  </si>
  <si>
    <t>46.92646109023262, 7.011022806699574</t>
  </si>
  <si>
    <t>46.92445555436496, 7.037464824786931</t>
  </si>
  <si>
    <t>Guévaux, croisée</t>
  </si>
  <si>
    <t>46.93883944537879, 7.057449937195895</t>
  </si>
  <si>
    <t>Salavaux, poste</t>
  </si>
  <si>
    <t>46.91757146103036, 7.022593953594299</t>
  </si>
  <si>
    <t>Yens, route de l'Etraz</t>
  </si>
  <si>
    <t>Yens</t>
  </si>
  <si>
    <t>46.5189504749791, 6.428856219263279</t>
  </si>
  <si>
    <t>46.51996000101708, 6.427319995694435</t>
  </si>
  <si>
    <t>Yens, village</t>
  </si>
  <si>
    <t>46.5187470017999, 6.419175501667055</t>
  </si>
  <si>
    <t>Yens, gare</t>
  </si>
  <si>
    <t>46.51982001035451, 6.427270006373437</t>
  </si>
  <si>
    <t>Yens, Moulin au Loup</t>
  </si>
  <si>
    <t>46.51206801033553, 6.417583006291697</t>
  </si>
  <si>
    <t>Yverdon-les-Bains</t>
  </si>
  <si>
    <t>46.78154518698354, 6.640944001506527</t>
  </si>
  <si>
    <t>Gressy, Moulin</t>
  </si>
  <si>
    <t>Gressy</t>
  </si>
  <si>
    <t>46.75049553303466, 6.640576249312098</t>
  </si>
  <si>
    <t>Yverdon, Quai de la Thièle</t>
  </si>
  <si>
    <t>46.7821168777915, 6.636846320595425</t>
  </si>
  <si>
    <t>Yverdon-les-Bains, Bel-Air</t>
  </si>
  <si>
    <t>46.78057040371228, 6.636961036697127</t>
  </si>
  <si>
    <t>Treycovagnes, Châtelard</t>
  </si>
  <si>
    <t>46.7781168661185, 6.617197001873024</t>
  </si>
  <si>
    <t>Yverdon Y-Parc</t>
  </si>
  <si>
    <t>46.76764064014271, 6.643642105814505</t>
  </si>
  <si>
    <t>Yverdon, Général-Guisan</t>
  </si>
  <si>
    <t>46.777211724551336, 6.631458786241229</t>
  </si>
  <si>
    <t>Yverdon-les-Bains, Les Moulins</t>
  </si>
  <si>
    <t>46.77221072602892, 6.629962062009662</t>
  </si>
  <si>
    <t>Yverdon-les-Bains, Plaisance</t>
  </si>
  <si>
    <t>46.76984193577055, 6.649599234181955</t>
  </si>
  <si>
    <t>Yverdon, J.-J. Rousseau</t>
  </si>
  <si>
    <t>46.77682735808946, 6.645855467003974</t>
  </si>
  <si>
    <t>Yverdon-les-Bains, La Colline</t>
  </si>
  <si>
    <t>46.772885142601986, 6.6586009883341</t>
  </si>
  <si>
    <t>Yverdon, Théâtre Benno Besson</t>
  </si>
  <si>
    <t>46.779149205725055, 6.642115404247089</t>
  </si>
  <si>
    <t>Yverdon-les-Bains, patinoire</t>
  </si>
  <si>
    <t>46.78366558672512, 6.644218325636739</t>
  </si>
  <si>
    <t>Yverdon-les-Bains, Prés-du-Lac</t>
  </si>
  <si>
    <t>46.78853716254464, 6.633663121080318</t>
  </si>
  <si>
    <t>Yverdon-les-Bains, rue d'Orbe</t>
  </si>
  <si>
    <t>46.77937893163643, 6.632565799642105</t>
  </si>
  <si>
    <t>Gressy, place du village</t>
  </si>
  <si>
    <t>46.74852335178723, 6.635161118592038</t>
  </si>
  <si>
    <t>Yverdon-les-Bains TRAVYS</t>
  </si>
  <si>
    <t>46.78151544466839, 6.640875586713028</t>
  </si>
  <si>
    <t>Yverdon, Zone industrielle sud</t>
  </si>
  <si>
    <t>46.758141384645356, 6.643054640528296</t>
  </si>
  <si>
    <t>Yverdon Est (bif)</t>
  </si>
  <si>
    <t>46.78013231750951, 6.646940848951539</t>
  </si>
  <si>
    <t>Yverdon-les-Bains, L'Orient</t>
  </si>
  <si>
    <t>46.77825835943669, 6.662696671013764</t>
  </si>
  <si>
    <t>Yverdon, Pont du Buron</t>
  </si>
  <si>
    <t>46.77815168522991, 6.650026226880444</t>
  </si>
  <si>
    <t>Yverdon, Centre Thermal</t>
  </si>
  <si>
    <t>46.771497023619595, 6.647613957469475</t>
  </si>
  <si>
    <t>Yverdon-les-Bains, La Marive</t>
  </si>
  <si>
    <t>(Bus) ouverture plus tard</t>
  </si>
  <si>
    <t>46.78563410162368, 6.638103537828441</t>
  </si>
  <si>
    <t>Yverdon, Maison Blanche</t>
  </si>
  <si>
    <t>46.767122313062764, 6.656453379774315</t>
  </si>
  <si>
    <t>Yverdon-les-Bains, cimetière</t>
  </si>
  <si>
    <t>46.77201663707358, 6.643569589999155</t>
  </si>
  <si>
    <t>Yverdon, rue de Bullet</t>
  </si>
  <si>
    <t>46.7810953599037, 6.625979304883315</t>
  </si>
  <si>
    <t>Yverdon-les-Bains, La Sallaz</t>
  </si>
  <si>
    <t>46.76935549309149, 6.643805300056267</t>
  </si>
  <si>
    <t>Yverdon, Petits-Champs</t>
  </si>
  <si>
    <t>46.76215034010052, 6.645727495374877</t>
  </si>
  <si>
    <t>Yverdon, Y-Parc/Pythagore</t>
  </si>
  <si>
    <t>46.765145713696505, 6.6425583373076655</t>
  </si>
  <si>
    <t>Yverdon, Champs-Lovats</t>
  </si>
  <si>
    <t>46.76632956622426, 6.651102821326089</t>
  </si>
  <si>
    <t>Yverdon-les-Bains, HEIG-VD</t>
  </si>
  <si>
    <t>46.77851832585975, 6.658859768426617</t>
  </si>
  <si>
    <t>Gressy, Le Bas-des-Monts</t>
  </si>
  <si>
    <t>46.75376814239102, 6.639022522664199</t>
  </si>
  <si>
    <t>Yverdon-les-Bains, Condémines</t>
  </si>
  <si>
    <t>46.76927439333031, 6.652866476328814</t>
  </si>
  <si>
    <t>Yverdon, rue de Montagny</t>
  </si>
  <si>
    <t>46.77881941828392, 6.6272445972485325</t>
  </si>
  <si>
    <t>Yverdon-Champ Pittet</t>
  </si>
  <si>
    <t>46.7821495936614, 6.662320118216995</t>
  </si>
  <si>
    <t>Yverdon, Collège de Fontenay</t>
  </si>
  <si>
    <t>46.78272443607037, 6.629881213690914</t>
  </si>
  <si>
    <t>Yverdon, Léon-Jaquier sud</t>
  </si>
  <si>
    <t>46.787948233651846, 6.635855700683639</t>
  </si>
  <si>
    <t>Yverdon, Léon-Jaquier nord</t>
  </si>
  <si>
    <t>46.789816493233666, 6.6342739754042785</t>
  </si>
  <si>
    <t>Yverdon, Grands Champs</t>
  </si>
  <si>
    <t>46.77606209506558, 6.665149071839952</t>
  </si>
  <si>
    <t>Yverdon, Y-Parc/Galilée</t>
  </si>
  <si>
    <t>46.766432716562754, 6.6452231096509555</t>
  </si>
  <si>
    <t>Yverdon, Moulins Dessus</t>
  </si>
  <si>
    <t>46.773375525990495, 6.632118910459005</t>
  </si>
  <si>
    <t>Yverdon-les-Bains, hôpital</t>
  </si>
  <si>
    <t>46.77251150461506, 6.646167833176145</t>
  </si>
  <si>
    <t>Yverdon, Clairs-Logis</t>
  </si>
  <si>
    <t>46.78930599469567, 6.6358819597922825</t>
  </si>
  <si>
    <t>Yverdon-les-Bains, rue du Midi</t>
  </si>
  <si>
    <t>46.7776972853389, 6.63519680687864</t>
  </si>
  <si>
    <t>Yverdon-les-Bains, Le Bey</t>
  </si>
  <si>
    <t>46.790900929799655, 6.628516188201034</t>
  </si>
  <si>
    <t>Yverdon, rue des Uttins</t>
  </si>
  <si>
    <t>46.78674791061839, 6.631486211622356</t>
  </si>
  <si>
    <t>Yverdon-les-Bains, Les Bains</t>
  </si>
  <si>
    <t>46.77252585434308, 6.649532585820587</t>
  </si>
  <si>
    <t>Yverdon-les-Bains, Clendy</t>
  </si>
  <si>
    <t>46.778284592715224, 6.654947862138094</t>
  </si>
  <si>
    <t>Yverdon-les-Bains, 14 Avril</t>
  </si>
  <si>
    <t>46.77778720618874, 6.651956464077224</t>
  </si>
  <si>
    <t>Yverdon, Y-Parc/Découvertes</t>
  </si>
  <si>
    <t>46.766035390931506, 6.642427349868048</t>
  </si>
  <si>
    <t>Yverdon-les-Bains, gare</t>
  </si>
  <si>
    <t>46.78118712617012, 6.6402387828707035</t>
  </si>
  <si>
    <t>Yverdon William Barbey</t>
  </si>
  <si>
    <t>46.788991991210096, 6.631676264867559</t>
  </si>
  <si>
    <t>Yverdon-les-Bains, 24 Janvier</t>
  </si>
  <si>
    <t>46.78176481445701, 6.633106165569177</t>
  </si>
  <si>
    <t>Yverdon-les-Bains, Philosophes</t>
  </si>
  <si>
    <t>46.77529002164866, 6.643670564251412</t>
  </si>
  <si>
    <t>Yverdon-les-Bains, Mujon</t>
  </si>
  <si>
    <t>46.786864145842834, 6.634929745630021</t>
  </si>
  <si>
    <t>Yverdon, Riants-Fleurs</t>
  </si>
  <si>
    <t>46.77228455678462, 6.654593867153128</t>
  </si>
  <si>
    <t>Yverdon, Centre Professionnel</t>
  </si>
  <si>
    <t>46.77386502749701, 6.633918488831452</t>
  </si>
  <si>
    <t>Yverdon-les-Bains, Cheminet</t>
  </si>
  <si>
    <t>46.78453929390517, 6.628297688116077</t>
  </si>
  <si>
    <t>Yverdon, Les Chaînettes</t>
  </si>
  <si>
    <t>46.77597596518012, 6.636277218463208</t>
  </si>
  <si>
    <t>Yverdon, rue de Chamblon</t>
  </si>
  <si>
    <t>46.78240456407612, 6.635253139153226</t>
  </si>
  <si>
    <t>Yverdon, Pierre de Savoie</t>
  </si>
  <si>
    <t>46.7685928954038, 6.641235918848762</t>
  </si>
  <si>
    <t>Yverdon-les-Bains, Bellevue</t>
  </si>
  <si>
    <t>46.774296405769384, 6.6650143245009765</t>
  </si>
  <si>
    <t>Yverdon, William Barbey</t>
  </si>
  <si>
    <t>46.788260545438405, 6.630402647551948</t>
  </si>
  <si>
    <t>Cheseaux-N., Coteau des Ifs</t>
  </si>
  <si>
    <t>46.78070675034477, 6.666298915317049</t>
  </si>
  <si>
    <t>Yverdon, Collège des Rives</t>
  </si>
  <si>
    <t>46.78483431303466, 6.642026436303944</t>
  </si>
  <si>
    <t>Yverdon-les-Bains,Maison Rouge</t>
  </si>
  <si>
    <t>46.77917193195635, 6.645375689803092</t>
  </si>
  <si>
    <t>Yverdon-les-Bains, Blancherie</t>
  </si>
  <si>
    <t>46.78371009028536, 6.623978610198653</t>
  </si>
  <si>
    <t>Yverdon-les-Bains, Les Pins</t>
  </si>
  <si>
    <t>46.768119113786355, 6.6553664183465955</t>
  </si>
  <si>
    <t>Yverdon-les-Bains, La Plaine</t>
  </si>
  <si>
    <t>46.77768623204902, 6.6429966167976096</t>
  </si>
  <si>
    <t>Yverdon-les-Bains, St-Georges</t>
  </si>
  <si>
    <t>bis 2018: Yverdon-les-Bains, St Georges</t>
  </si>
  <si>
    <t>46.78705482319017, 6.625129125825068</t>
  </si>
  <si>
    <t>Yverdon-les-Bains, Faïencerie</t>
  </si>
  <si>
    <t>46.76996499243171, 6.639547086194647</t>
  </si>
  <si>
    <t>Yverdon-les-Bains (bateau)</t>
  </si>
  <si>
    <t>46.78712248271042, 6.640678963364212</t>
  </si>
  <si>
    <t>Yverdon, chemin de la Chèvre</t>
  </si>
  <si>
    <t>46.75947946817609, 6.641437868664626</t>
  </si>
  <si>
    <t>Yverdon-les-Bains, Valentin</t>
  </si>
  <si>
    <t>46.77286289419151, 6.6404813340377045</t>
  </si>
  <si>
    <t>Yverdon, 4 Marronniers</t>
  </si>
  <si>
    <t>46.77559341860787, 6.648230568849452</t>
  </si>
  <si>
    <t>Yverdon, rue du Milieu</t>
  </si>
  <si>
    <t>46.77902464998827, 6.637041540909209</t>
  </si>
  <si>
    <t>Yvonand, Les Vursys</t>
  </si>
  <si>
    <t>Yvonand</t>
  </si>
  <si>
    <t>46.7882860134326, 6.730253975697026</t>
  </si>
  <si>
    <t>Yvonand, En Brit</t>
  </si>
  <si>
    <t>46.796122598182386, 6.743616344847029</t>
  </si>
  <si>
    <t>Yvonand, gare</t>
  </si>
  <si>
    <t>46.800740006309496, 6.74700194310743</t>
  </si>
  <si>
    <t>46.800875489175795, 6.746687333359221</t>
  </si>
  <si>
    <t>Yvonand, Sur Priales</t>
  </si>
  <si>
    <t>46.795548370480375, 6.754272996721999</t>
  </si>
  <si>
    <t>Yvonand, Grand'Rue</t>
  </si>
  <si>
    <t>46.79970319529425, 6.745142023602406</t>
  </si>
  <si>
    <t>Yvonand, dessus-du-village</t>
  </si>
  <si>
    <t>46.795245126307805, 6.748736146065065</t>
  </si>
  <si>
    <t>Yvonand, Les Vergers</t>
  </si>
  <si>
    <t>46.7986796605563, 6.743989374097616</t>
  </si>
  <si>
    <t>La Mauguettaz, croisée</t>
  </si>
  <si>
    <t>46.78148051680455, 6.71944831900283</t>
  </si>
  <si>
    <t>Versvey, Pl. Laiterie</t>
  </si>
  <si>
    <t>Yvorne</t>
  </si>
  <si>
    <t>46.3435772309575, 6.935985665013101</t>
  </si>
  <si>
    <t>Versvey, Les Fannes</t>
  </si>
  <si>
    <t>46.33992016471216, 6.932308037650051</t>
  </si>
  <si>
    <t>Yvorne, Les Rennauds</t>
  </si>
  <si>
    <t>46.331503707205634, 6.956337971561646</t>
  </si>
  <si>
    <t>Yvorne, Vers-Chenaux</t>
  </si>
  <si>
    <t>46.33629693630755, 6.964496149472788</t>
  </si>
  <si>
    <t>Versvey, village</t>
  </si>
  <si>
    <t>46.345606897311555, 6.934616707940303</t>
  </si>
  <si>
    <t>Yvorne, Clos de l'Ombren</t>
  </si>
  <si>
    <t>46.32928654824451, 6.955376393877632</t>
  </si>
  <si>
    <t>Yvorne, anc. poste</t>
  </si>
  <si>
    <t>46.32938418506042, 6.961414010987091</t>
  </si>
  <si>
    <t>Versvey, Lac Vernay/campings</t>
  </si>
  <si>
    <t>46.34618359940977, 6.940877965475064</t>
  </si>
  <si>
    <t>Yvorne, Vers Morey</t>
  </si>
  <si>
    <t>46.33331392615602, 6.963210566202125</t>
  </si>
  <si>
    <t>Yvorne, Socrettaz</t>
  </si>
  <si>
    <t>46.326496039789376, 6.9612966000753245</t>
  </si>
  <si>
    <t>Yvorne, Le Torrent</t>
  </si>
  <si>
    <t>46.331514817734565, 6.958966775076869</t>
  </si>
  <si>
    <t>Commune </t>
  </si>
  <si>
    <t>Prompt ia google</t>
  </si>
  <si>
    <t># donne moi simplement le nombre de commerce par commune pour cette liste</t>
  </si>
  <si>
    <t>Qualité</t>
  </si>
  <si>
    <t>IQA (Indice de Qualité de l'Air) : Indicateur numérique standardisé mesurant la concentration de polluants atmosphériques (particules fines, ozone, </t>
  </si>
  <si>
    <t>). Un score de 0 à 50 est considéré comme Bon (aucun risque). Plus l'indice est élevé, plus la pollution est importante.</t>
  </si>
  <si>
    <t>Source, prompt IA Google</t>
  </si>
  <si>
    <t>Bonne</t>
  </si>
  <si>
    <t>Excellente</t>
  </si>
  <si>
    <t>Bone</t>
  </si>
  <si>
    <t>Places de jeux</t>
  </si>
  <si>
    <t>Terrains de sport / Centres</t>
  </si>
  <si>
    <t>Prompt google ia</t>
  </si>
  <si>
    <t>Simplement , il me faut : le nombre de place de jeux, place de sport pour chacune de ces communes. Merci d'avance !</t>
  </si>
  <si>
    <t xml:space="preserve"> Adopté en</t>
  </si>
  <si>
    <t xml:space="preserve"> Valable jusqu'en</t>
  </si>
  <si>
    <t xml:space="preserve"> Impôt spécial affecté</t>
  </si>
  <si>
    <t xml:space="preserve"> Pour-cent total</t>
  </si>
  <si>
    <t xml:space="preserve"> Immeubles</t>
  </si>
  <si>
    <t xml:space="preserve"> Constr. non immatric. registre foncier</t>
  </si>
  <si>
    <t xml:space="preserve"> Impôt personnel fixe</t>
  </si>
  <si>
    <t xml:space="preserve"> Ventes, cessions, etc.</t>
  </si>
  <si>
    <t xml:space="preserve"> Ligne directe ascendante</t>
  </si>
  <si>
    <t xml:space="preserve"> Ligne directe descendante</t>
  </si>
  <si>
    <t xml:space="preserve"> Ligne collatérale</t>
  </si>
  <si>
    <t xml:space="preserve"> Entre non-parents</t>
  </si>
  <si>
    <t xml:space="preserve"> Impôt compl. s/immeubles soc. et fond.</t>
  </si>
  <si>
    <t xml:space="preserve"> * Chiens</t>
  </si>
  <si>
    <t xml:space="preserve"> * Impôt sur les divertissements</t>
  </si>
  <si>
    <t>1+2</t>
  </si>
  <si>
    <t>0/00</t>
  </si>
  <si>
    <t>Fr.</t>
  </si>
  <si>
    <t>ct.</t>
  </si>
  <si>
    <t>0/0</t>
  </si>
  <si>
    <t>DISTRICT D'AIGLE</t>
  </si>
  <si>
    <t>-</t>
  </si>
  <si>
    <t>2024</t>
  </si>
  <si>
    <t>2026</t>
  </si>
  <si>
    <t>75 cts</t>
  </si>
  <si>
    <t>2025</t>
  </si>
  <si>
    <t>2027</t>
  </si>
  <si>
    <t>Roche</t>
  </si>
  <si>
    <t>Villeneuve</t>
  </si>
  <si>
    <t>DISTRICT DE LA BROYE-VULLY</t>
  </si>
  <si>
    <t>1.0p/Fr</t>
  </si>
  <si>
    <t>Dompierre</t>
  </si>
  <si>
    <t>100 cts</t>
  </si>
  <si>
    <t>Treytorrens</t>
  </si>
  <si>
    <t>0.5p/Fr</t>
  </si>
  <si>
    <t>DISTRICT DU GROS-DE VAUD</t>
  </si>
  <si>
    <t>2023</t>
  </si>
  <si>
    <t>Mex</t>
  </si>
  <si>
    <t>Morrens</t>
  </si>
  <si>
    <t>0.80p/Fr</t>
  </si>
  <si>
    <t>DISTRICT DU JURA-NORD VAUDOIS</t>
  </si>
  <si>
    <t>20 cts</t>
  </si>
  <si>
    <t>2021</t>
  </si>
  <si>
    <t>Ependes</t>
  </si>
  <si>
    <t>Les Bioux (fraction) **</t>
  </si>
  <si>
    <t>Le Brassus (fraction)</t>
  </si>
  <si>
    <t>Le Sentier (fraction) **</t>
  </si>
  <si>
    <t>L'Orient (fraction)</t>
  </si>
  <si>
    <t>2022</t>
  </si>
  <si>
    <t>Onnens</t>
  </si>
  <si>
    <t>Orzens**</t>
  </si>
  <si>
    <t>0.65p/Fr</t>
  </si>
  <si>
    <t>0.72p/Fr</t>
  </si>
  <si>
    <t>DISTRICT DE LAUSANNE</t>
  </si>
  <si>
    <t>0.60p/Fr</t>
  </si>
  <si>
    <t>2029</t>
  </si>
  <si>
    <t>DISTRICT DE LAVAUX-ORON</t>
  </si>
  <si>
    <t>0.8p/Fr</t>
  </si>
  <si>
    <t>DISTRICT DE MORGES</t>
  </si>
  <si>
    <t>50 cts</t>
  </si>
  <si>
    <t>0.75p/Fr</t>
  </si>
  <si>
    <t xml:space="preserve">Hautemorges </t>
  </si>
  <si>
    <t>Lully</t>
  </si>
  <si>
    <t>Mollens</t>
  </si>
  <si>
    <t>0.50p/Fr</t>
  </si>
  <si>
    <t>1.50p/Fr</t>
  </si>
  <si>
    <t>DISTRICT DE NYON</t>
  </si>
  <si>
    <t>Crans</t>
  </si>
  <si>
    <t>10 cts</t>
  </si>
  <si>
    <t>DISTRICT DE L'OUEST LAUSANNOIS</t>
  </si>
  <si>
    <t>DISTRICT RIVIERA-PAYS D'ENHAUT</t>
  </si>
  <si>
    <t>Jongny**</t>
  </si>
  <si>
    <t>La Tour-de-Peilz**</t>
  </si>
  <si>
    <t>* Eventuelles exonérations, voir arrêté d'imposition</t>
  </si>
  <si>
    <t>** Ancien arrêté prorogé de plein droit (Art. 35 LICom)</t>
  </si>
  <si>
    <t>Logements vacants à vendre</t>
  </si>
  <si>
    <t>Maisons individuelles vacantes</t>
  </si>
  <si>
    <t>Logements vacants récents</t>
  </si>
  <si>
    <t>Aigle (district)</t>
  </si>
  <si>
    <t>Blonay -
Saint-Légier</t>
  </si>
  <si>
    <t>Broye-Vully (district)</t>
  </si>
  <si>
    <t>Gros-de-Vaud (district)</t>
  </si>
  <si>
    <t>Jura-Nord vaudois
(district)</t>
  </si>
  <si>
    <t>La Chaux
(Cossonay)</t>
  </si>
  <si>
    <t>Lausanne (district)</t>
  </si>
  <si>
    <t>Lavaux-Oron (district)</t>
  </si>
  <si>
    <t>Morges (district)</t>
  </si>
  <si>
    <t>Nyon (district)</t>
  </si>
  <si>
    <t>Ouest lausannois
(district)</t>
  </si>
  <si>
    <t>Riviera-Pays-d'Enhaut
(district)</t>
  </si>
  <si>
    <t>Source: OFS/StatVD (statistique annuelle des logements vacants)</t>
  </si>
  <si>
    <t>St-Saphorin
(Lavaux)</t>
  </si>
  <si>
    <t>A1</t>
  </si>
  <si>
    <t>BCV seule solution</t>
  </si>
  <si>
    <t>öv reporting</t>
  </si>
  <si>
    <t>OFS</t>
  </si>
  <si>
    <t>Prompt IA</t>
  </si>
  <si>
    <t>Site du canton de Vaud</t>
  </si>
  <si>
    <t>site du canton de Vaud</t>
  </si>
  <si>
    <t>Prix maisons</t>
  </si>
  <si>
    <t>Prix appartements</t>
  </si>
  <si>
    <t>Desserte transports publiques</t>
  </si>
  <si>
    <t>Offre commerces</t>
  </si>
  <si>
    <t>Offre de place de divertissements</t>
  </si>
  <si>
    <t>Disponibilité logements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</si>
</sst>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_ * #,##0_ ;_ * \-#,##0_ ;_ * &quot;-&quot;??_ ;_ @_ "/>
    <numFmt numFmtId="166" formatCode="_ * #,##0.0_ ;_ * \-#,##0.0_ ;_ * &quot;-&quot;??_ ;_ @_ "/>
    <numFmt numFmtId="167" formatCode="0.0"/>
    <numFmt numFmtId="168" formatCode="#,##0.00_ ;\-#,##0.00\ "/>
    <numFmt numFmtId="169" formatCode="#,##0.0_ ;\-#,##0.0\ "/>
    <numFmt numFmtId="170" formatCode="#,##0.0"/>
  </numFmts>
  <fonts count="24" x14ac:knownFonts="1">
    <font>
      <sz val="11"/>
      <color theme="1"/>
      <name val="Aptos Narrow"/>
      <family val="2"/>
      <scheme val="minor"/>
    </font>
    <font>
      <sz val="11"/>
      <color rgb="FF2C2E33"/>
      <name val="Aptos Narrow"/>
      <family val="2"/>
      <scheme val="minor"/>
    </font>
    <font>
      <u/>
      <sz val="11"/>
      <color theme="10"/>
      <name val="Aptos Narrow"/>
      <family val="2"/>
      <scheme val="minor"/>
    </font>
    <font>
      <sz val="11"/>
      <color rgb="FF1F2937"/>
      <name val="Aptos Narrow"/>
      <family val="2"/>
      <scheme val="minor"/>
    </font>
    <font>
      <sz val="11"/>
      <name val="Aptos Narrow"/>
      <family val="2"/>
      <scheme val="minor"/>
    </font>
    <font>
      <sz val="12"/>
      <color theme="1"/>
      <name val="Times New Roman"/>
      <family val="1"/>
    </font>
    <font>
      <sz val="9"/>
      <name val="Arial"/>
      <family val="2"/>
    </font>
    <font>
      <sz val="9"/>
      <color rgb="FF5D5D5D"/>
      <name val="Arial"/>
      <family val="2"/>
    </font>
    <font>
      <sz val="12"/>
      <color rgb="FF0A0A0A"/>
      <name val="Arial"/>
      <family val="2"/>
    </font>
    <font>
      <sz val="12.65"/>
      <color rgb="FF0A0A0A"/>
      <name val="Arial"/>
      <family val="2"/>
    </font>
    <font>
      <b/>
      <sz val="12"/>
      <color rgb="FF0A0A0A"/>
      <name val="Arial"/>
      <family val="2"/>
    </font>
    <font>
      <b/>
      <sz val="10"/>
      <name val="Arial"/>
      <family val="2"/>
    </font>
    <font>
      <sz val="10"/>
      <color rgb="FF000000"/>
      <name val="Arial"/>
      <family val="2"/>
    </font>
    <font>
      <sz val="11"/>
      <color theme="1"/>
      <name val="Arial"/>
      <family val="2"/>
    </font>
    <font>
      <b/>
      <sz val="11"/>
      <color theme="1"/>
      <name val="Aptos Narrow"/>
      <family val="2"/>
      <scheme val="minor"/>
    </font>
    <font>
      <b/>
      <sz val="11"/>
      <name val="Aptos Narrow"/>
      <family val="2"/>
      <scheme val="minor"/>
    </font>
    <font>
      <sz val="11"/>
      <color theme="1"/>
      <name val="Calibri"/>
      <family val="2"/>
    </font>
    <font>
      <sz val="11"/>
      <color indexed="8"/>
      <name val="Calibri"/>
      <family val="2"/>
    </font>
    <font>
      <sz val="9"/>
      <color theme="1"/>
      <name val="Arial"/>
      <family val="2"/>
    </font>
    <font>
      <sz val="8"/>
      <name val="Helvetica"/>
      <family val="2"/>
    </font>
    <font>
      <b/>
      <sz val="8"/>
      <color indexed="8"/>
      <name val="Helvetica"/>
      <family val="2"/>
    </font>
    <font>
      <sz val="8"/>
      <color indexed="8"/>
      <name val="Helvetica"/>
      <family val="2"/>
    </font>
    <font>
      <b/>
      <sz val="7.5"/>
      <color indexed="8"/>
      <name val="MS Sans Serif"/>
      <family val="2"/>
    </font>
    <font>
      <b/>
      <sz val="8.5"/>
      <color indexed="8"/>
      <name val="MS Sans Serif"/>
      <family val="2"/>
    </font>
  </fonts>
  <fills count="6">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00B0F0"/>
        <bgColor indexed="64"/>
      </patternFill>
    </fill>
    <fill>
      <patternFill patternType="solid">
        <fgColor indexed="9"/>
        <bgColor indexed="64"/>
      </patternFill>
    </fill>
  </fills>
  <borders count="22">
    <border>
      <left/>
      <right/>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thin">
        <color indexed="8"/>
      </bottom>
      <diagonal/>
    </border>
    <border>
      <left/>
      <right style="thin">
        <color indexed="8"/>
      </right>
      <top/>
      <bottom style="thin">
        <color indexed="8"/>
      </bottom>
      <diagonal/>
    </border>
    <border>
      <left style="medium">
        <color indexed="64"/>
      </left>
      <right style="thin">
        <color indexed="8"/>
      </right>
      <top/>
      <bottom style="thin">
        <color indexed="8"/>
      </bottom>
      <diagonal/>
    </border>
    <border>
      <left/>
      <right style="thin">
        <color indexed="8"/>
      </right>
      <top/>
      <bottom/>
      <diagonal/>
    </border>
    <border>
      <left style="medium">
        <color indexed="64"/>
      </left>
      <right style="thin">
        <color indexed="8"/>
      </right>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0" fontId="16" fillId="0" borderId="0"/>
    <xf numFmtId="164" fontId="17" fillId="0" borderId="0"/>
    <xf numFmtId="0" fontId="19" fillId="0" borderId="1">
      <alignment horizontal="center" textRotation="90"/>
    </xf>
  </cellStyleXfs>
  <cellXfs count="88">
    <xf numFmtId="0" fontId="0" fillId="0" borderId="0" xfId="0"/>
    <xf numFmtId="0" fontId="0" fillId="2" borderId="0" xfId="0" applyFill="1"/>
    <xf numFmtId="0" fontId="1" fillId="2" borderId="0" xfId="0" applyFont="1" applyFill="1"/>
    <xf numFmtId="0" fontId="4" fillId="2" borderId="0" xfId="0" applyFont="1" applyFill="1"/>
    <xf numFmtId="0" fontId="2" fillId="2" borderId="0" xfId="1" applyFill="1"/>
    <xf numFmtId="0" fontId="3" fillId="2" borderId="0" xfId="0" applyFont="1" applyFill="1"/>
    <xf numFmtId="0" fontId="5" fillId="2" borderId="0" xfId="0" applyFont="1" applyFill="1"/>
    <xf numFmtId="0" fontId="4" fillId="3" borderId="0" xfId="0" applyFont="1" applyFill="1"/>
    <xf numFmtId="0" fontId="7" fillId="0" borderId="0" xfId="0" applyFont="1"/>
    <xf numFmtId="0" fontId="8" fillId="0" borderId="0" xfId="0" applyFont="1"/>
    <xf numFmtId="0" fontId="10" fillId="0" borderId="0" xfId="0" applyFont="1"/>
    <xf numFmtId="0" fontId="9" fillId="0" borderId="0" xfId="0" applyFont="1" applyAlignment="1">
      <alignment vertical="center" wrapText="1" readingOrder="1"/>
    </xf>
    <xf numFmtId="0" fontId="12" fillId="0" borderId="0" xfId="0" applyFont="1"/>
    <xf numFmtId="0" fontId="0" fillId="0" borderId="0" xfId="0" applyAlignment="1">
      <alignment wrapText="1"/>
    </xf>
    <xf numFmtId="0" fontId="13" fillId="0" borderId="0" xfId="0" applyFont="1"/>
    <xf numFmtId="0" fontId="14" fillId="0" borderId="0" xfId="0" applyFont="1" applyAlignment="1">
      <alignment horizontal="center" vertical="center"/>
    </xf>
    <xf numFmtId="0" fontId="14" fillId="0" borderId="0" xfId="0" applyFont="1"/>
    <xf numFmtId="0" fontId="14" fillId="0" borderId="11" xfId="0" applyFont="1" applyBorder="1" applyAlignment="1">
      <alignment horizontal="center" vertical="center"/>
    </xf>
    <xf numFmtId="0" fontId="0" fillId="0" borderId="0" xfId="0" applyAlignment="1">
      <alignment horizontal="left" vertical="center"/>
    </xf>
    <xf numFmtId="0" fontId="0" fillId="0" borderId="0" xfId="0" applyAlignment="1">
      <alignment horizontal="right" vertical="center" textRotation="113"/>
    </xf>
    <xf numFmtId="0" fontId="0" fillId="0" borderId="11" xfId="0" applyBorder="1" applyAlignment="1">
      <alignment horizontal="center" vertical="center"/>
    </xf>
    <xf numFmtId="0" fontId="16" fillId="0" borderId="0" xfId="2"/>
    <xf numFmtId="0" fontId="16" fillId="0" borderId="12" xfId="2" applyBorder="1"/>
    <xf numFmtId="0" fontId="16" fillId="0" borderId="13" xfId="2" applyBorder="1"/>
    <xf numFmtId="0" fontId="16" fillId="0" borderId="14" xfId="2" applyBorder="1"/>
    <xf numFmtId="0" fontId="6" fillId="0" borderId="9" xfId="2" applyFont="1" applyBorder="1"/>
    <xf numFmtId="0" fontId="6" fillId="0" borderId="0" xfId="2" applyFont="1"/>
    <xf numFmtId="0" fontId="6" fillId="0" borderId="15" xfId="2" applyFont="1" applyBorder="1"/>
    <xf numFmtId="0" fontId="6" fillId="0" borderId="16" xfId="2" applyFont="1" applyBorder="1"/>
    <xf numFmtId="0" fontId="6" fillId="0" borderId="17" xfId="2" applyFont="1" applyBorder="1"/>
    <xf numFmtId="164" fontId="6" fillId="0" borderId="9" xfId="3" applyFont="1" applyBorder="1" applyAlignment="1">
      <alignment horizontal="center" vertical="center"/>
    </xf>
    <xf numFmtId="164" fontId="6" fillId="0" borderId="18" xfId="3" applyFont="1" applyBorder="1" applyAlignment="1">
      <alignment horizontal="center" vertical="center"/>
    </xf>
    <xf numFmtId="165" fontId="6" fillId="0" borderId="18" xfId="3" applyNumberFormat="1" applyFont="1" applyBorder="1" applyAlignment="1">
      <alignment horizontal="center" vertical="center"/>
    </xf>
    <xf numFmtId="166" fontId="6" fillId="0" borderId="18" xfId="3" applyNumberFormat="1" applyFont="1" applyBorder="1" applyAlignment="1">
      <alignment horizontal="center" vertical="center"/>
    </xf>
    <xf numFmtId="166" fontId="6" fillId="0" borderId="18" xfId="3" applyNumberFormat="1" applyFont="1" applyBorder="1" applyAlignment="1">
      <alignment vertical="center"/>
    </xf>
    <xf numFmtId="0" fontId="6" fillId="0" borderId="18" xfId="2" applyFont="1" applyBorder="1" applyAlignment="1">
      <alignment horizontal="center" vertical="center"/>
    </xf>
    <xf numFmtId="0" fontId="6" fillId="0" borderId="19" xfId="2" applyFont="1" applyBorder="1" applyAlignment="1">
      <alignment horizontal="left" vertical="center"/>
    </xf>
    <xf numFmtId="164" fontId="6" fillId="0" borderId="9" xfId="3" applyFont="1" applyBorder="1" applyAlignment="1">
      <alignment horizontal="left"/>
    </xf>
    <xf numFmtId="164" fontId="6" fillId="0" borderId="18" xfId="3" applyFont="1" applyBorder="1" applyAlignment="1">
      <alignment horizontal="center"/>
    </xf>
    <xf numFmtId="0" fontId="6" fillId="0" borderId="18" xfId="2" applyFont="1" applyBorder="1" applyAlignment="1">
      <alignment horizontal="center"/>
    </xf>
    <xf numFmtId="165" fontId="6" fillId="0" borderId="18" xfId="3" applyNumberFormat="1" applyFont="1" applyBorder="1" applyAlignment="1">
      <alignment horizontal="center"/>
    </xf>
    <xf numFmtId="164" fontId="6" fillId="0" borderId="18" xfId="3" applyFont="1" applyBorder="1" applyAlignment="1">
      <alignment horizontal="left"/>
    </xf>
    <xf numFmtId="166" fontId="6" fillId="0" borderId="18" xfId="2" applyNumberFormat="1" applyFont="1" applyBorder="1" applyAlignment="1">
      <alignment horizontal="left"/>
    </xf>
    <xf numFmtId="166" fontId="6" fillId="0" borderId="18" xfId="3" applyNumberFormat="1" applyFont="1" applyBorder="1" applyAlignment="1">
      <alignment horizontal="center"/>
    </xf>
    <xf numFmtId="166" fontId="6" fillId="0" borderId="18" xfId="3" applyNumberFormat="1" applyFont="1" applyBorder="1" applyAlignment="1">
      <alignment horizontal="left"/>
    </xf>
    <xf numFmtId="0" fontId="6" fillId="0" borderId="18" xfId="2" applyFont="1" applyBorder="1" applyAlignment="1">
      <alignment horizontal="left"/>
    </xf>
    <xf numFmtId="0" fontId="6" fillId="0" borderId="9" xfId="2" applyFont="1" applyBorder="1" applyAlignment="1">
      <alignment horizontal="center" vertical="center"/>
    </xf>
    <xf numFmtId="0" fontId="11" fillId="0" borderId="19" xfId="2" applyFont="1" applyBorder="1"/>
    <xf numFmtId="0" fontId="6" fillId="0" borderId="19" xfId="2" applyFont="1" applyBorder="1" applyAlignment="1">
      <alignment horizontal="center" vertical="center"/>
    </xf>
    <xf numFmtId="166" fontId="6" fillId="0" borderId="9" xfId="3" applyNumberFormat="1" applyFont="1" applyBorder="1" applyAlignment="1">
      <alignment horizontal="center" vertical="center"/>
    </xf>
    <xf numFmtId="166" fontId="6" fillId="0" borderId="9" xfId="3" applyNumberFormat="1" applyFont="1" applyBorder="1" applyAlignment="1">
      <alignment horizontal="left"/>
    </xf>
    <xf numFmtId="0" fontId="6" fillId="0" borderId="19" xfId="2" applyFont="1" applyBorder="1" applyAlignment="1">
      <alignment horizontal="left"/>
    </xf>
    <xf numFmtId="166" fontId="6" fillId="0" borderId="1" xfId="3" applyNumberFormat="1" applyFont="1" applyBorder="1" applyAlignment="1">
      <alignment horizontal="center" vertical="center"/>
    </xf>
    <xf numFmtId="166" fontId="6" fillId="0" borderId="1" xfId="2" applyNumberFormat="1" applyFont="1" applyBorder="1" applyAlignment="1">
      <alignment horizontal="left"/>
    </xf>
    <xf numFmtId="166" fontId="6" fillId="0" borderId="9" xfId="3" applyNumberFormat="1" applyFont="1" applyBorder="1" applyAlignment="1">
      <alignment horizontal="center"/>
    </xf>
    <xf numFmtId="167" fontId="18" fillId="0" borderId="1" xfId="2" applyNumberFormat="1" applyFont="1" applyBorder="1" applyAlignment="1">
      <alignment horizontal="center"/>
    </xf>
    <xf numFmtId="1" fontId="6" fillId="0" borderId="18" xfId="2" applyNumberFormat="1" applyFont="1" applyBorder="1" applyAlignment="1">
      <alignment horizontal="center"/>
    </xf>
    <xf numFmtId="168" fontId="6" fillId="0" borderId="18" xfId="3" applyNumberFormat="1" applyFont="1" applyBorder="1" applyAlignment="1">
      <alignment horizontal="center"/>
    </xf>
    <xf numFmtId="167" fontId="18" fillId="0" borderId="18" xfId="2" applyNumberFormat="1" applyFont="1" applyBorder="1" applyAlignment="1">
      <alignment horizontal="center"/>
    </xf>
    <xf numFmtId="169" fontId="6" fillId="0" borderId="18" xfId="3" applyNumberFormat="1" applyFont="1" applyBorder="1" applyAlignment="1">
      <alignment horizontal="center"/>
    </xf>
    <xf numFmtId="167" fontId="6" fillId="0" borderId="18" xfId="3" applyNumberFormat="1" applyFont="1" applyBorder="1" applyAlignment="1">
      <alignment horizontal="center"/>
    </xf>
    <xf numFmtId="167" fontId="6" fillId="0" borderId="18" xfId="2" applyNumberFormat="1" applyFont="1" applyBorder="1" applyAlignment="1">
      <alignment horizontal="center"/>
    </xf>
    <xf numFmtId="170" fontId="6" fillId="0" borderId="18" xfId="2" applyNumberFormat="1" applyFont="1" applyBorder="1" applyAlignment="1">
      <alignment horizontal="center"/>
    </xf>
    <xf numFmtId="164" fontId="6" fillId="0" borderId="18" xfId="3" applyFont="1" applyBorder="1"/>
    <xf numFmtId="0" fontId="20" fillId="5" borderId="8" xfId="4" applyFont="1" applyFill="1" applyBorder="1" applyAlignment="1">
      <alignment horizontal="center"/>
    </xf>
    <xf numFmtId="0" fontId="20" fillId="5" borderId="6" xfId="4" applyFont="1" applyFill="1" applyBorder="1" applyAlignment="1">
      <alignment horizontal="center"/>
    </xf>
    <xf numFmtId="0" fontId="20" fillId="5" borderId="7" xfId="4" applyFont="1" applyFill="1" applyBorder="1" applyAlignment="1">
      <alignment horizontal="center"/>
    </xf>
    <xf numFmtId="1" fontId="20" fillId="5" borderId="6" xfId="4" applyNumberFormat="1" applyFont="1" applyFill="1" applyBorder="1" applyAlignment="1">
      <alignment horizontal="center"/>
    </xf>
    <xf numFmtId="167" fontId="20" fillId="5" borderId="6" xfId="4" applyNumberFormat="1" applyFont="1" applyFill="1" applyBorder="1" applyAlignment="1">
      <alignment horizontal="center"/>
    </xf>
    <xf numFmtId="49" fontId="20" fillId="5" borderId="6" xfId="4" applyNumberFormat="1" applyFont="1" applyFill="1" applyBorder="1" applyAlignment="1">
      <alignment horizontal="center"/>
    </xf>
    <xf numFmtId="0" fontId="21" fillId="5" borderId="7" xfId="4" applyFont="1" applyFill="1" applyBorder="1" applyAlignment="1">
      <alignment horizontal="center"/>
    </xf>
    <xf numFmtId="0" fontId="21" fillId="5" borderId="6" xfId="4" applyFont="1" applyFill="1" applyBorder="1" applyAlignment="1">
      <alignment horizontal="center"/>
    </xf>
    <xf numFmtId="0" fontId="21" fillId="5" borderId="5" xfId="4" applyFont="1" applyFill="1" applyBorder="1" applyAlignment="1">
      <alignment horizontal="left"/>
    </xf>
    <xf numFmtId="0" fontId="22" fillId="5" borderId="20" xfId="4" applyFont="1" applyFill="1" applyBorder="1">
      <alignment horizontal="center" textRotation="90"/>
    </xf>
    <xf numFmtId="0" fontId="22" fillId="5" borderId="4" xfId="4" applyFont="1" applyFill="1" applyBorder="1">
      <alignment horizontal="center" textRotation="90"/>
    </xf>
    <xf numFmtId="0" fontId="22" fillId="5" borderId="11" xfId="4" applyFont="1" applyFill="1" applyBorder="1">
      <alignment horizontal="center" textRotation="90"/>
    </xf>
    <xf numFmtId="0" fontId="22" fillId="5" borderId="2" xfId="4" applyFont="1" applyFill="1" applyBorder="1">
      <alignment horizontal="center" textRotation="90"/>
    </xf>
    <xf numFmtId="0" fontId="22" fillId="5" borderId="10" xfId="4" applyFont="1" applyFill="1" applyBorder="1">
      <alignment horizontal="center" textRotation="90"/>
    </xf>
    <xf numFmtId="1" fontId="22" fillId="5" borderId="4" xfId="4" applyNumberFormat="1" applyFont="1" applyFill="1" applyBorder="1">
      <alignment horizontal="center" textRotation="90"/>
    </xf>
    <xf numFmtId="167" fontId="22" fillId="5" borderId="21" xfId="4" applyNumberFormat="1" applyFont="1" applyFill="1" applyBorder="1">
      <alignment horizontal="center" textRotation="90"/>
    </xf>
    <xf numFmtId="167" fontId="22" fillId="5" borderId="4" xfId="4" applyNumberFormat="1" applyFont="1" applyFill="1" applyBorder="1">
      <alignment horizontal="center" textRotation="90"/>
    </xf>
    <xf numFmtId="167" fontId="22" fillId="5" borderId="4" xfId="4" applyNumberFormat="1" applyFont="1" applyFill="1" applyBorder="1" applyAlignment="1">
      <alignment horizontal="center" textRotation="90" wrapText="1"/>
    </xf>
    <xf numFmtId="0" fontId="23" fillId="5" borderId="3" xfId="4" applyFont="1" applyFill="1" applyBorder="1" applyAlignment="1">
      <alignment horizontal="center" vertical="center"/>
    </xf>
    <xf numFmtId="0" fontId="13" fillId="0" borderId="13" xfId="0" applyFont="1" applyBorder="1"/>
    <xf numFmtId="0" fontId="0" fillId="0" borderId="13" xfId="0" applyBorder="1"/>
    <xf numFmtId="0" fontId="0" fillId="0" borderId="0" xfId="0" applyAlignment="1">
      <alignment horizontal="center" vertical="center"/>
    </xf>
    <xf numFmtId="0" fontId="13" fillId="3" borderId="0" xfId="0" applyFont="1" applyFill="1"/>
    <xf numFmtId="49" fontId="15" fillId="4" borderId="0" xfId="0" applyNumberFormat="1" applyFont="1" applyFill="1"/>
  </cellXfs>
  <cellStyles count="5">
    <cellStyle name="Lien hypertexte" xfId="1" builtinId="8"/>
    <cellStyle name="Milliers 3" xfId="3" xr:uid="{00000000-0005-0000-0000-000003000000}"/>
    <cellStyle name="Normal" xfId="0" builtinId="0"/>
    <cellStyle name="Normal 2" xfId="2" xr:uid="{00000000-0005-0000-0000-000002000000}"/>
    <cellStyle name="Normal 2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5</xdr:col>
      <xdr:colOff>9525</xdr:colOff>
      <xdr:row>20</xdr:row>
      <xdr:rowOff>9525</xdr:rowOff>
    </xdr:to>
    <xdr:pic>
      <xdr:nvPicPr>
        <xdr:cNvPr id="2" name="Imag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048125" y="190500"/>
          <a:ext cx="9525" cy="9525"/>
        </a:xfrm>
        <a:prstGeom prst="rect">
          <a:avLst/>
        </a:prstGeom>
        <a:noFill/>
        <a:ln>
          <a:prstDash val="solid"/>
        </a:ln>
      </xdr:spPr>
    </xdr:pic>
    <xdr:clientData/>
  </xdr:twoCellAnchor>
  <xdr:twoCellAnchor editAs="oneCell">
    <xdr:from>
      <xdr:col>5</xdr:col>
      <xdr:colOff>0</xdr:colOff>
      <xdr:row>20</xdr:row>
      <xdr:rowOff>0</xdr:rowOff>
    </xdr:from>
    <xdr:to>
      <xdr:col>5</xdr:col>
      <xdr:colOff>9525</xdr:colOff>
      <xdr:row>20</xdr:row>
      <xdr:rowOff>9525</xdr:rowOff>
    </xdr:to>
    <xdr:pic>
      <xdr:nvPicPr>
        <xdr:cNvPr id="3" name="Imag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048125" y="190500"/>
          <a:ext cx="9525" cy="9525"/>
        </a:xfrm>
        <a:prstGeom prst="rect">
          <a:avLst/>
        </a:prstGeom>
        <a:noFill/>
        <a:ln>
          <a:prstDash val="soli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zefix.ch/fr/search/entity/list?registryOffice=550&amp;legalForms=1&amp;searchTypeExact=true" TargetMode="External"/><Relationship Id="rId7" Type="http://schemas.openxmlformats.org/officeDocument/2006/relationships/hyperlink" Target="https://view.officeapps.live.com/op/view.aspx?src=https%3A%2F%2Fwww.vd.ch%2Ffileadmin%2Fuser_upload%2Forganisation%2Fdfin%2Fstatvd%2FDom_09%2FTableaux%2FCommunes_Logvac.xlsx&amp;wdOrigin=BROWSELINK" TargetMode="External"/><Relationship Id="rId2" Type="http://schemas.openxmlformats.org/officeDocument/2006/relationships/hyperlink" Target="https://data.oev-info.ch/explore/dataset/stop-points-today/table/?disjunctive.cantonabbreviation&amp;disjunctive.localityname&amp;disjunctive.businessorganisation&amp;disjunctive.businessorganisationnumber&amp;disjunctive.businessorganisationabbreviationde&amp;disjunctive.businessorganisationdescriptionde&amp;disjunctive.status&amp;disjunctive.moyen_de_transport&amp;disjunctive.isocountrycode" TargetMode="External"/><Relationship Id="rId1" Type="http://schemas.openxmlformats.org/officeDocument/2006/relationships/hyperlink" Target="https://www.bcv.ch/pointsforts/dans-le-canton/bcv-immobilier/les-prix-de-l-immobilier-par-commune-et-par-district-vaudois2.html" TargetMode="External"/><Relationship Id="rId6" Type="http://schemas.openxmlformats.org/officeDocument/2006/relationships/hyperlink" Target="https://www.vd.ch/etat-droit-finances/communes/finances-communales/arretes-dimposition-et-tableaux-des-impots-communaux" TargetMode="External"/><Relationship Id="rId5" Type="http://schemas.openxmlformats.org/officeDocument/2006/relationships/hyperlink" Target="https://www.bfs.admin.ch/bfs/fr/home/actualites/quoi-de-neuf.gnpdetail.2024-0551.html" TargetMode="External"/><Relationship Id="rId4" Type="http://schemas.openxmlformats.org/officeDocument/2006/relationships/hyperlink" Target="https://www.lausanne.ch/portrait/carte-identite/environnement/qualite-de-l-air.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8"/>
  <sheetViews>
    <sheetView tabSelected="1" workbookViewId="0">
      <selection activeCell="I8" sqref="I8"/>
    </sheetView>
  </sheetViews>
  <sheetFormatPr baseColWidth="10" defaultColWidth="11.42578125" defaultRowHeight="15" x14ac:dyDescent="0.25"/>
  <cols>
    <col min="1" max="1" width="24.7109375" customWidth="1"/>
    <col min="2" max="4" width="25.7109375" customWidth="1"/>
    <col min="5" max="5" width="30.42578125" customWidth="1"/>
    <col min="6" max="10" width="25.7109375" customWidth="1"/>
  </cols>
  <sheetData>
    <row r="1" spans="1:37" ht="24" customHeight="1" x14ac:dyDescent="0.25">
      <c r="A1" s="87" t="str">
        <f ca="1">VLOOKUP(LARGE(K$48:K$77, L1),K$48:L$77,2,FALSE)</f>
        <v>Denges</v>
      </c>
      <c r="D1" s="18"/>
      <c r="L1">
        <v>1</v>
      </c>
    </row>
    <row r="2" spans="1:37" x14ac:dyDescent="0.25">
      <c r="A2" s="87" t="str">
        <f ca="1">VLOOKUP(LARGE(K$48:K$77, L2),K$48:L$77,2,FALSE)</f>
        <v>Forel (Lavaux)</v>
      </c>
      <c r="L2">
        <v>2</v>
      </c>
    </row>
    <row r="3" spans="1:37" x14ac:dyDescent="0.25">
      <c r="A3" s="87" t="str">
        <f ca="1">VLOOKUP(LARGE(K$48:K$77, L3),K$48:L$77,2,FALSE)</f>
        <v>Savigny</v>
      </c>
      <c r="L3">
        <v>3</v>
      </c>
    </row>
    <row r="4" spans="1:37" x14ac:dyDescent="0.25">
      <c r="A4" s="87" t="str">
        <f ca="1">VLOOKUP(LARGE(K$48:K$77, L4),K$48:L$77,2,FALSE)</f>
        <v>Belmont-sur-Lausanne</v>
      </c>
      <c r="L4">
        <v>4</v>
      </c>
    </row>
    <row r="5" spans="1:37" x14ac:dyDescent="0.25">
      <c r="A5" s="87" t="str">
        <f ca="1">VLOOKUP(LARGE(K$48:K$77, L5),K$48:L$77,2,FALSE)</f>
        <v>Etagnières</v>
      </c>
      <c r="B5" t="s">
        <v>6562</v>
      </c>
      <c r="C5" t="s">
        <v>6562</v>
      </c>
      <c r="D5" t="s">
        <v>6563</v>
      </c>
      <c r="E5" t="s">
        <v>6564</v>
      </c>
      <c r="F5" t="s">
        <v>6565</v>
      </c>
      <c r="G5" t="s">
        <v>6565</v>
      </c>
      <c r="H5" t="s">
        <v>6566</v>
      </c>
      <c r="I5" t="s">
        <v>6567</v>
      </c>
      <c r="L5">
        <v>5</v>
      </c>
    </row>
    <row r="6" spans="1:37" ht="24" customHeight="1" x14ac:dyDescent="0.25">
      <c r="B6" s="15" t="s">
        <v>6</v>
      </c>
      <c r="C6" s="15" t="s">
        <v>6561</v>
      </c>
      <c r="D6" s="15" t="s">
        <v>9</v>
      </c>
      <c r="E6" s="15" t="s">
        <v>19</v>
      </c>
      <c r="F6" s="15" t="s">
        <v>23</v>
      </c>
      <c r="G6" s="15" t="s">
        <v>27</v>
      </c>
      <c r="H6" s="15" t="s">
        <v>30</v>
      </c>
      <c r="I6" s="15" t="s">
        <v>34</v>
      </c>
      <c r="J6" s="15"/>
      <c r="L6">
        <v>6</v>
      </c>
    </row>
    <row r="7" spans="1:37" ht="33" customHeight="1" x14ac:dyDescent="0.25">
      <c r="A7" s="19"/>
      <c r="B7" s="15" t="s">
        <v>6568</v>
      </c>
      <c r="C7" s="15" t="s">
        <v>6569</v>
      </c>
      <c r="D7" s="15" t="s">
        <v>6570</v>
      </c>
      <c r="E7" s="15" t="s">
        <v>6571</v>
      </c>
      <c r="F7" s="15" t="s">
        <v>0</v>
      </c>
      <c r="G7" s="15" t="s">
        <v>6572</v>
      </c>
      <c r="H7" s="15" t="s">
        <v>1</v>
      </c>
      <c r="I7" s="15" t="s">
        <v>6573</v>
      </c>
      <c r="J7" s="15"/>
      <c r="K7" s="14"/>
      <c r="L7">
        <v>7</v>
      </c>
      <c r="N7" s="14"/>
      <c r="O7" s="14"/>
      <c r="P7" s="14"/>
      <c r="Q7" s="14"/>
      <c r="R7" s="14"/>
      <c r="S7" s="14"/>
      <c r="T7" s="14"/>
      <c r="U7" s="14"/>
      <c r="V7" s="14"/>
      <c r="W7" s="14"/>
      <c r="X7" s="14"/>
      <c r="Y7" s="14"/>
      <c r="Z7" s="14"/>
      <c r="AA7" s="14"/>
      <c r="AB7" s="14"/>
      <c r="AC7" s="14"/>
      <c r="AD7" s="14"/>
      <c r="AE7" s="14"/>
      <c r="AF7" s="14"/>
      <c r="AG7" s="14"/>
      <c r="AH7" s="14"/>
      <c r="AI7" s="14"/>
      <c r="AJ7" s="14"/>
      <c r="AK7" s="14"/>
    </row>
    <row r="8" spans="1:37" ht="24.95" customHeight="1" x14ac:dyDescent="0.25">
      <c r="A8" s="15"/>
      <c r="B8" s="17">
        <v>5</v>
      </c>
      <c r="C8" s="17">
        <v>5</v>
      </c>
      <c r="D8" s="17">
        <v>7</v>
      </c>
      <c r="E8" s="17">
        <v>3</v>
      </c>
      <c r="F8" s="17">
        <v>4</v>
      </c>
      <c r="G8" s="17">
        <v>8</v>
      </c>
      <c r="H8" s="17">
        <v>5</v>
      </c>
      <c r="I8" s="17">
        <v>5</v>
      </c>
      <c r="J8" s="15"/>
      <c r="L8">
        <v>8</v>
      </c>
      <c r="O8" t="s">
        <v>2</v>
      </c>
      <c r="P8" t="s">
        <v>3</v>
      </c>
      <c r="Q8" t="s">
        <v>4</v>
      </c>
    </row>
    <row r="9" spans="1:37" x14ac:dyDescent="0.25">
      <c r="A9" s="16"/>
      <c r="D9" s="20">
        <v>1</v>
      </c>
      <c r="L9">
        <v>9</v>
      </c>
      <c r="N9">
        <v>1</v>
      </c>
      <c r="O9" s="3" t="s">
        <v>5</v>
      </c>
      <c r="P9" s="7" t="s">
        <v>6</v>
      </c>
      <c r="Q9" s="4" t="s">
        <v>7</v>
      </c>
    </row>
    <row r="10" spans="1:37" x14ac:dyDescent="0.25">
      <c r="A10" s="16"/>
      <c r="D10" s="20">
        <v>2</v>
      </c>
      <c r="L10">
        <v>10</v>
      </c>
      <c r="N10">
        <v>2</v>
      </c>
      <c r="O10" s="3" t="s">
        <v>8</v>
      </c>
      <c r="P10" s="7" t="s">
        <v>9</v>
      </c>
      <c r="Q10" s="3" t="s">
        <v>10</v>
      </c>
      <c r="R10" s="3"/>
    </row>
    <row r="11" spans="1:37" ht="30" customHeight="1" x14ac:dyDescent="0.25">
      <c r="A11" s="16"/>
      <c r="B11" s="14" t="s">
        <v>11</v>
      </c>
      <c r="C11" s="14" t="s">
        <v>12</v>
      </c>
      <c r="E11" s="13" t="s">
        <v>13</v>
      </c>
      <c r="F11" t="s">
        <v>14</v>
      </c>
      <c r="G11" t="s">
        <v>15</v>
      </c>
      <c r="H11" t="s">
        <v>16</v>
      </c>
      <c r="I11" t="s">
        <v>17</v>
      </c>
      <c r="N11">
        <v>3</v>
      </c>
      <c r="O11" s="3" t="s">
        <v>18</v>
      </c>
      <c r="P11" s="7" t="s">
        <v>19</v>
      </c>
      <c r="Q11" s="3" t="s">
        <v>20</v>
      </c>
    </row>
    <row r="12" spans="1:37" x14ac:dyDescent="0.25">
      <c r="B12" s="14" t="s">
        <v>21</v>
      </c>
      <c r="C12" s="14" t="s">
        <v>22</v>
      </c>
      <c r="N12">
        <v>4</v>
      </c>
      <c r="O12" s="1" t="s">
        <v>0</v>
      </c>
      <c r="P12" s="7" t="s">
        <v>23</v>
      </c>
      <c r="Q12" s="4" t="s">
        <v>24</v>
      </c>
    </row>
    <row r="13" spans="1:37" ht="15.75" customHeight="1" x14ac:dyDescent="0.25">
      <c r="A13" s="16" t="s">
        <v>25</v>
      </c>
      <c r="N13">
        <v>5</v>
      </c>
      <c r="O13" s="6" t="s">
        <v>26</v>
      </c>
      <c r="P13" s="7" t="s">
        <v>27</v>
      </c>
      <c r="Q13" s="1"/>
    </row>
    <row r="14" spans="1:37" x14ac:dyDescent="0.25">
      <c r="A14" s="14" t="s">
        <v>28</v>
      </c>
      <c r="B14" s="14">
        <f ca="1">(INDEX(A!A:E,MATCH(Cockpit!$A14,A!A:A,0),MATCH(B$11,INDIRECT(B$6 &amp; "!1:1"),0))+INDEX(INDIRECT(B$6 &amp; "!A:G"),MATCH(Cockpit!$A14,INDIRECT(B$6 &amp; "!A:A"),0),MATCH(B$12,INDIRECT(B$6 &amp; "!1:1"),0)))/2</f>
        <v>900000</v>
      </c>
      <c r="C14" s="14">
        <f ca="1">(INDEX(INDIRECT(C$6 &amp; "!A:G"),MATCH(Cockpit!$A14,INDIRECT(C$6 &amp; "!A:A"),0),MATCH(C$11,INDIRECT(C$6 &amp; "!1:1"),0))+INDEX(INDIRECT(C$6 &amp; "!A:G"),MATCH(Cockpit!$A14,INDIRECT(C$6 &amp; "!A:A"),0),MATCH(C$12,INDIRECT(C$6 &amp; "!1:1"),0)))/2</f>
        <v>1450000</v>
      </c>
      <c r="D14" s="86">
        <f>LOG((D$9*COUNTIF(B!F:F,Cockpit!A14)-COUNTIFS(B!F:F,Cockpit!A14,B!D:D,"TRAIN") + COUNTIFS(B!F:F,Cockpit!A14,B!D:D,"TRAIN")*D$10)/L14+1)</f>
        <v>1.0389825096579343E-3</v>
      </c>
      <c r="E14" s="86">
        <f ca="1">LOG(INDEX(INDIRECT(E$6 &amp; "!A:G"),MATCH(Cockpit!$A14,INDIRECT(E$6 &amp; "!A:A"),0),MATCH(E$11,INDIRECT(E$6 &amp; "!1:1"),0))/L14+1)</f>
        <v>1.783277713501644E-2</v>
      </c>
      <c r="F14" s="14">
        <f ca="1">INDEX(INDIRECT(F$6 &amp; "!A:G"),MATCH(Cockpit!$A14,INDIRECT(F$6 &amp; "!A:A"),0),MATCH(F$11,INDIRECT(F$6 &amp; "!1:1"),0))</f>
        <v>25</v>
      </c>
      <c r="G14" s="86">
        <f ca="1">LOG((INDEX(INDIRECT(G$6 &amp; "!A:G"),MATCH(Cockpit!$A14,INDIRECT(G$6 &amp; "!A:A"),0),MATCH(G$11,INDIRECT(G$6 &amp; "!1:1"),0))/L14)+1)</f>
        <v>5.1980195541432162E-4</v>
      </c>
      <c r="H14" s="14">
        <f ca="1">INDEX(INDIRECT(H$6 &amp; "!A:G"),MATCH(Cockpit!$A14,INDIRECT(H$6 &amp; "!A:A"),0),MATCH(H$11,INDIRECT(H$6 &amp; "!1:1"),0))</f>
        <v>70</v>
      </c>
      <c r="I14" s="86">
        <f ca="1">LOG(INDEX(INDIRECT(I$6 &amp; "!A:G"),MATCH(Cockpit!$A14,INDIRECT(I$6 &amp; "!A:A"),0),MATCH(I$11,INDIRECT(I$6 &amp; "!1:1"),0))/L14+1)</f>
        <v>2.525679521422336E-2</v>
      </c>
      <c r="J14" s="86"/>
      <c r="K14" s="14" t="s">
        <v>28</v>
      </c>
      <c r="L14" s="85">
        <v>1670</v>
      </c>
      <c r="N14">
        <v>6</v>
      </c>
      <c r="O14" s="5" t="s">
        <v>29</v>
      </c>
      <c r="P14" s="7" t="s">
        <v>30</v>
      </c>
      <c r="Q14" s="4" t="s">
        <v>31</v>
      </c>
      <c r="R14" s="3"/>
    </row>
    <row r="15" spans="1:37" x14ac:dyDescent="0.25">
      <c r="A15" s="14" t="s">
        <v>32</v>
      </c>
      <c r="B15" s="14">
        <f ca="1">(INDEX(INDIRECT(B$6 &amp; "!A:G"),MATCH(Cockpit!$A15,INDIRECT(B$6 &amp; "!A:A"),0),MATCH(B$11,INDIRECT(B$6 &amp; "!1:1"),0))+INDEX(INDIRECT(B$6 &amp; "!A:G"),MATCH(Cockpit!$A15,INDIRECT(B$6 &amp; "!A:A"),0),MATCH(B$12,INDIRECT(B$6 &amp; "!1:1"),0)))/2</f>
        <v>1250000</v>
      </c>
      <c r="C15" s="14">
        <f ca="1">(INDEX(INDIRECT(C$6 &amp; "!A:G"),MATCH(Cockpit!$A15,INDIRECT(C$6 &amp; "!A:A"),0),MATCH(C$11,INDIRECT(C$6 &amp; "!1:1"),0))+INDEX(INDIRECT(C$6 &amp; "!A:G"),MATCH(Cockpit!$A15,INDIRECT(C$6 &amp; "!A:A"),0),MATCH(C$12,INDIRECT(C$6 &amp; "!1:1"),0)))/2</f>
        <v>1750000</v>
      </c>
      <c r="D15" s="86">
        <f>LOG((D$9*COUNTIF(B!F:F,Cockpit!A15)-COUNTIFS(B!F:F,Cockpit!A15,B!D:D,"TRAIN") + COUNTIFS(B!F:F,Cockpit!A15,B!D:D,"TRAIN")*D$10)/L15+1)</f>
        <v>2.8746684716408864E-3</v>
      </c>
      <c r="E15" s="86">
        <f ca="1">LOG(INDEX(INDIRECT(E$6 &amp; "!A:G"),MATCH(Cockpit!$A15,INDIRECT(E$6 &amp; "!A:A"),0),MATCH(E$11,INDIRECT(E$6 &amp; "!1:1"),0))/L15+1)</f>
        <v>2.6883239348844169E-2</v>
      </c>
      <c r="F15" s="14">
        <f ca="1">INDEX(INDIRECT(F$6 &amp; "!A:G"),MATCH(Cockpit!$A15,INDIRECT(F$6 &amp; "!A:A"),0),MATCH(F$11,INDIRECT(F$6 &amp; "!1:1"),0))</f>
        <v>40</v>
      </c>
      <c r="G15" s="86">
        <f ca="1">LOG((INDEX(INDIRECT(G$6 &amp; "!A:G"),MATCH(Cockpit!$A15,INDIRECT(G$6 &amp; "!A:A"),0),MATCH(G$11,INDIRECT(G$6 &amp; "!1:1"),0))/L15)+1)</f>
        <v>4.4349708414038552E-4</v>
      </c>
      <c r="H15" s="14">
        <f ca="1">INDEX(INDIRECT(H$6 &amp; "!A:G"),MATCH(Cockpit!$A15,INDIRECT(H$6 &amp; "!A:A"),0),MATCH(H$11,INDIRECT(H$6 &amp; "!1:1"),0))</f>
        <v>72</v>
      </c>
      <c r="I15" s="86">
        <f ca="1">LOG(INDEX(INDIRECT(I$6 &amp; "!A:G"),MATCH(Cockpit!$A15,INDIRECT(I$6 &amp; "!A:A"),0),MATCH(I$11,INDIRECT(I$6 &amp; "!1:1"),0))/L15+1)</f>
        <v>5.5430062649501567E-4</v>
      </c>
      <c r="J15" s="86"/>
      <c r="K15" s="14" t="s">
        <v>32</v>
      </c>
      <c r="L15" s="85">
        <v>3915</v>
      </c>
      <c r="N15">
        <v>8</v>
      </c>
      <c r="O15" s="2" t="s">
        <v>33</v>
      </c>
      <c r="P15" s="7" t="s">
        <v>34</v>
      </c>
      <c r="Q15" s="4" t="s">
        <v>35</v>
      </c>
    </row>
    <row r="16" spans="1:37" x14ac:dyDescent="0.25">
      <c r="A16" s="14" t="s">
        <v>36</v>
      </c>
      <c r="B16" s="14">
        <f ca="1">(INDEX(INDIRECT(B$6 &amp; "!A:G"),MATCH(Cockpit!$A16,INDIRECT(B$6 &amp; "!A:A"),0),MATCH(B$11,INDIRECT(B$6 &amp; "!1:1"),0))+INDEX(INDIRECT(B$6 &amp; "!A:G"),MATCH(Cockpit!$A16,INDIRECT(B$6 &amp; "!A:A"),0),MATCH(B$12,INDIRECT(B$6 &amp; "!1:1"),0)))/2</f>
        <v>1450000</v>
      </c>
      <c r="C16" s="14">
        <f ca="1">(INDEX(INDIRECT(C$6 &amp; "!A:G"),MATCH(Cockpit!$A16,INDIRECT(C$6 &amp; "!A:A"),0),MATCH(C$11,INDIRECT(C$6 &amp; "!1:1"),0))+INDEX(INDIRECT(C$6 &amp; "!A:G"),MATCH(Cockpit!$A16,INDIRECT(C$6 &amp; "!A:A"),0),MATCH(C$12,INDIRECT(C$6 &amp; "!1:1"),0)))/2</f>
        <v>2150000</v>
      </c>
      <c r="D16" s="86">
        <f>LOG((D$9*COUNTIF(B!F:F,Cockpit!A16)-COUNTIFS(B!F:F,Cockpit!A16,B!D:D,"TRAIN") + COUNTIFS(B!F:F,Cockpit!A16,B!D:D,"TRAIN")*D$10)/L16+1)</f>
        <v>2.3217937086016209E-3</v>
      </c>
      <c r="E16" s="86">
        <f ca="1">LOG(INDEX(INDIRECT(E$6 &amp; "!A:G"),MATCH(Cockpit!$A16,INDIRECT(E$6 &amp; "!A:A"),0),MATCH(E$11,INDIRECT(E$6 &amp; "!1:1"),0))/L16+1)</f>
        <v>2.4198763686454787E-2</v>
      </c>
      <c r="F16" s="14">
        <f ca="1">INDEX(INDIRECT(F$6 &amp; "!A:G"),MATCH(Cockpit!$A16,INDIRECT(F$6 &amp; "!A:A"),0),MATCH(F$11,INDIRECT(F$6 &amp; "!1:1"),0))</f>
        <v>35</v>
      </c>
      <c r="G16" s="86">
        <f ca="1">LOG((INDEX(INDIRECT(G$6 &amp; "!A:G"),MATCH(Cockpit!$A16,INDIRECT(G$6 &amp; "!A:A"),0),MATCH(G$11,INDIRECT(G$6 &amp; "!1:1"),0))/L16)+1)</f>
        <v>4.8139057051849014E-4</v>
      </c>
      <c r="H16" s="14">
        <f ca="1">INDEX(INDIRECT(H$6 &amp; "!A:G"),MATCH(Cockpit!$A16,INDIRECT(H$6 &amp; "!A:A"),0),MATCH(H$11,INDIRECT(H$6 &amp; "!1:1"),0))</f>
        <v>62.5</v>
      </c>
      <c r="I16" s="86">
        <f ca="1">LOG(INDEX(INDIRECT(I$6 &amp; "!A:G"),MATCH(Cockpit!$A16,INDIRECT(I$6 &amp; "!A:A"),0),MATCH(I$11,INDIRECT(I$6 &amp; "!1:1"),0))/L16+1)</f>
        <v>5.6157048063326458E-4</v>
      </c>
      <c r="J16" s="86"/>
      <c r="K16" s="14" t="s">
        <v>36</v>
      </c>
      <c r="L16" s="85">
        <v>5410</v>
      </c>
      <c r="N16">
        <v>9</v>
      </c>
      <c r="O16" s="1" t="s">
        <v>37</v>
      </c>
      <c r="P16" s="7" t="s">
        <v>38</v>
      </c>
      <c r="Q16" s="4" t="s">
        <v>39</v>
      </c>
    </row>
    <row r="17" spans="1:26" x14ac:dyDescent="0.25">
      <c r="A17" s="14" t="s">
        <v>40</v>
      </c>
      <c r="B17" s="14">
        <f ca="1">(INDEX(INDIRECT(B$6 &amp; "!A:G"),MATCH(Cockpit!$A17,INDIRECT(B$6 &amp; "!A:A"),0),MATCH(B$11,INDIRECT(B$6 &amp; "!1:1"),0))+INDEX(INDIRECT(B$6 &amp; "!A:G"),MATCH(Cockpit!$A17,INDIRECT(B$6 &amp; "!A:A"),0),MATCH(B$12,INDIRECT(B$6 &amp; "!1:1"),0)))/2</f>
        <v>1150000</v>
      </c>
      <c r="C17" s="14">
        <f ca="1">(INDEX(INDIRECT(C$6 &amp; "!A:G"),MATCH(Cockpit!$A17,INDIRECT(C$6 &amp; "!A:A"),0),MATCH(C$11,INDIRECT(C$6 &amp; "!1:1"),0))+INDEX(INDIRECT(C$6 &amp; "!A:G"),MATCH(Cockpit!$A17,INDIRECT(C$6 &amp; "!A:A"),0),MATCH(C$12,INDIRECT(C$6 &amp; "!1:1"),0)))/2</f>
        <v>1650000</v>
      </c>
      <c r="D17" s="86">
        <f>LOG((D$9*COUNTIF(B!F:F,Cockpit!A17)-COUNTIFS(B!F:F,Cockpit!A17,B!D:D,"TRAIN") + COUNTIFS(B!F:F,Cockpit!A17,B!D:D,"TRAIN")*D$10)/L17+1)</f>
        <v>7.232216190959051E-4</v>
      </c>
      <c r="E17" s="86">
        <f ca="1">LOG(INDEX(INDIRECT(E$6 &amp; "!A:G"),MATCH(Cockpit!$A17,INDIRECT(E$6 &amp; "!A:A"),0),MATCH(E$11,INDIRECT(E$6 &amp; "!1:1"),0))/L17+1)</f>
        <v>2.4622474908332043E-2</v>
      </c>
      <c r="F17" s="14">
        <f ca="1">INDEX(INDIRECT(F$6 &amp; "!A:G"),MATCH(Cockpit!$A17,INDIRECT(F$6 &amp; "!A:A"),0),MATCH(F$11,INDIRECT(F$6 &amp; "!1:1"),0))</f>
        <v>25</v>
      </c>
      <c r="G17" s="86">
        <f ca="1">LOG((INDEX(INDIRECT(G$6 &amp; "!A:G"),MATCH(Cockpit!$A17,INDIRECT(G$6 &amp; "!A:A"),0),MATCH(G$11,INDIRECT(G$6 &amp; "!1:1"),0))/L17)+1)</f>
        <v>1.4452408741809531E-3</v>
      </c>
      <c r="H17" s="14">
        <f ca="1">INDEX(INDIRECT(H$6 &amp; "!A:G"),MATCH(Cockpit!$A17,INDIRECT(H$6 &amp; "!A:A"),0),MATCH(H$11,INDIRECT(H$6 &amp; "!1:1"),0))</f>
        <v>68</v>
      </c>
      <c r="I17" s="86">
        <f ca="1">LOG(INDEX(INDIRECT(I$6 &amp; "!A:G"),MATCH(Cockpit!$A17,INDIRECT(I$6 &amp; "!A:A"),0),MATCH(I$11,INDIRECT(I$6 &amp; "!1:1"),0))/L17+1)</f>
        <v>7.232216190959051E-4</v>
      </c>
      <c r="J17" s="86"/>
      <c r="K17" s="14" t="s">
        <v>40</v>
      </c>
      <c r="L17" s="85">
        <v>600</v>
      </c>
    </row>
    <row r="18" spans="1:26" x14ac:dyDescent="0.25">
      <c r="A18" s="14" t="s">
        <v>41</v>
      </c>
      <c r="B18" s="14">
        <f ca="1">(INDEX(INDIRECT(B$6 &amp; "!A:G"),MATCH(Cockpit!$A18,INDIRECT(B$6 &amp; "!A:A"),0),MATCH(B$11,INDIRECT(B$6 &amp; "!1:1"),0))+INDEX(INDIRECT(B$6 &amp; "!A:G"),MATCH(Cockpit!$A18,INDIRECT(B$6 &amp; "!A:A"),0),MATCH(B$12,INDIRECT(B$6 &amp; "!1:1"),0)))/2</f>
        <v>1250000</v>
      </c>
      <c r="C18" s="14">
        <f ca="1">(INDEX(INDIRECT(C$6 &amp; "!A:G"),MATCH(Cockpit!$A18,INDIRECT(C$6 &amp; "!A:A"),0),MATCH(C$11,INDIRECT(C$6 &amp; "!1:1"),0))+INDEX(INDIRECT(C$6 &amp; "!A:G"),MATCH(Cockpit!$A18,INDIRECT(C$6 &amp; "!A:A"),0),MATCH(C$12,INDIRECT(C$6 &amp; "!1:1"),0)))/2</f>
        <v>1650000</v>
      </c>
      <c r="D18" s="86">
        <f>LOG((D$9*COUNTIF(B!F:F,Cockpit!A18)-COUNTIFS(B!F:F,Cockpit!A18,B!D:D,"TRAIN") + COUNTIFS(B!F:F,Cockpit!A18,B!D:D,"TRAIN")*D$10)/L18+1)</f>
        <v>1.0069087857144231E-3</v>
      </c>
      <c r="E18" s="86">
        <f ca="1">LOG(INDEX(INDIRECT(E$6 &amp; "!A:G"),MATCH(Cockpit!$A18,INDIRECT(E$6 &amp; "!A:A"),0),MATCH(E$11,INDIRECT(E$6 &amp; "!1:1"),0))/L18+1)</f>
        <v>2.1843078889301107E-2</v>
      </c>
      <c r="F18" s="14">
        <f ca="1">INDEX(INDIRECT(F$6 &amp; "!A:G"),MATCH(Cockpit!$A18,INDIRECT(F$6 &amp; "!A:A"),0),MATCH(F$11,INDIRECT(F$6 &amp; "!1:1"),0))</f>
        <v>35</v>
      </c>
      <c r="G18" s="86">
        <f ca="1">LOG((INDEX(INDIRECT(G$6 &amp; "!A:G"),MATCH(Cockpit!$A18,INDIRECT(G$6 &amp; "!A:A"),0),MATCH(G$11,INDIRECT(G$6 &amp; "!1:1"),0))/L18)+1)</f>
        <v>4.8509935573684651E-4</v>
      </c>
      <c r="H18" s="14">
        <f ca="1">INDEX(INDIRECT(H$6 &amp; "!A:G"),MATCH(Cockpit!$A18,INDIRECT(H$6 &amp; "!A:A"),0),MATCH(H$11,INDIRECT(H$6 &amp; "!1:1"),0))</f>
        <v>62.5</v>
      </c>
      <c r="I18" s="86">
        <f ca="1">LOG(INDEX(INDIRECT(I$6 &amp; "!A:G"),MATCH(Cockpit!$A18,INDIRECT(I$6 &amp; "!A:A"),0),MATCH(I$11,INDIRECT(I$6 &amp; "!1:1"),0))/L18+1)</f>
        <v>6.3425175074738381E-4</v>
      </c>
      <c r="J18" s="86"/>
      <c r="K18" s="14" t="s">
        <v>41</v>
      </c>
      <c r="L18" s="85">
        <v>11632</v>
      </c>
    </row>
    <row r="19" spans="1:26" x14ac:dyDescent="0.25">
      <c r="A19" s="14" t="s">
        <v>42</v>
      </c>
      <c r="B19" s="14">
        <f ca="1">(INDEX(INDIRECT(B$6 &amp; "!A:G"),MATCH(Cockpit!$A19,INDIRECT(B$6 &amp; "!A:A"),0),MATCH(B$11,INDIRECT(B$6 &amp; "!1:1"),0))+INDEX(INDIRECT(B$6 &amp; "!A:G"),MATCH(Cockpit!$A19,INDIRECT(B$6 &amp; "!A:A"),0),MATCH(B$12,INDIRECT(B$6 &amp; "!1:1"),0)))/2</f>
        <v>1350000</v>
      </c>
      <c r="C19" s="14">
        <f ca="1">(INDEX(INDIRECT(C$6 &amp; "!A:G"),MATCH(Cockpit!$A19,INDIRECT(C$6 &amp; "!A:A"),0),MATCH(C$11,INDIRECT(C$6 &amp; "!1:1"),0))+INDEX(INDIRECT(C$6 &amp; "!A:G"),MATCH(Cockpit!$A19,INDIRECT(C$6 &amp; "!A:A"),0),MATCH(C$12,INDIRECT(C$6 &amp; "!1:1"),0)))/2</f>
        <v>1550000</v>
      </c>
      <c r="D19" s="86">
        <f>LOG((D$9*COUNTIF(B!F:F,Cockpit!A19)-COUNTIFS(B!F:F,Cockpit!A19,B!D:D,"TRAIN") + COUNTIFS(B!F:F,Cockpit!A19,B!D:D,"TRAIN")*D$10)/L19+1)</f>
        <v>7.9907010933300308E-4</v>
      </c>
      <c r="E19" s="86">
        <f ca="1">LOG(INDEX(INDIRECT(E$6 &amp; "!A:G"),MATCH(Cockpit!$A19,INDIRECT(E$6 &amp; "!A:A"),0),MATCH(E$11,INDIRECT(E$6 &amp; "!1:1"),0))/L19+1)</f>
        <v>2.0820978412227489E-2</v>
      </c>
      <c r="F19" s="14">
        <f ca="1">INDEX(INDIRECT(F$6 &amp; "!A:G"),MATCH(Cockpit!$A19,INDIRECT(F$6 &amp; "!A:A"),0),MATCH(F$11,INDIRECT(F$6 &amp; "!1:1"),0))</f>
        <v>35</v>
      </c>
      <c r="G19" s="86">
        <f ca="1">LOG((INDEX(INDIRECT(G$6 &amp; "!A:G"),MATCH(Cockpit!$A19,INDIRECT(G$6 &amp; "!A:A"),0),MATCH(G$11,INDIRECT(G$6 &amp; "!1:1"),0))/L19)+1)</f>
        <v>3.997188334664202E-4</v>
      </c>
      <c r="H19" s="14">
        <f ca="1">INDEX(INDIRECT(H$6 &amp; "!A:G"),MATCH(Cockpit!$A19,INDIRECT(H$6 &amp; "!A:A"),0),MATCH(H$11,INDIRECT(H$6 &amp; "!1:1"),0))</f>
        <v>77.5</v>
      </c>
      <c r="I19" s="86">
        <f ca="1">LOG(INDEX(INDIRECT(I$6 &amp; "!A:G"),MATCH(Cockpit!$A19,INDIRECT(I$6 &amp; "!A:A"),0),MATCH(I$11,INDIRECT(I$6 &amp; "!1:1"),0))/L19+1)</f>
        <v>3.1092421408056444E-4</v>
      </c>
      <c r="J19" s="86"/>
      <c r="K19" s="14" t="s">
        <v>42</v>
      </c>
      <c r="L19" s="85">
        <v>9774</v>
      </c>
    </row>
    <row r="20" spans="1:26" x14ac:dyDescent="0.25">
      <c r="A20" s="14" t="s">
        <v>43</v>
      </c>
      <c r="B20" s="14">
        <f ca="1">(INDEX(INDIRECT(B$6 &amp; "!A:G"),MATCH(Cockpit!$A20,INDIRECT(B$6 &amp; "!A:A"),0),MATCH(B$11,INDIRECT(B$6 &amp; "!1:1"),0))+INDEX(INDIRECT(B$6 &amp; "!A:G"),MATCH(Cockpit!$A20,INDIRECT(B$6 &amp; "!A:A"),0),MATCH(B$12,INDIRECT(B$6 &amp; "!1:1"),0)))/2</f>
        <v>1150000</v>
      </c>
      <c r="C20" s="14">
        <f ca="1">(INDEX(INDIRECT(C$6 &amp; "!A:G"),MATCH(Cockpit!$A20,INDIRECT(C$6 &amp; "!A:A"),0),MATCH(C$11,INDIRECT(C$6 &amp; "!1:1"),0))+INDEX(INDIRECT(C$6 &amp; "!A:G"),MATCH(Cockpit!$A20,INDIRECT(C$6 &amp; "!A:A"),0),MATCH(C$12,INDIRECT(C$6 &amp; "!1:1"),0)))/2</f>
        <v>1550000</v>
      </c>
      <c r="D20" s="86">
        <f>LOG((D$9*COUNTIF(B!F:F,Cockpit!A20)-COUNTIFS(B!F:F,Cockpit!A20,B!D:D,"TRAIN") + COUNTIFS(B!F:F,Cockpit!A20,B!D:D,"TRAIN")*D$10)/L20+1)</f>
        <v>6.2675227315672061E-4</v>
      </c>
      <c r="E20" s="86">
        <f ca="1">LOG(INDEX(INDIRECT(E$6 &amp; "!A:G"),MATCH(Cockpit!$A20,INDIRECT(E$6 &amp; "!A:A"),0),MATCH(E$11,INDIRECT(E$6 &amp; "!1:1"),0))/L20+1)</f>
        <v>2.4390297717640032E-2</v>
      </c>
      <c r="F20" s="14">
        <f ca="1">INDEX(INDIRECT(F$6 &amp; "!A:G"),MATCH(Cockpit!$A20,INDIRECT(F$6 &amp; "!A:A"),0),MATCH(F$11,INDIRECT(F$6 &amp; "!1:1"),0))</f>
        <v>20</v>
      </c>
      <c r="G20" s="86">
        <f ca="1">LOG((INDEX(INDIRECT(G$6 &amp; "!A:G"),MATCH(Cockpit!$A20,INDIRECT(G$6 &amp; "!A:A"),0),MATCH(G$11,INDIRECT(G$6 &amp; "!1:1"),0))/L20)+1)</f>
        <v>6.2675227315672061E-4</v>
      </c>
      <c r="H20" s="14">
        <f ca="1">INDEX(INDIRECT(H$6 &amp; "!A:G"),MATCH(Cockpit!$A20,INDIRECT(H$6 &amp; "!A:A"),0),MATCH(H$11,INDIRECT(H$6 &amp; "!1:1"),0))</f>
        <v>73</v>
      </c>
      <c r="I20" s="86">
        <f ca="1">LOG(INDEX(INDIRECT(I$6 &amp; "!A:G"),MATCH(Cockpit!$A20,INDIRECT(I$6 &amp; "!A:A"),0),MATCH(I$11,INDIRECT(I$6 &amp; "!1:1"),0))/L20+1)</f>
        <v>7.1621452126437472E-4</v>
      </c>
      <c r="J20" s="86"/>
      <c r="K20" s="14" t="s">
        <v>43</v>
      </c>
      <c r="L20" s="85">
        <v>4847</v>
      </c>
    </row>
    <row r="21" spans="1:26" x14ac:dyDescent="0.25">
      <c r="A21" s="14" t="s">
        <v>44</v>
      </c>
      <c r="B21" s="14">
        <f ca="1">(INDEX(INDIRECT(B$6 &amp; "!A:G"),MATCH(Cockpit!$A21,INDIRECT(B$6 &amp; "!A:A"),0),MATCH(B$11,INDIRECT(B$6 &amp; "!1:1"),0))+INDEX(INDIRECT(B$6 &amp; "!A:G"),MATCH(Cockpit!$A21,INDIRECT(B$6 &amp; "!A:A"),0),MATCH(B$12,INDIRECT(B$6 &amp; "!1:1"),0)))/2</f>
        <v>1250000</v>
      </c>
      <c r="C21" s="14">
        <f ca="1">(INDEX(INDIRECT(C$6 &amp; "!A:G"),MATCH(Cockpit!$A21,INDIRECT(C$6 &amp; "!A:A"),0),MATCH(C$11,INDIRECT(C$6 &amp; "!1:1"),0))+INDEX(INDIRECT(C$6 &amp; "!A:G"),MATCH(Cockpit!$A21,INDIRECT(C$6 &amp; "!A:A"),0),MATCH(C$12,INDIRECT(C$6 &amp; "!1:1"),0)))/2</f>
        <v>1650000</v>
      </c>
      <c r="D21" s="86">
        <f>LOG((D$9*COUNTIF(B!F:F,Cockpit!A21)-COUNTIFS(B!F:F,Cockpit!A21,B!D:D,"TRAIN") + COUNTIFS(B!F:F,Cockpit!A21,B!D:D,"TRAIN")*D$10)/L21+1)</f>
        <v>7.7222379207669801E-4</v>
      </c>
      <c r="E21" s="86">
        <f ca="1">LOG(INDEX(INDIRECT(E$6 &amp; "!A:G"),MATCH(Cockpit!$A21,INDIRECT(E$6 &amp; "!A:A"),0),MATCH(E$11,INDIRECT(E$6 &amp; "!1:1"),0))/L21+1)</f>
        <v>2.1816472768183472E-2</v>
      </c>
      <c r="F21" s="14">
        <f ca="1">INDEX(INDIRECT(F$6 &amp; "!A:G"),MATCH(Cockpit!$A21,INDIRECT(F$6 &amp; "!A:A"),0),MATCH(F$11,INDIRECT(F$6 &amp; "!1:1"),0))</f>
        <v>35</v>
      </c>
      <c r="G21" s="86">
        <f ca="1">LOG((INDEX(INDIRECT(G$6 &amp; "!A:G"),MATCH(Cockpit!$A21,INDIRECT(G$6 &amp; "!A:A"),0),MATCH(G$11,INDIRECT(G$6 &amp; "!1:1"),0))/L21)+1)</f>
        <v>6.0976443101152145E-4</v>
      </c>
      <c r="H21" s="14">
        <f ca="1">INDEX(INDIRECT(H$6 &amp; "!A:G"),MATCH(Cockpit!$A21,INDIRECT(H$6 &amp; "!A:A"),0),MATCH(H$11,INDIRECT(H$6 &amp; "!1:1"),0))</f>
        <v>63.5</v>
      </c>
      <c r="I21" s="86">
        <f ca="1">LOG(INDEX(INDIRECT(I$6 &amp; "!A:G"),MATCH(Cockpit!$A21,INDIRECT(I$6 &amp; "!A:A"),0),MATCH(I$11,INDIRECT(I$6 &amp; "!1:1"),0))/L21+1)</f>
        <v>1.2592375598528215E-3</v>
      </c>
      <c r="J21" s="86"/>
      <c r="K21" s="14" t="s">
        <v>44</v>
      </c>
      <c r="L21" s="85">
        <v>10676</v>
      </c>
    </row>
    <row r="22" spans="1:26" x14ac:dyDescent="0.25">
      <c r="A22" s="14" t="s">
        <v>45</v>
      </c>
      <c r="B22" s="14">
        <f ca="1">(INDEX(INDIRECT(B$6 &amp; "!A:G"),MATCH(Cockpit!$A22,INDIRECT(B$6 &amp; "!A:A"),0),MATCH(B$11,INDIRECT(B$6 &amp; "!1:1"),0))+INDEX(INDIRECT(B$6 &amp; "!A:G"),MATCH(Cockpit!$A22,INDIRECT(B$6 &amp; "!A:A"),0),MATCH(B$12,INDIRECT(B$6 &amp; "!1:1"),0)))/2</f>
        <v>950000</v>
      </c>
      <c r="C22" s="14">
        <f ca="1">(INDEX(INDIRECT(C$6 &amp; "!A:G"),MATCH(Cockpit!$A22,INDIRECT(C$6 &amp; "!A:A"),0),MATCH(C$11,INDIRECT(C$6 &amp; "!1:1"),0))+INDEX(INDIRECT(C$6 &amp; "!A:G"),MATCH(Cockpit!$A22,INDIRECT(C$6 &amp; "!A:A"),0),MATCH(C$12,INDIRECT(C$6 &amp; "!1:1"),0)))/2</f>
        <v>1550000</v>
      </c>
      <c r="D22" s="86">
        <f>LOG((D$9*COUNTIF(B!F:F,Cockpit!A22)-COUNTIFS(B!F:F,Cockpit!A22,B!D:D,"TRAIN") + COUNTIFS(B!F:F,Cockpit!A22,B!D:D,"TRAIN")*D$10)/L22+1)</f>
        <v>0</v>
      </c>
      <c r="E22" s="86">
        <f ca="1">LOG(INDEX(INDIRECT(E$6 &amp; "!A:G"),MATCH(Cockpit!$A22,INDIRECT(E$6 &amp; "!A:A"),0),MATCH(E$11,INDIRECT(E$6 &amp; "!1:1"),0))/L22+1)</f>
        <v>2.7180577603537606E-2</v>
      </c>
      <c r="F22" s="14">
        <f ca="1">INDEX(INDIRECT(F$6 &amp; "!A:G"),MATCH(Cockpit!$A22,INDIRECT(F$6 &amp; "!A:A"),0),MATCH(F$11,INDIRECT(F$6 &amp; "!1:1"),0))</f>
        <v>30</v>
      </c>
      <c r="G22" s="86">
        <f ca="1">LOG((INDEX(INDIRECT(G$6 &amp; "!A:G"),MATCH(Cockpit!$A22,INDIRECT(G$6 &amp; "!A:A"),0),MATCH(G$11,INDIRECT(G$6 &amp; "!1:1"),0))/L22)+1)</f>
        <v>6.2286777532681798E-4</v>
      </c>
      <c r="H22" s="14">
        <f ca="1">INDEX(INDIRECT(H$6 &amp; "!A:G"),MATCH(Cockpit!$A22,INDIRECT(H$6 &amp; "!A:A"),0),MATCH(H$11,INDIRECT(H$6 &amp; "!1:1"),0))</f>
        <v>76</v>
      </c>
      <c r="I22" s="86">
        <f ca="1">LOG(INDEX(INDIRECT(I$6 &amp; "!A:G"),MATCH(Cockpit!$A22,INDIRECT(I$6 &amp; "!A:A"),0),MATCH(I$11,INDIRECT(I$6 &amp; "!1:1"),0))/L22+1)</f>
        <v>3.1154555274569279E-4</v>
      </c>
      <c r="J22" s="86"/>
      <c r="K22" s="14" t="s">
        <v>45</v>
      </c>
      <c r="L22" s="85">
        <v>2787</v>
      </c>
    </row>
    <row r="23" spans="1:26" x14ac:dyDescent="0.25">
      <c r="A23" s="14" t="s">
        <v>46</v>
      </c>
      <c r="B23" s="14">
        <f ca="1">(INDEX(INDIRECT(B$6 &amp; "!A:G"),MATCH(Cockpit!$A23,INDIRECT(B$6 &amp; "!A:A"),0),MATCH(B$11,INDIRECT(B$6 &amp; "!1:1"),0))+INDEX(INDIRECT(B$6 &amp; "!A:G"),MATCH(Cockpit!$A23,INDIRECT(B$6 &amp; "!A:A"),0),MATCH(B$12,INDIRECT(B$6 &amp; "!1:1"),0)))/2</f>
        <v>1350000</v>
      </c>
      <c r="C23" s="14">
        <f ca="1">(INDEX(INDIRECT(C$6 &amp; "!A:G"),MATCH(Cockpit!$A23,INDIRECT(C$6 &amp; "!A:A"),0),MATCH(C$11,INDIRECT(C$6 &amp; "!1:1"),0))+INDEX(INDIRECT(C$6 &amp; "!A:G"),MATCH(Cockpit!$A23,INDIRECT(C$6 &amp; "!A:A"),0),MATCH(C$12,INDIRECT(C$6 &amp; "!1:1"),0)))/2</f>
        <v>1950000</v>
      </c>
      <c r="D23" s="86">
        <f>LOG((D$9*COUNTIF(B!F:F,Cockpit!A23)-COUNTIFS(B!F:F,Cockpit!A23,B!D:D,"TRAIN") + COUNTIFS(B!F:F,Cockpit!A23,B!D:D,"TRAIN")*D$10)/L23+1)</f>
        <v>3.1780768135479401E-3</v>
      </c>
      <c r="E23" s="86">
        <f ca="1">LOG(INDEX(INDIRECT(E$6 &amp; "!A:G"),MATCH(Cockpit!$A23,INDIRECT(E$6 &amp; "!A:A"),0),MATCH(E$11,INDIRECT(E$6 &amp; "!1:1"),0))/L23+1)</f>
        <v>3.3060100885920887E-2</v>
      </c>
      <c r="F23" s="14">
        <f ca="1">INDEX(INDIRECT(F$6 &amp; "!A:G"),MATCH(Cockpit!$A23,INDIRECT(F$6 &amp; "!A:A"),0),MATCH(F$11,INDIRECT(F$6 &amp; "!1:1"),0))</f>
        <v>29</v>
      </c>
      <c r="G23" s="86">
        <f ca="1">LOG((INDEX(INDIRECT(G$6 &amp; "!A:G"),MATCH(Cockpit!$A23,INDIRECT(G$6 &amp; "!A:A"),0),MATCH(G$11,INDIRECT(G$6 &amp; "!1:1"),0))/L23)+1)</f>
        <v>9.8034913390091243E-4</v>
      </c>
      <c r="H23" s="14">
        <f ca="1">INDEX(INDIRECT(H$6 &amp; "!A:G"),MATCH(Cockpit!$A23,INDIRECT(H$6 &amp; "!A:A"),0),MATCH(H$11,INDIRECT(H$6 &amp; "!1:1"),0))</f>
        <v>62</v>
      </c>
      <c r="I23" s="86">
        <f ca="1">LOG(INDEX(INDIRECT(I$6 &amp; "!A:G"),MATCH(Cockpit!$A23,INDIRECT(I$6 &amp; "!A:A"),0),MATCH(I$11,INDIRECT(I$6 &amp; "!1:1"),0))/L23+1)</f>
        <v>2.2026817221184295E-3</v>
      </c>
      <c r="J23" s="86"/>
      <c r="K23" s="14" t="s">
        <v>46</v>
      </c>
      <c r="L23" s="85">
        <v>1770</v>
      </c>
    </row>
    <row r="24" spans="1:26" x14ac:dyDescent="0.25">
      <c r="A24" s="14" t="s">
        <v>47</v>
      </c>
      <c r="B24" s="14">
        <f ca="1">(INDEX(INDIRECT(B$6 &amp; "!A:G"),MATCH(Cockpit!$A24,INDIRECT(B$6 &amp; "!A:A"),0),MATCH(B$11,INDIRECT(B$6 &amp; "!1:1"),0))+INDEX(INDIRECT(B$6 &amp; "!A:G"),MATCH(Cockpit!$A24,INDIRECT(B$6 &amp; "!A:A"),0),MATCH(B$12,INDIRECT(B$6 &amp; "!1:1"),0)))/2</f>
        <v>1450000</v>
      </c>
      <c r="C24" s="14">
        <f ca="1">(INDEX(INDIRECT(C$6 &amp; "!A:G"),MATCH(Cockpit!$A24,INDIRECT(C$6 &amp; "!A:A"),0),MATCH(C$11,INDIRECT(C$6 &amp; "!1:1"),0))+INDEX(INDIRECT(C$6 &amp; "!A:G"),MATCH(Cockpit!$A24,INDIRECT(C$6 &amp; "!A:A"),0),MATCH(C$12,INDIRECT(C$6 &amp; "!1:1"),0)))/2</f>
        <v>1950000</v>
      </c>
      <c r="D24" s="86">
        <f>LOG((D$9*COUNTIF(B!F:F,Cockpit!A24)-COUNTIFS(B!F:F,Cockpit!A24,B!D:D,"TRAIN") + COUNTIFS(B!F:F,Cockpit!A24,B!D:D,"TRAIN")*D$10)/L24+1)</f>
        <v>1.1984677682186822E-3</v>
      </c>
      <c r="E24" s="86">
        <f ca="1">LOG(INDEX(INDIRECT(E$6 &amp; "!A:G"),MATCH(Cockpit!$A24,INDIRECT(E$6 &amp; "!A:A"),0),MATCH(E$11,INDIRECT(E$6 &amp; "!1:1"),0))/L24+1)</f>
        <v>3.1809482931733406E-2</v>
      </c>
      <c r="F24" s="14">
        <f ca="1">INDEX(INDIRECT(F$6 &amp; "!A:G"),MATCH(Cockpit!$A24,INDIRECT(F$6 &amp; "!A:A"),0),MATCH(F$11,INDIRECT(F$6 &amp; "!1:1"),0))</f>
        <v>30</v>
      </c>
      <c r="G24" s="86">
        <f ca="1">LOG((INDEX(INDIRECT(G$6 &amp; "!A:G"),MATCH(Cockpit!$A24,INDIRECT(G$6 &amp; "!A:A"),0),MATCH(G$11,INDIRECT(G$6 &amp; "!1:1"),0))/L24)+1)</f>
        <v>7.4942983550111938E-4</v>
      </c>
      <c r="H24" s="14">
        <f ca="1">INDEX(INDIRECT(H$6 &amp; "!A:G"),MATCH(Cockpit!$A24,INDIRECT(H$6 &amp; "!A:A"),0),MATCH(H$11,INDIRECT(H$6 &amp; "!1:1"),0))</f>
        <v>60.5</v>
      </c>
      <c r="I24" s="86">
        <f ca="1">LOG(INDEX(INDIRECT(I$6 &amp; "!A:G"),MATCH(Cockpit!$A24,INDIRECT(I$6 &amp; "!A:A"),0),MATCH(I$11,INDIRECT(I$6 &amp; "!1:1"),0))/L24+1)</f>
        <v>8.9916073920914992E-4</v>
      </c>
      <c r="J24" s="86"/>
      <c r="K24" s="14" t="s">
        <v>47</v>
      </c>
      <c r="L24" s="85">
        <v>2895</v>
      </c>
    </row>
    <row r="25" spans="1:26" x14ac:dyDescent="0.25">
      <c r="A25" s="14" t="s">
        <v>48</v>
      </c>
      <c r="B25" s="14">
        <f ca="1">(INDEX(INDIRECT(B$6 &amp; "!A:G"),MATCH(Cockpit!$A25,INDIRECT(B$6 &amp; "!A:A"),0),MATCH(B$11,INDIRECT(B$6 &amp; "!1:1"),0))+INDEX(INDIRECT(B$6 &amp; "!A:G"),MATCH(Cockpit!$A25,INDIRECT(B$6 &amp; "!A:A"),0),MATCH(B$12,INDIRECT(B$6 &amp; "!1:1"),0)))/2</f>
        <v>1250000</v>
      </c>
      <c r="C25" s="14">
        <f ca="1">(INDEX(INDIRECT(C$6 &amp; "!A:G"),MATCH(Cockpit!$A25,INDIRECT(C$6 &amp; "!A:A"),0),MATCH(C$11,INDIRECT(C$6 &amp; "!1:1"),0))+INDEX(INDIRECT(C$6 &amp; "!A:G"),MATCH(Cockpit!$A25,INDIRECT(C$6 &amp; "!A:A"),0),MATCH(C$12,INDIRECT(C$6 &amp; "!1:1"),0)))/2</f>
        <v>2150000</v>
      </c>
      <c r="D25" s="86">
        <f>LOG((D$9*COUNTIF(B!F:F,Cockpit!A25)-COUNTIFS(B!F:F,Cockpit!A25,B!D:D,"TRAIN") + COUNTIFS(B!F:F,Cockpit!A25,B!D:D,"TRAIN")*D$10)/L25+1)</f>
        <v>0</v>
      </c>
      <c r="E25" s="86">
        <f ca="1">LOG(INDEX(INDIRECT(E$6 &amp; "!A:G"),MATCH(Cockpit!$A25,INDIRECT(E$6 &amp; "!A:A"),0),MATCH(E$11,INDIRECT(E$6 &amp; "!1:1"),0))/L25+1)</f>
        <v>1.4697258168724414E-2</v>
      </c>
      <c r="F25" s="14">
        <f ca="1">INDEX(INDIRECT(F$6 &amp; "!A:G"),MATCH(Cockpit!$A25,INDIRECT(F$6 &amp; "!A:A"),0),MATCH(F$11,INDIRECT(F$6 &amp; "!1:1"),0))</f>
        <v>35</v>
      </c>
      <c r="G25" s="86">
        <f ca="1">LOG((INDEX(INDIRECT(G$6 &amp; "!A:G"),MATCH(Cockpit!$A25,INDIRECT(G$6 &amp; "!A:A"),0),MATCH(G$11,INDIRECT(G$6 &amp; "!1:1"),0))/L25)+1)</f>
        <v>5.8455857731837377E-4</v>
      </c>
      <c r="H25" s="14">
        <f ca="1">INDEX(INDIRECT(H$6 &amp; "!A:G"),MATCH(Cockpit!$A25,INDIRECT(H$6 &amp; "!A:A"),0),MATCH(H$11,INDIRECT(H$6 &amp; "!1:1"),0))</f>
        <v>62.5</v>
      </c>
      <c r="I25" s="86">
        <f ca="1">LOG(INDEX(INDIRECT(I$6 &amp; "!A:G"),MATCH(Cockpit!$A25,INDIRECT(I$6 &amp; "!A:A"),0),MATCH(I$11,INDIRECT(I$6 &amp; "!1:1"),0))/L25+1)</f>
        <v>1.6542100418641061E-3</v>
      </c>
      <c r="J25" s="86"/>
      <c r="K25" s="14" t="s">
        <v>48</v>
      </c>
      <c r="L25" s="85">
        <v>13364</v>
      </c>
    </row>
    <row r="26" spans="1:26" x14ac:dyDescent="0.25">
      <c r="A26" s="14" t="s">
        <v>49</v>
      </c>
      <c r="B26" s="14">
        <f ca="1">(INDEX(INDIRECT(B$6 &amp; "!A:G"),MATCH(Cockpit!$A26,INDIRECT(B$6 &amp; "!A:A"),0),MATCH(B$11,INDIRECT(B$6 &amp; "!1:1"),0))+INDEX(INDIRECT(B$6 &amp; "!A:G"),MATCH(Cockpit!$A26,INDIRECT(B$6 &amp; "!A:A"),0),MATCH(B$12,INDIRECT(B$6 &amp; "!1:1"),0)))/2</f>
        <v>1350000</v>
      </c>
      <c r="C26" s="14">
        <f ca="1">(INDEX(INDIRECT(C$6 &amp; "!A:G"),MATCH(Cockpit!$A26,INDIRECT(C$6 &amp; "!A:A"),0),MATCH(C$11,INDIRECT(C$6 &amp; "!1:1"),0))+INDEX(INDIRECT(C$6 &amp; "!A:G"),MATCH(Cockpit!$A26,INDIRECT(C$6 &amp; "!A:A"),0),MATCH(C$12,INDIRECT(C$6 &amp; "!1:1"),0)))/2</f>
        <v>1850000</v>
      </c>
      <c r="D26" s="86">
        <f>LOG((D$9*COUNTIF(B!F:F,Cockpit!A26)-COUNTIFS(B!F:F,Cockpit!A26,B!D:D,"TRAIN") + COUNTIFS(B!F:F,Cockpit!A26,B!D:D,"TRAIN")*D$10)/L26+1)</f>
        <v>1.051030821100292E-3</v>
      </c>
      <c r="E26" s="86">
        <f ca="1">LOG(INDEX(INDIRECT(E$6 &amp; "!A:G"),MATCH(Cockpit!$A26,INDIRECT(E$6 &amp; "!A:A"),0),MATCH(E$11,INDIRECT(E$6 &amp; "!1:1"),0))/L26+1)</f>
        <v>3.169897417565487E-2</v>
      </c>
      <c r="F26" s="14">
        <f ca="1">INDEX(INDIRECT(F$6 &amp; "!A:G"),MATCH(Cockpit!$A26,INDIRECT(F$6 &amp; "!A:A"),0),MATCH(F$11,INDIRECT(F$6 &amp; "!1:1"),0))</f>
        <v>30</v>
      </c>
      <c r="G26" s="86">
        <f ca="1">LOG((INDEX(INDIRECT(G$6 &amp; "!A:G"),MATCH(Cockpit!$A26,INDIRECT(G$6 &amp; "!A:A"),0),MATCH(G$11,INDIRECT(G$6 &amp; "!1:1"),0))/L26)+1)</f>
        <v>5.2583335884421537E-4</v>
      </c>
      <c r="H26" s="14">
        <f ca="1">INDEX(INDIRECT(H$6 &amp; "!A:G"),MATCH(Cockpit!$A26,INDIRECT(H$6 &amp; "!A:A"),0),MATCH(H$11,INDIRECT(H$6 &amp; "!1:1"),0))</f>
        <v>64.5</v>
      </c>
      <c r="I26" s="86">
        <f ca="1">LOG(INDEX(INDIRECT(I$6 &amp; "!A:G"),MATCH(Cockpit!$A26,INDIRECT(I$6 &amp; "!A:A"),0),MATCH(I$11,INDIRECT(I$6 &amp; "!1:1"),0))/L26+1)</f>
        <v>3.2325427513225729E-3</v>
      </c>
      <c r="J26" s="86"/>
      <c r="K26" s="14" t="s">
        <v>49</v>
      </c>
      <c r="L26" s="85">
        <v>9905</v>
      </c>
    </row>
    <row r="27" spans="1:26" x14ac:dyDescent="0.25">
      <c r="A27" s="14" t="s">
        <v>50</v>
      </c>
      <c r="B27" s="14">
        <f ca="1">(INDEX(INDIRECT(B$6 &amp; "!A:G"),MATCH(Cockpit!$A27,INDIRECT(B$6 &amp; "!A:A"),0),MATCH(B$11,INDIRECT(B$6 &amp; "!1:1"),0))+INDEX(INDIRECT(B$6 &amp; "!A:G"),MATCH(Cockpit!$A27,INDIRECT(B$6 &amp; "!A:A"),0),MATCH(B$12,INDIRECT(B$6 &amp; "!1:1"),0)))/2</f>
        <v>950000</v>
      </c>
      <c r="C27" s="14">
        <f ca="1">(INDEX(INDIRECT(C$6 &amp; "!A:G"),MATCH(Cockpit!$A27,INDIRECT(C$6 &amp; "!A:A"),0),MATCH(C$11,INDIRECT(C$6 &amp; "!1:1"),0))+INDEX(INDIRECT(C$6 &amp; "!A:G"),MATCH(Cockpit!$A27,INDIRECT(C$6 &amp; "!A:A"),0),MATCH(C$12,INDIRECT(C$6 &amp; "!1:1"),0)))/2</f>
        <v>1550000</v>
      </c>
      <c r="D27" s="86">
        <f>LOG((D$9*COUNTIF(B!F:F,Cockpit!A27)-COUNTIFS(B!F:F,Cockpit!A27,B!D:D,"TRAIN") + COUNTIFS(B!F:F,Cockpit!A27,B!D:D,"TRAIN")*D$10)/L27+1)</f>
        <v>1.8599363841239043E-3</v>
      </c>
      <c r="E27" s="86">
        <f ca="1">LOG(INDEX(INDIRECT(E$6 &amp; "!A:G"),MATCH(Cockpit!$A27,INDIRECT(E$6 &amp; "!A:A"),0),MATCH(E$11,INDIRECT(E$6 &amp; "!1:1"),0))/L27+1)</f>
        <v>3.9184259407936163E-2</v>
      </c>
      <c r="F27" s="14">
        <f ca="1">INDEX(INDIRECT(F$6 &amp; "!A:G"),MATCH(Cockpit!$A27,INDIRECT(F$6 &amp; "!A:A"),0),MATCH(F$11,INDIRECT(F$6 &amp; "!1:1"),0))</f>
        <v>22</v>
      </c>
      <c r="G27" s="86">
        <f ca="1">LOG((INDEX(INDIRECT(G$6 &amp; "!A:G"),MATCH(Cockpit!$A27,INDIRECT(G$6 &amp; "!A:A"),0),MATCH(G$11,INDIRECT(G$6 &amp; "!1:1"),0))/L27)+1)</f>
        <v>1.116917414342889E-3</v>
      </c>
      <c r="H27" s="14">
        <f ca="1">INDEX(INDIRECT(H$6 &amp; "!A:G"),MATCH(Cockpit!$A27,INDIRECT(H$6 &amp; "!A:A"),0),MATCH(H$11,INDIRECT(H$6 &amp; "!1:1"),0))</f>
        <v>73</v>
      </c>
      <c r="I27" s="86">
        <f ca="1">LOG(INDEX(INDIRECT(I$6 &amp; "!A:G"),MATCH(Cockpit!$A27,INDIRECT(I$6 &amp; "!A:A"),0),MATCH(I$11,INDIRECT(I$6 &amp; "!1:1"),0))/L27+1)</f>
        <v>2.2309697103253213E-3</v>
      </c>
      <c r="J27" s="86"/>
      <c r="K27" s="14" t="s">
        <v>50</v>
      </c>
      <c r="L27" s="85">
        <v>1165</v>
      </c>
    </row>
    <row r="28" spans="1:26" x14ac:dyDescent="0.25">
      <c r="A28" s="14" t="s">
        <v>51</v>
      </c>
      <c r="B28" s="14">
        <f ca="1">(INDEX(INDIRECT(B$6 &amp; "!A:G"),MATCH(Cockpit!$A28,INDIRECT(B$6 &amp; "!A:A"),0),MATCH(B$11,INDIRECT(B$6 &amp; "!1:1"),0))+INDEX(INDIRECT(B$6 &amp; "!A:G"),MATCH(Cockpit!$A28,INDIRECT(B$6 &amp; "!A:A"),0),MATCH(B$12,INDIRECT(B$6 &amp; "!1:1"),0)))/2</f>
        <v>850000</v>
      </c>
      <c r="C28" s="14">
        <f ca="1">(INDEX(INDIRECT(C$6 &amp; "!A:G"),MATCH(Cockpit!$A28,INDIRECT(C$6 &amp; "!A:A"),0),MATCH(C$11,INDIRECT(C$6 &amp; "!1:1"),0))+INDEX(INDIRECT(C$6 &amp; "!A:G"),MATCH(Cockpit!$A28,INDIRECT(C$6 &amp; "!A:A"),0),MATCH(C$12,INDIRECT(C$6 &amp; "!1:1"),0)))/2</f>
        <v>1350000</v>
      </c>
      <c r="D28" s="86">
        <f>LOG((D$9*COUNTIF(B!F:F,Cockpit!A28)-COUNTIFS(B!F:F,Cockpit!A28,B!D:D,"TRAIN") + COUNTIFS(B!F:F,Cockpit!A28,B!D:D,"TRAIN")*D$10)/L28+1)</f>
        <v>2.206072303489176E-3</v>
      </c>
      <c r="E28" s="86">
        <f ca="1">LOG(INDEX(INDIRECT(E$6 &amp; "!A:G"),MATCH(Cockpit!$A28,INDIRECT(E$6 &amp; "!A:A"),0),MATCH(E$11,INDIRECT(E$6 &amp; "!1:1"),0))/L28+1)</f>
        <v>2.538173118895707E-2</v>
      </c>
      <c r="F28" s="14">
        <f ca="1">INDEX(INDIRECT(F$6 &amp; "!A:G"),MATCH(Cockpit!$A28,INDIRECT(F$6 &amp; "!A:A"),0),MATCH(F$11,INDIRECT(F$6 &amp; "!1:1"),0))</f>
        <v>30</v>
      </c>
      <c r="G28" s="86">
        <f ca="1">LOG((INDEX(INDIRECT(G$6 &amp; "!A:G"),MATCH(Cockpit!$A28,INDIRECT(G$6 &amp; "!A:A"),0),MATCH(G$11,INDIRECT(G$6 &amp; "!1:1"),0))/L28)+1)</f>
        <v>6.0276828816057347E-4</v>
      </c>
      <c r="H28" s="14">
        <f ca="1">INDEX(INDIRECT(H$6 &amp; "!A:G"),MATCH(Cockpit!$A28,INDIRECT(H$6 &amp; "!A:A"),0),MATCH(H$11,INDIRECT(H$6 &amp; "!1:1"),0))</f>
        <v>69</v>
      </c>
      <c r="I28" s="86">
        <f ca="1">LOG(INDEX(INDIRECT(I$6 &amp; "!A:G"),MATCH(Cockpit!$A28,INDIRECT(I$6 &amp; "!A:A"),0),MATCH(I$11,INDIRECT(I$6 &amp; "!1:1"),0))/L28+1)</f>
        <v>6.0276828816057347E-4</v>
      </c>
      <c r="J28" s="86"/>
      <c r="K28" s="14" t="s">
        <v>51</v>
      </c>
      <c r="L28" s="85">
        <v>2160</v>
      </c>
    </row>
    <row r="29" spans="1:26" x14ac:dyDescent="0.25">
      <c r="A29" s="14" t="s">
        <v>52</v>
      </c>
      <c r="B29" s="14">
        <f ca="1">(INDEX(INDIRECT(B$6 &amp; "!A:G"),MATCH(Cockpit!$A29,INDIRECT(B$6 &amp; "!A:A"),0),MATCH(B$11,INDIRECT(B$6 &amp; "!1:1"),0))+INDEX(INDIRECT(B$6 &amp; "!A:G"),MATCH(Cockpit!$A29,INDIRECT(B$6 &amp; "!A:A"),0),MATCH(B$12,INDIRECT(B$6 &amp; "!1:1"),0)))/2</f>
        <v>1550000</v>
      </c>
      <c r="C29" s="14">
        <f ca="1">(INDEX(INDIRECT(C$6 &amp; "!A:G"),MATCH(Cockpit!$A29,INDIRECT(C$6 &amp; "!A:A"),0),MATCH(C$11,INDIRECT(C$6 &amp; "!1:1"),0))+INDEX(INDIRECT(C$6 &amp; "!A:G"),MATCH(Cockpit!$A29,INDIRECT(C$6 &amp; "!A:A"),0),MATCH(C$12,INDIRECT(C$6 &amp; "!1:1"),0)))/2</f>
        <v>2550000</v>
      </c>
      <c r="D29" s="86">
        <f>LOG((D$9*COUNTIF(B!F:F,Cockpit!A29)-COUNTIFS(B!F:F,Cockpit!A29,B!D:D,"TRAIN") + COUNTIFS(B!F:F,Cockpit!A29,B!D:D,"TRAIN")*D$10)/L29+1)</f>
        <v>6.8594504375198335E-4</v>
      </c>
      <c r="E29" s="86">
        <f ca="1">LOG(INDEX(INDIRECT(E$6 &amp; "!A:G"),MATCH(Cockpit!$A29,INDIRECT(E$6 &amp; "!A:A"),0),MATCH(E$11,INDIRECT(E$6 &amp; "!1:1"),0))/L29+1)</f>
        <v>2.4761459033336208E-2</v>
      </c>
      <c r="F29" s="14">
        <f ca="1">INDEX(INDIRECT(F$6 &amp; "!A:G"),MATCH(Cockpit!$A29,INDIRECT(F$6 &amp; "!A:A"),0),MATCH(F$11,INDIRECT(F$6 &amp; "!1:1"),0))</f>
        <v>36</v>
      </c>
      <c r="G29" s="86">
        <f ca="1">LOG((INDEX(INDIRECT(G$6 &amp; "!A:G"),MATCH(Cockpit!$A29,INDIRECT(G$6 &amp; "!A:A"),0),MATCH(G$11,INDIRECT(G$6 &amp; "!1:1"),0))/L29)+1)</f>
        <v>3.8953405202529897E-4</v>
      </c>
      <c r="H29" s="14">
        <f ca="1">INDEX(INDIRECT(H$6 &amp; "!A:G"),MATCH(Cockpit!$A29,INDIRECT(H$6 &amp; "!A:A"),0),MATCH(H$11,INDIRECT(H$6 &amp; "!1:1"),0))</f>
        <v>78.5</v>
      </c>
      <c r="I29" s="86">
        <f ca="1">LOG(INDEX(INDIRECT(I$6 &amp; "!A:G"),MATCH(Cockpit!$A29,INDIRECT(I$6 &amp; "!A:A"),0),MATCH(I$11,INDIRECT(I$6 &amp; "!1:1"),0))/L29+1)</f>
        <v>1.4245946809637409E-3</v>
      </c>
      <c r="J29" s="86"/>
      <c r="K29" s="14" t="s">
        <v>52</v>
      </c>
      <c r="L29" s="85">
        <v>144873</v>
      </c>
      <c r="P29">
        <v>900000</v>
      </c>
      <c r="Q29">
        <v>1450000</v>
      </c>
      <c r="R29">
        <v>1.0389825096579343E-3</v>
      </c>
      <c r="S29">
        <v>1.783277713501644E-2</v>
      </c>
      <c r="T29">
        <v>25</v>
      </c>
      <c r="U29">
        <v>5.1980195541432162E-4</v>
      </c>
      <c r="W29">
        <v>70</v>
      </c>
      <c r="X29">
        <v>2.525679521422336E-2</v>
      </c>
      <c r="Y29" t="s">
        <v>28</v>
      </c>
      <c r="Z29">
        <v>1670</v>
      </c>
    </row>
    <row r="30" spans="1:26" x14ac:dyDescent="0.25">
      <c r="A30" s="14" t="s">
        <v>53</v>
      </c>
      <c r="B30" s="14">
        <f ca="1">(INDEX(INDIRECT(B$6 &amp; "!A:G"),MATCH(Cockpit!$A30,INDIRECT(B$6 &amp; "!A:A"),0),MATCH(B$11,INDIRECT(B$6 &amp; "!1:1"),0))+INDEX(INDIRECT(B$6 &amp; "!A:G"),MATCH(Cockpit!$A30,INDIRECT(B$6 &amp; "!A:A"),0),MATCH(B$12,INDIRECT(B$6 &amp; "!1:1"),0)))/2</f>
        <v>1350000</v>
      </c>
      <c r="C30" s="14">
        <f ca="1">(INDEX(INDIRECT(C$6 &amp; "!A:G"),MATCH(Cockpit!$A30,INDIRECT(C$6 &amp; "!A:A"),0),MATCH(C$11,INDIRECT(C$6 &amp; "!1:1"),0))+INDEX(INDIRECT(C$6 &amp; "!A:G"),MATCH(Cockpit!$A30,INDIRECT(C$6 &amp; "!A:A"),0),MATCH(C$12,INDIRECT(C$6 &amp; "!1:1"),0)))/2</f>
        <v>1750000</v>
      </c>
      <c r="D30" s="86">
        <f>LOG((D$9*COUNTIF(B!F:F,Cockpit!A30)-COUNTIFS(B!F:F,Cockpit!A30,B!D:D,"TRAIN") + COUNTIFS(B!F:F,Cockpit!A30,B!D:D,"TRAIN")*D$10)/L30+1)</f>
        <v>5.9196111547553615E-4</v>
      </c>
      <c r="E30" s="86">
        <f ca="1">LOG(INDEX(INDIRECT(E$6 &amp; "!A:G"),MATCH(Cockpit!$A30,INDIRECT(E$6 &amp; "!A:A"),0),MATCH(E$11,INDIRECT(E$6 &amp; "!1:1"),0))/L30+1)</f>
        <v>3.7100721495828978E-2</v>
      </c>
      <c r="F30" s="14">
        <f ca="1">INDEX(INDIRECT(F$6 &amp; "!A:G"),MATCH(Cockpit!$A30,INDIRECT(F$6 &amp; "!A:A"),0),MATCH(F$11,INDIRECT(F$6 &amp; "!1:1"),0))</f>
        <v>30</v>
      </c>
      <c r="G30" s="86">
        <f ca="1">LOG((INDEX(INDIRECT(G$6 &amp; "!A:G"),MATCH(Cockpit!$A30,INDIRECT(G$6 &amp; "!A:A"),0),MATCH(G$11,INDIRECT(G$6 &amp; "!1:1"),0))/L30)+1)</f>
        <v>9.1037551814688884E-4</v>
      </c>
      <c r="H30" s="14">
        <f ca="1">INDEX(INDIRECT(H$6 &amp; "!A:G"),MATCH(Cockpit!$A30,INDIRECT(H$6 &amp; "!A:A"),0),MATCH(H$11,INDIRECT(H$6 &amp; "!1:1"),0))</f>
        <v>72</v>
      </c>
      <c r="I30" s="86">
        <f ca="1">LOG(INDEX(INDIRECT(I$6 &amp; "!A:G"),MATCH(Cockpit!$A30,INDIRECT(I$6 &amp; "!A:A"),0),MATCH(I$11,INDIRECT(I$6 &amp; "!1:1"),0))/L30+1)</f>
        <v>6.8296048341526369E-4</v>
      </c>
      <c r="J30" s="86"/>
      <c r="K30" s="14" t="s">
        <v>53</v>
      </c>
      <c r="L30" s="85">
        <v>9531</v>
      </c>
      <c r="P30">
        <v>1250000</v>
      </c>
      <c r="Q30">
        <v>1750000</v>
      </c>
      <c r="R30">
        <v>2.8746684716408864E-3</v>
      </c>
      <c r="S30">
        <v>2.6883239348844169E-2</v>
      </c>
      <c r="T30">
        <v>40</v>
      </c>
      <c r="U30">
        <v>4.4349708414038552E-4</v>
      </c>
      <c r="W30">
        <v>72</v>
      </c>
      <c r="X30">
        <v>5.5430062649501567E-4</v>
      </c>
      <c r="Y30" t="s">
        <v>32</v>
      </c>
      <c r="Z30">
        <v>3915</v>
      </c>
    </row>
    <row r="31" spans="1:26" x14ac:dyDescent="0.25">
      <c r="A31" s="14" t="s">
        <v>54</v>
      </c>
      <c r="B31" s="14">
        <f ca="1">(INDEX(INDIRECT(B$6 &amp; "!A:G"),MATCH(Cockpit!$A31,INDIRECT(B$6 &amp; "!A:A"),0),MATCH(B$11,INDIRECT(B$6 &amp; "!1:1"),0))+INDEX(INDIRECT(B$6 &amp; "!A:G"),MATCH(Cockpit!$A31,INDIRECT(B$6 &amp; "!A:A"),0),MATCH(B$12,INDIRECT(B$6 &amp; "!1:1"),0)))/2</f>
        <v>1350000</v>
      </c>
      <c r="C31" s="14">
        <f ca="1">(INDEX(INDIRECT(C$6 &amp; "!A:G"),MATCH(Cockpit!$A31,INDIRECT(C$6 &amp; "!A:A"),0),MATCH(C$11,INDIRECT(C$6 &amp; "!1:1"),0))+INDEX(INDIRECT(C$6 &amp; "!A:G"),MATCH(Cockpit!$A31,INDIRECT(C$6 &amp; "!A:A"),0),MATCH(C$12,INDIRECT(C$6 &amp; "!1:1"),0)))/2</f>
        <v>1850000</v>
      </c>
      <c r="D31" s="86">
        <f>LOG((D$9*COUNTIF(B!F:F,Cockpit!A31)-COUNTIFS(B!F:F,Cockpit!A31,B!D:D,"TRAIN") + COUNTIFS(B!F:F,Cockpit!A31,B!D:D,"TRAIN")*D$10)/L31+1)</f>
        <v>3.2170108719977598E-3</v>
      </c>
      <c r="E31" s="86">
        <f ca="1">LOG(INDEX(INDIRECT(E$6 &amp; "!A:G"),MATCH(Cockpit!$A31,INDIRECT(E$6 &amp; "!A:A"),0),MATCH(E$11,INDIRECT(E$6 &amp; "!1:1"),0))/L31+1)</f>
        <v>3.8595050409749303E-2</v>
      </c>
      <c r="F31" s="14">
        <f ca="1">INDEX(INDIRECT(F$6 &amp; "!A:G"),MATCH(Cockpit!$A31,INDIRECT(F$6 &amp; "!A:A"),0),MATCH(F$11,INDIRECT(F$6 &amp; "!1:1"),0))</f>
        <v>38</v>
      </c>
      <c r="G31" s="86">
        <f ca="1">LOG((INDEX(INDIRECT(G$6 &amp; "!A:G"),MATCH(Cockpit!$A31,INDIRECT(G$6 &amp; "!A:A"),0),MATCH(G$11,INDIRECT(G$6 &amp; "!1:1"),0))/L31)+1)</f>
        <v>8.0648952034950542E-4</v>
      </c>
      <c r="H31" s="14">
        <f ca="1">INDEX(INDIRECT(H$6 &amp; "!A:G"),MATCH(Cockpit!$A31,INDIRECT(H$6 &amp; "!A:A"),0),MATCH(H$11,INDIRECT(H$6 &amp; "!1:1"),0))</f>
        <v>55</v>
      </c>
      <c r="I31" s="86">
        <f ca="1">LOG(INDEX(INDIRECT(I$6 &amp; "!A:G"),MATCH(Cockpit!$A31,INDIRECT(I$6 &amp; "!A:A"),0),MATCH(I$11,INDIRECT(I$6 &amp; "!1:1"),0))/L31+1)</f>
        <v>1.5851923271189533E-2</v>
      </c>
      <c r="J31" s="86"/>
      <c r="K31" s="14" t="s">
        <v>54</v>
      </c>
      <c r="L31" s="85">
        <v>2690</v>
      </c>
      <c r="P31">
        <v>1450000</v>
      </c>
      <c r="Q31">
        <v>2150000</v>
      </c>
      <c r="R31">
        <v>2.3217937086016209E-3</v>
      </c>
      <c r="S31">
        <v>2.4198763686454787E-2</v>
      </c>
      <c r="T31">
        <v>35</v>
      </c>
      <c r="U31">
        <v>4.8139057051849014E-4</v>
      </c>
      <c r="W31">
        <v>62.5</v>
      </c>
      <c r="X31">
        <v>5.6157048063326458E-4</v>
      </c>
      <c r="Y31" t="s">
        <v>36</v>
      </c>
      <c r="Z31">
        <v>5410</v>
      </c>
    </row>
    <row r="32" spans="1:26" x14ac:dyDescent="0.25">
      <c r="A32" s="14" t="s">
        <v>55</v>
      </c>
      <c r="B32" s="14">
        <f ca="1">(INDEX(INDIRECT(B$6 &amp; "!A:G"),MATCH(Cockpit!$A32,INDIRECT(B$6 &amp; "!A:A"),0),MATCH(B$11,INDIRECT(B$6 &amp; "!1:1"),0))+INDEX(INDIRECT(B$6 &amp; "!A:G"),MATCH(Cockpit!$A32,INDIRECT(B$6 &amp; "!A:A"),0),MATCH(B$12,INDIRECT(B$6 &amp; "!1:1"),0)))/2</f>
        <v>1550000</v>
      </c>
      <c r="C32" s="14">
        <f ca="1">(INDEX(INDIRECT(C$6 &amp; "!A:G"),MATCH(Cockpit!$A32,INDIRECT(C$6 &amp; "!A:A"),0),MATCH(C$11,INDIRECT(C$6 &amp; "!1:1"),0))+INDEX(INDIRECT(C$6 &amp; "!A:G"),MATCH(Cockpit!$A32,INDIRECT(C$6 &amp; "!A:A"),0),MATCH(C$12,INDIRECT(C$6 &amp; "!1:1"),0)))/2</f>
        <v>2400000</v>
      </c>
      <c r="D32" s="86">
        <f>LOG((D$9*COUNTIF(B!F:F,Cockpit!A32)-COUNTIFS(B!F:F,Cockpit!A32,B!D:D,"TRAIN") + COUNTIFS(B!F:F,Cockpit!A32,B!D:D,"TRAIN")*D$10)/L32+1)</f>
        <v>1.9346793137357068E-3</v>
      </c>
      <c r="E32" s="86">
        <f ca="1">LOG(INDEX(INDIRECT(E$6 &amp; "!A:G"),MATCH(Cockpit!$A32,INDIRECT(E$6 &amp; "!A:A"),0),MATCH(E$11,INDIRECT(E$6 &amp; "!1:1"),0))/L32+1)</f>
        <v>2.358526181523048E-2</v>
      </c>
      <c r="F32" s="14">
        <f ca="1">INDEX(INDIRECT(F$6 &amp; "!A:G"),MATCH(Cockpit!$A32,INDIRECT(F$6 &amp; "!A:A"),0),MATCH(F$11,INDIRECT(F$6 &amp; "!1:1"),0))</f>
        <v>38</v>
      </c>
      <c r="G32" s="86">
        <f ca="1">LOG((INDEX(INDIRECT(G$6 &amp; "!A:G"),MATCH(Cockpit!$A32,INDIRECT(G$6 &amp; "!A:A"),0),MATCH(G$11,INDIRECT(G$6 &amp; "!1:1"),0))/L32)+1)</f>
        <v>4.4412585109163615E-4</v>
      </c>
      <c r="H32" s="14">
        <f ca="1">INDEX(INDIRECT(H$6 &amp; "!A:G"),MATCH(Cockpit!$A32,INDIRECT(H$6 &amp; "!A:A"),0),MATCH(H$11,INDIRECT(H$6 &amp; "!1:1"),0))</f>
        <v>54</v>
      </c>
      <c r="I32" s="86">
        <f ca="1">LOG(INDEX(INDIRECT(I$6 &amp; "!A:G"),MATCH(Cockpit!$A32,INDIRECT(I$6 &amp; "!A:A"),0),MATCH(I$11,INDIRECT(I$6 &amp; "!1:1"),0))/L32+1)</f>
        <v>1.2101841805405597E-3</v>
      </c>
      <c r="J32" s="86"/>
      <c r="K32" s="14" t="s">
        <v>55</v>
      </c>
      <c r="L32" s="85">
        <v>10751</v>
      </c>
      <c r="P32">
        <v>1150000</v>
      </c>
      <c r="Q32">
        <v>1650000</v>
      </c>
      <c r="R32">
        <v>7.232216190959051E-4</v>
      </c>
      <c r="S32">
        <v>2.4622474908332043E-2</v>
      </c>
      <c r="T32">
        <v>25</v>
      </c>
      <c r="U32">
        <v>1.4452408741809531E-3</v>
      </c>
      <c r="W32">
        <v>68</v>
      </c>
      <c r="X32">
        <v>7.232216190959051E-4</v>
      </c>
      <c r="Y32" t="s">
        <v>40</v>
      </c>
      <c r="Z32">
        <v>600</v>
      </c>
    </row>
    <row r="33" spans="1:26" x14ac:dyDescent="0.25">
      <c r="A33" s="14" t="s">
        <v>56</v>
      </c>
      <c r="B33" s="14">
        <f ca="1">(INDEX(INDIRECT(B$6 &amp; "!A:G"),MATCH(Cockpit!$A33,INDIRECT(B$6 &amp; "!A:A"),0),MATCH(B$11,INDIRECT(B$6 &amp; "!1:1"),0))+INDEX(INDIRECT(B$6 &amp; "!A:G"),MATCH(Cockpit!$A33,INDIRECT(B$6 &amp; "!A:A"),0),MATCH(B$12,INDIRECT(B$6 &amp; "!1:1"),0)))/2</f>
        <v>1450000</v>
      </c>
      <c r="C33" s="14">
        <f ca="1">(INDEX(INDIRECT(C$6 &amp; "!A:G"),MATCH(Cockpit!$A33,INDIRECT(C$6 &amp; "!A:A"),0),MATCH(C$11,INDIRECT(C$6 &amp; "!1:1"),0))+INDEX(INDIRECT(C$6 &amp; "!A:G"),MATCH(Cockpit!$A33,INDIRECT(C$6 &amp; "!A:A"),0),MATCH(C$12,INDIRECT(C$6 &amp; "!1:1"),0)))/2</f>
        <v>2050000</v>
      </c>
      <c r="D33" s="86">
        <f>LOG((D$9*COUNTIF(B!F:F,Cockpit!A33)-COUNTIFS(B!F:F,Cockpit!A33,B!D:D,"TRAIN") + COUNTIFS(B!F:F,Cockpit!A33,B!D:D,"TRAIN")*D$10)/L33+1)</f>
        <v>1.0020022878779024E-3</v>
      </c>
      <c r="E33" s="86">
        <f ca="1">LOG(INDEX(INDIRECT(E$6 &amp; "!A:G"),MATCH(Cockpit!$A33,INDIRECT(E$6 &amp; "!A:A"),0),MATCH(E$11,INDIRECT(E$6 &amp; "!1:1"),0))/L33+1)</f>
        <v>3.7482611963817351E-2</v>
      </c>
      <c r="F33" s="14">
        <f ca="1">INDEX(INDIRECT(F$6 &amp; "!A:G"),MATCH(Cockpit!$A33,INDIRECT(F$6 &amp; "!A:A"),0),MATCH(F$11,INDIRECT(F$6 &amp; "!1:1"),0))</f>
        <v>38</v>
      </c>
      <c r="G33" s="86">
        <f ca="1">LOG((INDEX(INDIRECT(G$6 &amp; "!A:G"),MATCH(Cockpit!$A33,INDIRECT(G$6 &amp; "!A:A"),0),MATCH(G$11,INDIRECT(G$6 &amp; "!1:1"),0))/L33)+1)</f>
        <v>7.3339924308201277E-4</v>
      </c>
      <c r="H33" s="14">
        <f ca="1">INDEX(INDIRECT(H$6 &amp; "!A:G"),MATCH(Cockpit!$A33,INDIRECT(H$6 &amp; "!A:A"),0),MATCH(H$11,INDIRECT(H$6 &amp; "!1:1"),0))</f>
        <v>67</v>
      </c>
      <c r="I33" s="86">
        <f ca="1">LOG(INDEX(INDIRECT(I$6 &amp; "!A:G"),MATCH(Cockpit!$A33,INDIRECT(I$6 &amp; "!A:A"),0),MATCH(I$11,INDIRECT(I$6 &amp; "!1:1"),0))/L33+1)</f>
        <v>7.3339924308201277E-4</v>
      </c>
      <c r="J33" s="86"/>
      <c r="K33" s="14" t="s">
        <v>56</v>
      </c>
      <c r="L33" s="85">
        <v>17750</v>
      </c>
      <c r="P33">
        <v>1250000</v>
      </c>
      <c r="Q33">
        <v>1650000</v>
      </c>
      <c r="R33">
        <v>1.0069087857144231E-3</v>
      </c>
      <c r="S33">
        <v>2.1843078889301107E-2</v>
      </c>
      <c r="T33">
        <v>35</v>
      </c>
      <c r="U33">
        <v>4.8509935573684651E-4</v>
      </c>
      <c r="W33">
        <v>62.5</v>
      </c>
      <c r="X33">
        <v>6.3425175074738381E-4</v>
      </c>
      <c r="Y33" t="s">
        <v>41</v>
      </c>
      <c r="Z33">
        <v>11632</v>
      </c>
    </row>
    <row r="34" spans="1:26" x14ac:dyDescent="0.25">
      <c r="A34" s="14" t="s">
        <v>57</v>
      </c>
      <c r="B34" s="14">
        <f ca="1">(INDEX(INDIRECT(B$6 &amp; "!A:G"),MATCH(Cockpit!$A34,INDIRECT(B$6 &amp; "!A:A"),0),MATCH(B$11,INDIRECT(B$6 &amp; "!1:1"),0))+INDEX(INDIRECT(B$6 &amp; "!A:G"),MATCH(Cockpit!$A34,INDIRECT(B$6 &amp; "!A:A"),0),MATCH(B$12,INDIRECT(B$6 &amp; "!1:1"),0)))/2</f>
        <v>1350000</v>
      </c>
      <c r="C34" s="14">
        <f ca="1">(INDEX(INDIRECT(C$6 &amp; "!A:G"),MATCH(Cockpit!$A34,INDIRECT(C$6 &amp; "!A:A"),0),MATCH(C$11,INDIRECT(C$6 &amp; "!1:1"),0))+INDEX(INDIRECT(C$6 &amp; "!A:G"),MATCH(Cockpit!$A34,INDIRECT(C$6 &amp; "!A:A"),0),MATCH(C$12,INDIRECT(C$6 &amp; "!1:1"),0)))/2</f>
        <v>2350000</v>
      </c>
      <c r="D34" s="86">
        <f>LOG((D$9*COUNTIF(B!F:F,Cockpit!A34)-COUNTIFS(B!F:F,Cockpit!A34,B!D:D,"TRAIN") + COUNTIFS(B!F:F,Cockpit!A34,B!D:D,"TRAIN")*D$10)/L34+1)</f>
        <v>2.5000162749457954E-4</v>
      </c>
      <c r="E34" s="86">
        <f ca="1">LOG(INDEX(INDIRECT(E$6 &amp; "!A:G"),MATCH(Cockpit!$A34,INDIRECT(E$6 &amp; "!A:A"),0),MATCH(E$11,INDIRECT(E$6 &amp; "!1:1"),0))/L34+1)</f>
        <v>1.8761176398655387E-2</v>
      </c>
      <c r="F34" s="14">
        <f ca="1">INDEX(INDIRECT(F$6 &amp; "!A:G"),MATCH(Cockpit!$A34,INDIRECT(F$6 &amp; "!A:A"),0),MATCH(F$11,INDIRECT(F$6 &amp; "!1:1"),0))</f>
        <v>38</v>
      </c>
      <c r="G34" s="86">
        <f ca="1">LOG((INDEX(INDIRECT(G$6 &amp; "!A:G"),MATCH(Cockpit!$A34,INDIRECT(G$6 &amp; "!A:A"),0),MATCH(G$11,INDIRECT(G$6 &amp; "!1:1"),0))/L34)+1)</f>
        <v>4.9985942433926551E-4</v>
      </c>
      <c r="H34" s="14">
        <f ca="1">INDEX(INDIRECT(H$6 &amp; "!A:G"),MATCH(Cockpit!$A34,INDIRECT(H$6 &amp; "!A:A"),0),MATCH(H$11,INDIRECT(H$6 &amp; "!1:1"),0))</f>
        <v>65</v>
      </c>
      <c r="I34" s="86">
        <f ca="1">LOG(INDEX(INDIRECT(I$6 &amp; "!A:G"),MATCH(Cockpit!$A34,INDIRECT(I$6 &amp; "!A:A"),0),MATCH(I$11,INDIRECT(I$6 &amp; "!1:1"),0))/L34+1)</f>
        <v>6.6635146467752869E-4</v>
      </c>
      <c r="J34" s="86"/>
      <c r="K34" s="14" t="s">
        <v>57</v>
      </c>
      <c r="L34" s="85">
        <v>5210</v>
      </c>
      <c r="P34">
        <v>1350000</v>
      </c>
      <c r="Q34">
        <v>1550000</v>
      </c>
      <c r="R34">
        <v>7.9907010933300308E-4</v>
      </c>
      <c r="S34">
        <v>2.0820978412227489E-2</v>
      </c>
      <c r="T34">
        <v>35</v>
      </c>
      <c r="U34">
        <v>3.997188334664202E-4</v>
      </c>
      <c r="W34">
        <v>77.5</v>
      </c>
      <c r="X34">
        <v>3.1092421408056444E-4</v>
      </c>
      <c r="Y34" t="s">
        <v>42</v>
      </c>
      <c r="Z34">
        <v>9774</v>
      </c>
    </row>
    <row r="35" spans="1:26" x14ac:dyDescent="0.25">
      <c r="A35" s="14" t="s">
        <v>58</v>
      </c>
      <c r="B35" s="14">
        <f ca="1">(INDEX(INDIRECT(B$6 &amp; "!A:G"),MATCH(Cockpit!$A35,INDIRECT(B$6 &amp; "!A:A"),0),MATCH(B$11,INDIRECT(B$6 &amp; "!1:1"),0))+INDEX(INDIRECT(B$6 &amp; "!A:G"),MATCH(Cockpit!$A35,INDIRECT(B$6 &amp; "!A:A"),0),MATCH(B$12,INDIRECT(B$6 &amp; "!1:1"),0)))/2</f>
        <v>1350000</v>
      </c>
      <c r="C35" s="14">
        <f ca="1">(INDEX(INDIRECT(C$6 &amp; "!A:G"),MATCH(Cockpit!$A35,INDIRECT(C$6 &amp; "!A:A"),0),MATCH(C$11,INDIRECT(C$6 &amp; "!1:1"),0))+INDEX(INDIRECT(C$6 &amp; "!A:G"),MATCH(Cockpit!$A35,INDIRECT(C$6 &amp; "!A:A"),0),MATCH(C$12,INDIRECT(C$6 &amp; "!1:1"),0)))/2</f>
        <v>1650000</v>
      </c>
      <c r="D35" s="86">
        <f>LOG((D$9*COUNTIF(B!F:F,Cockpit!A35)-COUNTIFS(B!F:F,Cockpit!A35,B!D:D,"TRAIN") + COUNTIFS(B!F:F,Cockpit!A35,B!D:D,"TRAIN")*D$10)/L35+1)</f>
        <v>7.1427232453075867E-4</v>
      </c>
      <c r="E35" s="86">
        <f ca="1">LOG(INDEX(INDIRECT(E$6 &amp; "!A:G"),MATCH(Cockpit!$A35,INDIRECT(E$6 &amp; "!A:A"),0),MATCH(E$11,INDIRECT(E$6 &amp; "!1:1"),0))/L35+1)</f>
        <v>2.1581403471759599E-2</v>
      </c>
      <c r="F35" s="14">
        <f ca="1">INDEX(INDIRECT(F$6 &amp; "!A:G"),MATCH(Cockpit!$A35,INDIRECT(F$6 &amp; "!A:A"),0),MATCH(F$11,INDIRECT(F$6 &amp; "!1:1"),0))</f>
        <v>36</v>
      </c>
      <c r="G35" s="86">
        <f ca="1">LOG((INDEX(INDIRECT(G$6 &amp; "!A:G"),MATCH(Cockpit!$A35,INDIRECT(G$6 &amp; "!A:A"),0),MATCH(G$11,INDIRECT(G$6 &amp; "!1:1"),0))/L35)+1)</f>
        <v>4.7631205296556927E-4</v>
      </c>
      <c r="H35" s="14">
        <f ca="1">INDEX(INDIRECT(H$6 &amp; "!A:G"),MATCH(Cockpit!$A35,INDIRECT(H$6 &amp; "!A:A"),0),MATCH(H$11,INDIRECT(H$6 &amp; "!1:1"),0))</f>
        <v>72.5</v>
      </c>
      <c r="I35" s="86">
        <f ca="1">LOG(INDEX(INDIRECT(I$6 &amp; "!A:G"),MATCH(Cockpit!$A35,INDIRECT(I$6 &amp; "!A:A"),0),MATCH(I$11,INDIRECT(I$6 &amp; "!1:1"),0))/L35+1)</f>
        <v>1.3934412515974042E-3</v>
      </c>
      <c r="J35" s="86"/>
      <c r="K35" s="14" t="s">
        <v>58</v>
      </c>
      <c r="L35" s="85">
        <v>12758</v>
      </c>
      <c r="P35">
        <v>1150000</v>
      </c>
      <c r="Q35">
        <v>1550000</v>
      </c>
      <c r="R35">
        <v>6.2675227315672061E-4</v>
      </c>
      <c r="S35">
        <v>2.4390297717640032E-2</v>
      </c>
      <c r="T35">
        <v>20</v>
      </c>
      <c r="U35">
        <v>6.2675227315672061E-4</v>
      </c>
      <c r="W35">
        <v>73</v>
      </c>
      <c r="X35">
        <v>7.1621452126437472E-4</v>
      </c>
      <c r="Y35" t="s">
        <v>43</v>
      </c>
      <c r="Z35">
        <v>4847</v>
      </c>
    </row>
    <row r="36" spans="1:26" x14ac:dyDescent="0.25">
      <c r="A36" s="14" t="s">
        <v>59</v>
      </c>
      <c r="B36" s="14">
        <f ca="1">(INDEX(INDIRECT(B$6 &amp; "!A:G"),MATCH(Cockpit!$A36,INDIRECT(B$6 &amp; "!A:A"),0),MATCH(B$11,INDIRECT(B$6 &amp; "!1:1"),0))+INDEX(INDIRECT(B$6 &amp; "!A:G"),MATCH(Cockpit!$A36,INDIRECT(B$6 &amp; "!A:A"),0),MATCH(B$12,INDIRECT(B$6 &amp; "!1:1"),0)))/2</f>
        <v>1700000</v>
      </c>
      <c r="C36" s="14">
        <f ca="1">(INDEX(INDIRECT(C$6 &amp; "!A:G"),MATCH(Cockpit!$A36,INDIRECT(C$6 &amp; "!A:A"),0),MATCH(C$11,INDIRECT(C$6 &amp; "!1:1"),0))+INDEX(INDIRECT(C$6 &amp; "!A:G"),MATCH(Cockpit!$A36,INDIRECT(C$6 &amp; "!A:A"),0),MATCH(C$12,INDIRECT(C$6 &amp; "!1:1"),0)))/2</f>
        <v>2250000</v>
      </c>
      <c r="D36" s="86">
        <f>LOG((D$9*COUNTIF(B!F:F,Cockpit!A36)-COUNTIFS(B!F:F,Cockpit!A36,B!D:D,"TRAIN") + COUNTIFS(B!F:F,Cockpit!A36,B!D:D,"TRAIN")*D$10)/L36+1)</f>
        <v>9.7694096429842728E-4</v>
      </c>
      <c r="E36" s="86">
        <f ca="1">LOG(INDEX(INDIRECT(E$6 &amp; "!A:G"),MATCH(Cockpit!$A36,INDIRECT(E$6 &amp; "!A:A"),0),MATCH(E$11,INDIRECT(E$6 &amp; "!1:1"),0))/L36+1)</f>
        <v>2.3787502850351073E-2</v>
      </c>
      <c r="F36" s="14">
        <f ca="1">INDEX(INDIRECT(F$6 &amp; "!A:G"),MATCH(Cockpit!$A36,INDIRECT(F$6 &amp; "!A:A"),0),MATCH(F$11,INDIRECT(F$6 &amp; "!1:1"),0))</f>
        <v>36</v>
      </c>
      <c r="G36" s="86">
        <f ca="1">LOG((INDEX(INDIRECT(G$6 &amp; "!A:G"),MATCH(Cockpit!$A36,INDIRECT(G$6 &amp; "!A:A"),0),MATCH(G$11,INDIRECT(G$6 &amp; "!1:1"),0))/L36)+1)</f>
        <v>3.999233246363349E-4</v>
      </c>
      <c r="H36" s="14">
        <f ca="1">INDEX(INDIRECT(H$6 &amp; "!A:G"),MATCH(Cockpit!$A36,INDIRECT(H$6 &amp; "!A:A"),0),MATCH(H$11,INDIRECT(H$6 &amp; "!1:1"),0))</f>
        <v>61</v>
      </c>
      <c r="I36" s="86">
        <f ca="1">LOG(INDEX(INDIRECT(I$6 &amp; "!A:G"),MATCH(Cockpit!$A36,INDIRECT(I$6 &amp; "!A:A"),0),MATCH(I$11,INDIRECT(I$6 &amp; "!1:1"),0))/L36+1)</f>
        <v>7.3291167271779536E-4</v>
      </c>
      <c r="J36" s="86"/>
      <c r="K36" s="14" t="s">
        <v>59</v>
      </c>
      <c r="L36" s="85">
        <v>19538</v>
      </c>
      <c r="P36">
        <v>1250000</v>
      </c>
      <c r="Q36">
        <v>1650000</v>
      </c>
      <c r="R36">
        <v>7.7222379207669801E-4</v>
      </c>
      <c r="S36">
        <v>2.1816472768183472E-2</v>
      </c>
      <c r="T36">
        <v>35</v>
      </c>
      <c r="U36">
        <v>6.0976443101152145E-4</v>
      </c>
      <c r="W36">
        <v>63.5</v>
      </c>
      <c r="X36">
        <v>1.2592375598528215E-3</v>
      </c>
      <c r="Y36" t="s">
        <v>44</v>
      </c>
      <c r="Z36">
        <v>10676</v>
      </c>
    </row>
    <row r="37" spans="1:26" x14ac:dyDescent="0.25">
      <c r="A37" s="14" t="s">
        <v>60</v>
      </c>
      <c r="B37" s="14">
        <f ca="1">(INDEX(INDIRECT(B$6 &amp; "!A:G"),MATCH(Cockpit!$A37,INDIRECT(B$6 &amp; "!A:A"),0),MATCH(B$11,INDIRECT(B$6 &amp; "!1:1"),0))+INDEX(INDIRECT(B$6 &amp; "!A:G"),MATCH(Cockpit!$A37,INDIRECT(B$6 &amp; "!A:A"),0),MATCH(B$12,INDIRECT(B$6 &amp; "!1:1"),0)))/2</f>
        <v>1250000</v>
      </c>
      <c r="C37" s="14">
        <f ca="1">(INDEX(INDIRECT(C$6 &amp; "!A:G"),MATCH(Cockpit!$A37,INDIRECT(C$6 &amp; "!A:A"),0),MATCH(C$11,INDIRECT(C$6 &amp; "!1:1"),0))+INDEX(INDIRECT(C$6 &amp; "!A:G"),MATCH(Cockpit!$A37,INDIRECT(C$6 &amp; "!A:A"),0),MATCH(C$12,INDIRECT(C$6 &amp; "!1:1"),0)))/2</f>
        <v>1850000</v>
      </c>
      <c r="D37" s="86">
        <f>LOG((D$9*COUNTIF(B!F:F,Cockpit!A37)-COUNTIFS(B!F:F,Cockpit!A37,B!D:D,"TRAIN") + COUNTIFS(B!F:F,Cockpit!A37,B!D:D,"TRAIN")*D$10)/L37+1)</f>
        <v>0</v>
      </c>
      <c r="E37" s="86">
        <f ca="1">LOG(INDEX(INDIRECT(E$6 &amp; "!A:G"),MATCH(Cockpit!$A37,INDIRECT(E$6 &amp; "!A:A"),0),MATCH(E$11,INDIRECT(E$6 &amp; "!1:1"),0))/L37+1)</f>
        <v>1.8742904839601403E-2</v>
      </c>
      <c r="F37" s="14">
        <f ca="1">INDEX(INDIRECT(F$6 &amp; "!A:G"),MATCH(Cockpit!$A37,INDIRECT(F$6 &amp; "!A:A"),0),MATCH(F$11,INDIRECT(F$6 &amp; "!1:1"),0))</f>
        <v>36</v>
      </c>
      <c r="G37" s="86">
        <f ca="1">LOG((INDEX(INDIRECT(G$6 &amp; "!A:G"),MATCH(Cockpit!$A37,INDIRECT(G$6 &amp; "!A:A"),0),MATCH(G$11,INDIRECT(G$6 &amp; "!1:1"),0))/L37)+1)</f>
        <v>4.4332217109889109E-4</v>
      </c>
      <c r="H37" s="14">
        <f ca="1">INDEX(INDIRECT(H$6 &amp; "!A:G"),MATCH(Cockpit!$A37,INDIRECT(H$6 &amp; "!A:A"),0),MATCH(H$11,INDIRECT(H$6 &amp; "!1:1"),0))</f>
        <v>77</v>
      </c>
      <c r="I37" s="86">
        <f ca="1">LOG(INDEX(INDIRECT(I$6 &amp; "!A:G"),MATCH(Cockpit!$A37,INDIRECT(I$6 &amp; "!A:A"),0),MATCH(I$11,INDIRECT(I$6 &amp; "!1:1"),0))/L37+1)</f>
        <v>7.4532803517559558E-4</v>
      </c>
      <c r="J37" s="86"/>
      <c r="K37" s="14" t="s">
        <v>60</v>
      </c>
      <c r="L37" s="85">
        <v>21541</v>
      </c>
      <c r="P37">
        <v>950000</v>
      </c>
      <c r="Q37">
        <v>1550000</v>
      </c>
      <c r="R37">
        <v>0</v>
      </c>
      <c r="S37">
        <v>2.7180577603537606E-2</v>
      </c>
      <c r="T37">
        <v>30</v>
      </c>
      <c r="U37">
        <v>6.2286777532681798E-4</v>
      </c>
      <c r="W37">
        <v>76</v>
      </c>
      <c r="X37">
        <v>3.1154555274569279E-4</v>
      </c>
      <c r="Y37" t="s">
        <v>45</v>
      </c>
      <c r="Z37">
        <v>2787</v>
      </c>
    </row>
    <row r="38" spans="1:26" x14ac:dyDescent="0.25">
      <c r="A38" s="14" t="s">
        <v>61</v>
      </c>
      <c r="B38" s="14">
        <f ca="1">(INDEX(INDIRECT(B$6 &amp; "!A:G"),MATCH(Cockpit!$A38,INDIRECT(B$6 &amp; "!A:A"),0),MATCH(B$11,INDIRECT(B$6 &amp; "!1:1"),0))+INDEX(INDIRECT(B$6 &amp; "!A:G"),MATCH(Cockpit!$A38,INDIRECT(B$6 &amp; "!A:A"),0),MATCH(B$12,INDIRECT(B$6 &amp; "!1:1"),0)))/2</f>
        <v>700000</v>
      </c>
      <c r="C38" s="14">
        <f ca="1">(INDEX(INDIRECT(C$6 &amp; "!A:G"),MATCH(Cockpit!$A38,INDIRECT(C$6 &amp; "!A:A"),0),MATCH(C$11,INDIRECT(C$6 &amp; "!1:1"),0))+INDEX(INDIRECT(C$6 &amp; "!A:G"),MATCH(Cockpit!$A38,INDIRECT(C$6 &amp; "!A:A"),0),MATCH(C$12,INDIRECT(C$6 &amp; "!1:1"),0)))/2</f>
        <v>1250000</v>
      </c>
      <c r="D38" s="86">
        <f>LOG((D$9*COUNTIF(B!F:F,Cockpit!A38)-COUNTIFS(B!F:F,Cockpit!A38,B!D:D,"TRAIN") + COUNTIFS(B!F:F,Cockpit!A38,B!D:D,"TRAIN")*D$10)/L38+1)</f>
        <v>0</v>
      </c>
      <c r="E38" s="86">
        <f ca="1">LOG(INDEX(INDIRECT(E$6 &amp; "!A:G"),MATCH(Cockpit!$A38,INDIRECT(E$6 &amp; "!A:A"),0),MATCH(E$11,INDIRECT(E$6 &amp; "!1:1"),0))/L38+1)</f>
        <v>2.1189299069938092E-2</v>
      </c>
      <c r="F38" s="14">
        <f ca="1">INDEX(INDIRECT(F$6 &amp; "!A:G"),MATCH(Cockpit!$A38,INDIRECT(F$6 &amp; "!A:A"),0),MATCH(F$11,INDIRECT(F$6 &amp; "!1:1"),0))</f>
        <v>25</v>
      </c>
      <c r="G38" s="86">
        <f ca="1">LOG((INDEX(INDIRECT(G$6 &amp; "!A:G"),MATCH(Cockpit!$A38,INDIRECT(G$6 &amp; "!A:A"),0),MATCH(G$11,INDIRECT(G$6 &amp; "!1:1"),0))/L38)+1)</f>
        <v>1.084381292219893E-3</v>
      </c>
      <c r="H38" s="14">
        <f ca="1">INDEX(INDIRECT(H$6 &amp; "!A:G"),MATCH(Cockpit!$A38,INDIRECT(H$6 &amp; "!A:A"),0),MATCH(H$11,INDIRECT(H$6 &amp; "!1:1"),0))</f>
        <v>77</v>
      </c>
      <c r="I38" s="86">
        <f ca="1">LOG(INDEX(INDIRECT(I$6 &amp; "!A:G"),MATCH(Cockpit!$A38,INDIRECT(I$6 &amp; "!A:A"),0),MATCH(I$11,INDIRECT(I$6 &amp; "!1:1"),0))/L38+1)</f>
        <v>2.705893375924967E-3</v>
      </c>
      <c r="J38" s="86"/>
      <c r="K38" s="14" t="s">
        <v>61</v>
      </c>
      <c r="L38" s="85">
        <v>800</v>
      </c>
      <c r="P38">
        <v>1350000</v>
      </c>
      <c r="Q38">
        <v>1950000</v>
      </c>
      <c r="R38">
        <v>3.1780768135479401E-3</v>
      </c>
      <c r="S38">
        <v>3.3060100885920887E-2</v>
      </c>
      <c r="T38">
        <v>29</v>
      </c>
      <c r="U38">
        <v>9.8034913390091243E-4</v>
      </c>
      <c r="W38">
        <v>62</v>
      </c>
      <c r="X38">
        <v>2.2026817221184295E-3</v>
      </c>
      <c r="Y38" t="s">
        <v>46</v>
      </c>
      <c r="Z38">
        <v>1770</v>
      </c>
    </row>
    <row r="39" spans="1:26" x14ac:dyDescent="0.25">
      <c r="A39" s="14" t="s">
        <v>62</v>
      </c>
      <c r="B39" s="14">
        <f ca="1">(INDEX(INDIRECT(B$6 &amp; "!A:G"),MATCH(Cockpit!$A39,INDIRECT(B$6 &amp; "!A:A"),0),MATCH(B$11,INDIRECT(B$6 &amp; "!1:1"),0))+INDEX(INDIRECT(B$6 &amp; "!A:G"),MATCH(Cockpit!$A39,INDIRECT(B$6 &amp; "!A:A"),0),MATCH(B$12,INDIRECT(B$6 &amp; "!1:1"),0)))/2</f>
        <v>450000</v>
      </c>
      <c r="C39" s="14">
        <f ca="1">(INDEX(INDIRECT(C$6 &amp; "!A:G"),MATCH(Cockpit!$A39,INDIRECT(C$6 &amp; "!A:A"),0),MATCH(C$11,INDIRECT(C$6 &amp; "!1:1"),0))+INDEX(INDIRECT(C$6 &amp; "!A:G"),MATCH(Cockpit!$A39,INDIRECT(C$6 &amp; "!A:A"),0),MATCH(C$12,INDIRECT(C$6 &amp; "!1:1"),0)))/2</f>
        <v>850000</v>
      </c>
      <c r="D39" s="86">
        <f>LOG((D$9*COUNTIF(B!F:F,Cockpit!A39)-COUNTIFS(B!F:F,Cockpit!A39,B!D:D,"TRAIN") + COUNTIFS(B!F:F,Cockpit!A39,B!D:D,"TRAIN")*D$10)/L39+1)</f>
        <v>2.6789715709048777E-3</v>
      </c>
      <c r="E39" s="86">
        <f ca="1">LOG(INDEX(INDIRECT(E$6 &amp; "!A:G"),MATCH(Cockpit!$A39,INDIRECT(E$6 &amp; "!A:A"),0),MATCH(E$11,INDIRECT(E$6 &amp; "!1:1"),0))/L39+1)</f>
        <v>2.932706382552433E-2</v>
      </c>
      <c r="F39" s="14">
        <f ca="1">INDEX(INDIRECT(F$6 &amp; "!A:G"),MATCH(Cockpit!$A39,INDIRECT(F$6 &amp; "!A:A"),0),MATCH(F$11,INDIRECT(F$6 &amp; "!1:1"),0))</f>
        <v>23</v>
      </c>
      <c r="G39" s="86">
        <f ca="1">LOG((INDEX(INDIRECT(G$6 &amp; "!A:G"),MATCH(Cockpit!$A39,INDIRECT(G$6 &amp; "!A:A"),0),MATCH(G$11,INDIRECT(G$6 &amp; "!1:1"),0))/L39)+1)</f>
        <v>7.7946981481120817E-4</v>
      </c>
      <c r="H39" s="14">
        <f ca="1">INDEX(INDIRECT(H$6 &amp; "!A:G"),MATCH(Cockpit!$A39,INDIRECT(H$6 &amp; "!A:A"),0),MATCH(H$11,INDIRECT(H$6 &amp; "!1:1"),0))</f>
        <v>70</v>
      </c>
      <c r="I39" s="86">
        <f ca="1">LOG(INDEX(INDIRECT(I$6 &amp; "!A:G"),MATCH(Cockpit!$A39,INDIRECT(I$6 &amp; "!A:A"),0),MATCH(I$11,INDIRECT(I$6 &amp; "!1:1"),0))/L39+1)</f>
        <v>3.7115723709847241E-3</v>
      </c>
      <c r="J39" s="86"/>
      <c r="K39" s="14" t="s">
        <v>62</v>
      </c>
      <c r="L39" s="85">
        <v>5010</v>
      </c>
      <c r="P39">
        <v>1450000</v>
      </c>
      <c r="Q39">
        <v>1950000</v>
      </c>
      <c r="R39">
        <v>1.1984677682186822E-3</v>
      </c>
      <c r="S39">
        <v>3.1809482931733406E-2</v>
      </c>
      <c r="T39">
        <v>30</v>
      </c>
      <c r="U39">
        <v>7.4942983550111938E-4</v>
      </c>
      <c r="W39">
        <v>60.5</v>
      </c>
      <c r="X39">
        <v>8.9916073920914992E-4</v>
      </c>
      <c r="Y39" t="s">
        <v>47</v>
      </c>
      <c r="Z39">
        <v>2895</v>
      </c>
    </row>
    <row r="40" spans="1:26" x14ac:dyDescent="0.25">
      <c r="A40" s="14" t="s">
        <v>63</v>
      </c>
      <c r="B40" s="14">
        <f ca="1">(INDEX(INDIRECT(B$6 &amp; "!A:G"),MATCH(Cockpit!$A40,INDIRECT(B$6 &amp; "!A:A"),0),MATCH(B$11,INDIRECT(B$6 &amp; "!1:1"),0))+INDEX(INDIRECT(B$6 &amp; "!A:G"),MATCH(Cockpit!$A40,INDIRECT(B$6 &amp; "!A:A"),0),MATCH(B$12,INDIRECT(B$6 &amp; "!1:1"),0)))/2</f>
        <v>1450000</v>
      </c>
      <c r="C40" s="14">
        <f ca="1">(INDEX(INDIRECT(C$6 &amp; "!A:G"),MATCH(Cockpit!$A40,INDIRECT(C$6 &amp; "!A:A"),0),MATCH(C$11,INDIRECT(C$6 &amp; "!1:1"),0))+INDEX(INDIRECT(C$6 &amp; "!A:G"),MATCH(Cockpit!$A40,INDIRECT(C$6 &amp; "!A:A"),0),MATCH(C$12,INDIRECT(C$6 &amp; "!1:1"),0)))/2</f>
        <v>2750000</v>
      </c>
      <c r="D40" s="86">
        <f>LOG((D$9*COUNTIF(B!F:F,Cockpit!A40)-COUNTIFS(B!F:F,Cockpit!A40,B!D:D,"TRAIN") + COUNTIFS(B!F:F,Cockpit!A40,B!D:D,"TRAIN")*D$10)/L40+1)</f>
        <v>0</v>
      </c>
      <c r="E40" s="86">
        <f ca="1">LOG(INDEX(INDIRECT(E$6 &amp; "!A:G"),MATCH(Cockpit!$A40,INDIRECT(E$6 &amp; "!A:A"),0),MATCH(E$11,INDIRECT(E$6 &amp; "!1:1"),0))/L40+1)</f>
        <v>2.4566085304825368E-2</v>
      </c>
      <c r="F40" s="14">
        <f ca="1">INDEX(INDIRECT(F$6 &amp; "!A:G"),MATCH(Cockpit!$A40,INDIRECT(F$6 &amp; "!A:A"),0),MATCH(F$11,INDIRECT(F$6 &amp; "!1:1"),0))</f>
        <v>28</v>
      </c>
      <c r="G40" s="86">
        <f ca="1">LOG((INDEX(INDIRECT(G$6 &amp; "!A:G"),MATCH(Cockpit!$A40,INDIRECT(G$6 &amp; "!A:A"),0),MATCH(G$11,INDIRECT(G$6 &amp; "!1:1"),0))/L40)+1)</f>
        <v>7.5756397484736413E-4</v>
      </c>
      <c r="H40" s="14">
        <f ca="1">INDEX(INDIRECT(H$6 &amp; "!A:G"),MATCH(Cockpit!$A40,INDIRECT(H$6 &amp; "!A:A"),0),MATCH(H$11,INDIRECT(H$6 &amp; "!1:1"),0))</f>
        <v>55</v>
      </c>
      <c r="I40" s="86">
        <f ca="1">LOG(INDEX(INDIRECT(I$6 &amp; "!A:G"),MATCH(Cockpit!$A40,INDIRECT(I$6 &amp; "!A:A"),0),MATCH(I$11,INDIRECT(I$6 &amp; "!1:1"),0))/L40+1)</f>
        <v>1.5138087895472487E-3</v>
      </c>
      <c r="J40" s="86"/>
      <c r="K40" s="14" t="s">
        <v>63</v>
      </c>
      <c r="L40" s="85">
        <v>5155</v>
      </c>
      <c r="P40">
        <v>1250000</v>
      </c>
      <c r="Q40">
        <v>2150000</v>
      </c>
      <c r="R40">
        <v>0</v>
      </c>
      <c r="S40">
        <v>1.4697258168724414E-2</v>
      </c>
      <c r="T40">
        <v>35</v>
      </c>
      <c r="U40">
        <v>5.8455857731837377E-4</v>
      </c>
      <c r="W40">
        <v>62.5</v>
      </c>
      <c r="X40">
        <v>1.6542100418641061E-3</v>
      </c>
      <c r="Y40" t="s">
        <v>48</v>
      </c>
      <c r="Z40">
        <v>13364</v>
      </c>
    </row>
    <row r="41" spans="1:26" x14ac:dyDescent="0.25">
      <c r="A41" s="14" t="s">
        <v>64</v>
      </c>
      <c r="B41" s="14">
        <f ca="1">(INDEX(INDIRECT(B$6 &amp; "!A:G"),MATCH(Cockpit!$A41,INDIRECT(B$6 &amp; "!A:A"),0),MATCH(B$11,INDIRECT(B$6 &amp; "!1:1"),0))+INDEX(INDIRECT(B$6 &amp; "!A:G"),MATCH(Cockpit!$A41,INDIRECT(B$6 &amp; "!A:A"),0),MATCH(B$12,INDIRECT(B$6 &amp; "!1:1"),0)))/2</f>
        <v>950000</v>
      </c>
      <c r="C41" s="14">
        <f ca="1">(INDEX(INDIRECT(C$6 &amp; "!A:G"),MATCH(Cockpit!$A41,INDIRECT(C$6 &amp; "!A:A"),0),MATCH(C$11,INDIRECT(C$6 &amp; "!1:1"),0))+INDEX(INDIRECT(C$6 &amp; "!A:G"),MATCH(Cockpit!$A41,INDIRECT(C$6 &amp; "!A:A"),0),MATCH(C$12,INDIRECT(C$6 &amp; "!1:1"),0)))/2</f>
        <v>1550000</v>
      </c>
      <c r="D41" s="86">
        <f>LOG((D$9*COUNTIF(B!F:F,Cockpit!A41)-COUNTIFS(B!F:F,Cockpit!A41,B!D:D,"TRAIN") + COUNTIFS(B!F:F,Cockpit!A41,B!D:D,"TRAIN")*D$10)/L41+1)</f>
        <v>1.2330913505470636E-3</v>
      </c>
      <c r="E41" s="86">
        <f ca="1">LOG(INDEX(INDIRECT(E$6 &amp; "!A:G"),MATCH(Cockpit!$A41,INDIRECT(E$6 &amp; "!A:A"),0),MATCH(E$11,INDIRECT(E$6 &amp; "!1:1"),0))/L41+1)</f>
        <v>3.7819430881373746E-2</v>
      </c>
      <c r="F41" s="14">
        <f ca="1">INDEX(INDIRECT(F$6 &amp; "!A:G"),MATCH(Cockpit!$A41,INDIRECT(F$6 &amp; "!A:A"),0),MATCH(F$11,INDIRECT(F$6 &amp; "!1:1"),0))</f>
        <v>32</v>
      </c>
      <c r="G41" s="86">
        <f ca="1">LOG((INDEX(INDIRECT(G$6 &amp; "!A:G"),MATCH(Cockpit!$A41,INDIRECT(G$6 &amp; "!A:A"),0),MATCH(G$11,INDIRECT(G$6 &amp; "!1:1"),0))/L41)+1)</f>
        <v>9.8675301047493921E-4</v>
      </c>
      <c r="H41" s="14">
        <f ca="1">INDEX(INDIRECT(H$6 &amp; "!A:G"),MATCH(Cockpit!$A41,INDIRECT(H$6 &amp; "!A:A"),0),MATCH(H$11,INDIRECT(H$6 &amp; "!1:1"),0))</f>
        <v>69</v>
      </c>
      <c r="I41" s="86">
        <f ca="1">LOG(INDEX(INDIRECT(I$6 &amp; "!A:G"),MATCH(Cockpit!$A41,INDIRECT(I$6 &amp; "!A:A"),0),MATCH(I$11,INDIRECT(I$6 &amp; "!1:1"),0))/L41+1)</f>
        <v>1.2330913505470636E-3</v>
      </c>
      <c r="J41" s="86"/>
      <c r="K41" s="14" t="s">
        <v>64</v>
      </c>
      <c r="L41" s="85">
        <v>3517</v>
      </c>
      <c r="P41">
        <v>1350000</v>
      </c>
      <c r="Q41">
        <v>1850000</v>
      </c>
      <c r="R41">
        <v>1.051030821100292E-3</v>
      </c>
      <c r="S41">
        <v>3.169897417565487E-2</v>
      </c>
      <c r="T41">
        <v>30</v>
      </c>
      <c r="U41">
        <v>5.2583335884421537E-4</v>
      </c>
      <c r="W41">
        <v>64.5</v>
      </c>
      <c r="X41">
        <v>3.2325427513225729E-3</v>
      </c>
      <c r="Y41" t="s">
        <v>49</v>
      </c>
      <c r="Z41">
        <v>9905</v>
      </c>
    </row>
    <row r="42" spans="1:26" x14ac:dyDescent="0.25">
      <c r="A42" s="14" t="s">
        <v>65</v>
      </c>
      <c r="B42" s="14">
        <f ca="1">(INDEX(INDIRECT(B$6 &amp; "!A:G"),MATCH(Cockpit!$A42,INDIRECT(B$6 &amp; "!A:A"),0),MATCH(B$11,INDIRECT(B$6 &amp; "!1:1"),0))+INDEX(INDIRECT(B$6 &amp; "!A:G"),MATCH(Cockpit!$A42,INDIRECT(B$6 &amp; "!A:A"),0),MATCH(B$12,INDIRECT(B$6 &amp; "!1:1"),0)))/2</f>
        <v>1350000</v>
      </c>
      <c r="C42" s="14">
        <f ca="1">(INDEX(INDIRECT(C$6 &amp; "!A:G"),MATCH(Cockpit!$A42,INDIRECT(C$6 &amp; "!A:A"),0),MATCH(C$11,INDIRECT(C$6 &amp; "!1:1"),0))+INDEX(INDIRECT(C$6 &amp; "!A:G"),MATCH(Cockpit!$A42,INDIRECT(C$6 &amp; "!A:A"),0),MATCH(C$12,INDIRECT(C$6 &amp; "!1:1"),0)))/2</f>
        <v>1850000</v>
      </c>
      <c r="D42" s="86">
        <f>LOG((D$9*COUNTIF(B!F:F,Cockpit!A42)-COUNTIFS(B!F:F,Cockpit!A42,B!D:D,"TRAIN") + COUNTIFS(B!F:F,Cockpit!A42,B!D:D,"TRAIN")*D$10)/L42+1)</f>
        <v>1.8224695269677759E-4</v>
      </c>
      <c r="E42" s="86">
        <f ca="1">LOG(INDEX(INDIRECT(E$6 &amp; "!A:G"),MATCH(Cockpit!$A42,INDIRECT(E$6 &amp; "!A:A"),0),MATCH(E$11,INDIRECT(E$6 &amp; "!1:1"),0))/L42+1)</f>
        <v>3.6304870302189107E-3</v>
      </c>
      <c r="F42" s="14">
        <f ca="1">INDEX(INDIRECT(F$6 &amp; "!A:G"),MATCH(Cockpit!$A42,INDIRECT(F$6 &amp; "!A:A"),0),MATCH(F$11,INDIRECT(F$6 &amp; "!1:1"),0))</f>
        <v>32</v>
      </c>
      <c r="G42" s="86">
        <f ca="1">LOG((INDEX(INDIRECT(G$6 &amp; "!A:G"),MATCH(Cockpit!$A42,INDIRECT(G$6 &amp; "!A:A"),0),MATCH(G$11,INDIRECT(G$6 &amp; "!1:1"),0))/L42)+1)</f>
        <v>9.1133036092095983E-5</v>
      </c>
      <c r="H42" s="14">
        <f ca="1">INDEX(INDIRECT(H$6 &amp; "!A:G"),MATCH(Cockpit!$A42,INDIRECT(H$6 &amp; "!A:A"),0),MATCH(H$11,INDIRECT(H$6 &amp; "!1:1"),0))</f>
        <v>60.5</v>
      </c>
      <c r="I42" s="86">
        <f ca="1">LOG(INDEX(INDIRECT(I$6 &amp; "!A:G"),MATCH(Cockpit!$A42,INDIRECT(I$6 &amp; "!A:A"),0),MATCH(I$11,INDIRECT(I$6 &amp; "!1:1"),0))/L42+1)</f>
        <v>4.5333864862080802E-3</v>
      </c>
      <c r="J42" s="86"/>
      <c r="K42" s="14" t="s">
        <v>65</v>
      </c>
      <c r="L42" s="85">
        <v>9530</v>
      </c>
      <c r="M42">
        <v>953</v>
      </c>
      <c r="P42">
        <v>950000</v>
      </c>
      <c r="Q42">
        <v>1550000</v>
      </c>
      <c r="R42">
        <v>1.8599363841239043E-3</v>
      </c>
      <c r="S42">
        <v>3.9184259407936163E-2</v>
      </c>
      <c r="T42">
        <v>22</v>
      </c>
      <c r="U42">
        <v>1.116917414342889E-3</v>
      </c>
      <c r="W42">
        <v>73</v>
      </c>
      <c r="X42">
        <v>2.2309697103253213E-3</v>
      </c>
      <c r="Y42" t="s">
        <v>50</v>
      </c>
      <c r="Z42">
        <v>1165</v>
      </c>
    </row>
    <row r="43" spans="1:26" x14ac:dyDescent="0.25">
      <c r="A43" s="14" t="s">
        <v>66</v>
      </c>
      <c r="B43" s="14">
        <f ca="1">(INDEX(INDIRECT(B$6 &amp; "!A:G"),MATCH(Cockpit!$A43,INDIRECT(B$6 &amp; "!A:A"),0),MATCH(B$11,INDIRECT(B$6 &amp; "!1:1"),0))+INDEX(INDIRECT(B$6 &amp; "!A:G"),MATCH(Cockpit!$A43,INDIRECT(B$6 &amp; "!A:A"),0),MATCH(B$12,INDIRECT(B$6 &amp; "!1:1"),0)))/2</f>
        <v>350000</v>
      </c>
      <c r="C43" s="14">
        <f ca="1">(INDEX(INDIRECT(C$6 &amp; "!A:G"),MATCH(Cockpit!$A43,INDIRECT(C$6 &amp; "!A:A"),0),MATCH(C$11,INDIRECT(C$6 &amp; "!1:1"),0))+INDEX(INDIRECT(C$6 &amp; "!A:G"),MATCH(Cockpit!$A43,INDIRECT(C$6 &amp; "!A:A"),0),MATCH(C$12,INDIRECT(C$6 &amp; "!1:1"),0)))/2</f>
        <v>650000</v>
      </c>
      <c r="D43" s="86">
        <f>LOG((D$9*COUNTIF(B!F:F,Cockpit!A43)-COUNTIFS(B!F:F,Cockpit!A43,B!D:D,"TRAIN") + COUNTIFS(B!F:F,Cockpit!A43,B!D:D,"TRAIN")*D$10)/M43+1)</f>
        <v>6.2877238390471393E-3</v>
      </c>
      <c r="E43" s="86">
        <f ca="1">LOG(INDEX(INDIRECT(E$6 &amp; "!A:G"),MATCH(Cockpit!$A43,INDIRECT(E$6 &amp; "!A:A"),0),MATCH(E$11,INDIRECT(E$6 &amp; "!1:1"),0))/M43+1)</f>
        <v>0.2872417111783479</v>
      </c>
      <c r="F43" s="14">
        <f ca="1">INDEX(INDIRECT(F$6 &amp; "!A:G"),MATCH(Cockpit!$A43,INDIRECT(F$6 &amp; "!A:A"),0),MATCH(F$11,INDIRECT(F$6 &amp; "!1:1"),0))</f>
        <v>22</v>
      </c>
      <c r="G43" s="86">
        <f ca="1">LOG((INDEX(INDIRECT(G$6 &amp; "!A:G"),MATCH(Cockpit!$A43,INDIRECT(G$6 &amp; "!A:A"),0),MATCH(G$11,INDIRECT(G$6 &amp; "!1:1"),0))/M43)+1)</f>
        <v>4.5005012266764706E-3</v>
      </c>
      <c r="H43" s="14">
        <f ca="1">INDEX(INDIRECT(H$6 &amp; "!A:G"),MATCH(Cockpit!$A43,INDIRECT(H$6 &amp; "!A:A"),0),MATCH(H$11,INDIRECT(H$6 &amp; "!1:1"),0))</f>
        <v>81</v>
      </c>
      <c r="I43" s="86">
        <f ca="1">LOG(INDEX(INDIRECT(I$6 &amp; "!A:G"),MATCH(Cockpit!$A43,INDIRECT(I$6 &amp; "!A:A"),0),MATCH(I$11,INDIRECT(I$6 &amp; "!1:1"),0))/M43+1)</f>
        <v>9.8402547473812677E-3</v>
      </c>
      <c r="J43" s="86"/>
      <c r="K43" s="14" t="s">
        <v>66</v>
      </c>
      <c r="L43" s="85">
        <v>4800</v>
      </c>
      <c r="M43" s="85">
        <v>480</v>
      </c>
      <c r="P43">
        <v>850000</v>
      </c>
      <c r="Q43">
        <v>1350000</v>
      </c>
      <c r="R43">
        <v>2.206072303489176E-3</v>
      </c>
      <c r="S43">
        <v>2.538173118895707E-2</v>
      </c>
      <c r="T43">
        <v>30</v>
      </c>
      <c r="U43">
        <v>6.0276828816057347E-4</v>
      </c>
      <c r="W43">
        <v>69</v>
      </c>
      <c r="X43">
        <v>6.0276828816057347E-4</v>
      </c>
      <c r="Y43" t="s">
        <v>51</v>
      </c>
      <c r="Z43">
        <v>2160</v>
      </c>
    </row>
    <row r="44" spans="1:26" x14ac:dyDescent="0.25">
      <c r="D44" s="14"/>
      <c r="P44">
        <v>1550000</v>
      </c>
      <c r="Q44">
        <v>2550000</v>
      </c>
      <c r="R44">
        <v>6.8594504375198335E-4</v>
      </c>
      <c r="S44">
        <v>2.4761459033336208E-2</v>
      </c>
      <c r="T44">
        <v>36</v>
      </c>
      <c r="U44">
        <v>3.8953405202529897E-4</v>
      </c>
      <c r="W44">
        <v>78.5</v>
      </c>
      <c r="X44">
        <v>1.4245946809637409E-3</v>
      </c>
      <c r="Y44" t="s">
        <v>52</v>
      </c>
      <c r="Z44">
        <v>144873</v>
      </c>
    </row>
    <row r="45" spans="1:26" x14ac:dyDescent="0.25">
      <c r="A45" s="14" t="s">
        <v>67</v>
      </c>
      <c r="P45">
        <v>1350000</v>
      </c>
      <c r="Q45">
        <v>1750000</v>
      </c>
      <c r="R45">
        <v>5.9196111547553615E-4</v>
      </c>
      <c r="S45">
        <v>3.7100721495828978E-2</v>
      </c>
      <c r="T45">
        <v>30</v>
      </c>
      <c r="U45">
        <v>9.1037551814688884E-4</v>
      </c>
      <c r="W45">
        <v>72</v>
      </c>
      <c r="X45">
        <v>6.8296048341526369E-4</v>
      </c>
      <c r="Y45" t="s">
        <v>53</v>
      </c>
      <c r="Z45">
        <v>9531</v>
      </c>
    </row>
    <row r="46" spans="1:26" x14ac:dyDescent="0.25">
      <c r="A46" s="14" t="s">
        <v>68</v>
      </c>
      <c r="B46">
        <f t="shared" ref="B46:G46" ca="1" si="0">AVERAGE(B14:B43)</f>
        <v>1201666.6666666667</v>
      </c>
      <c r="C46">
        <f t="shared" ca="1" si="0"/>
        <v>1778333.3333333333</v>
      </c>
      <c r="D46">
        <f t="shared" si="0"/>
        <v>1.3137350874038568E-3</v>
      </c>
      <c r="E46">
        <f t="shared" ca="1" si="0"/>
        <v>3.445308789323407E-2</v>
      </c>
      <c r="F46">
        <f t="shared" ca="1" si="0"/>
        <v>31.466666666666665</v>
      </c>
      <c r="G46">
        <f t="shared" ca="1" si="0"/>
        <v>7.8323777579593118E-4</v>
      </c>
      <c r="H46">
        <f ca="1">AVERAGE(H14:H43)</f>
        <v>67.7</v>
      </c>
      <c r="I46">
        <f ca="1">AVERAGE(I14:I43)</f>
        <v>2.9376498732030447E-3</v>
      </c>
      <c r="P46">
        <v>1350000</v>
      </c>
      <c r="Q46">
        <v>1850000</v>
      </c>
      <c r="R46">
        <v>3.2170108719977598E-3</v>
      </c>
      <c r="S46">
        <v>3.8595050409749303E-2</v>
      </c>
      <c r="T46">
        <v>38</v>
      </c>
      <c r="U46">
        <v>8.0648952034950542E-4</v>
      </c>
      <c r="W46">
        <v>55</v>
      </c>
      <c r="X46">
        <v>1.5851923271189533E-2</v>
      </c>
      <c r="Y46" t="s">
        <v>54</v>
      </c>
      <c r="Z46">
        <v>2690</v>
      </c>
    </row>
    <row r="47" spans="1:26" ht="15.75" customHeight="1" thickBot="1" x14ac:dyDescent="0.3">
      <c r="A47" s="83" t="s">
        <v>69</v>
      </c>
      <c r="B47" s="84">
        <f t="shared" ref="B47:G47" ca="1" si="1">STDEV(B14:B43)</f>
        <v>314994.07036929444</v>
      </c>
      <c r="C47" s="84">
        <f t="shared" ca="1" si="1"/>
        <v>452518.49520848022</v>
      </c>
      <c r="D47" s="84">
        <f t="shared" si="1"/>
        <v>1.3493174248293677E-3</v>
      </c>
      <c r="E47" s="84">
        <f t="shared" ca="1" si="1"/>
        <v>4.8383084115483629E-2</v>
      </c>
      <c r="F47" s="84">
        <f t="shared" ca="1" si="1"/>
        <v>5.6491276917910911</v>
      </c>
      <c r="G47" s="84">
        <f t="shared" ca="1" si="1"/>
        <v>7.5375142892346737E-4</v>
      </c>
      <c r="H47" s="84">
        <f ca="1">STDEV(H14:H43)</f>
        <v>7.3573795934937474</v>
      </c>
      <c r="I47" s="84">
        <f ca="1">STDEV(I14:I43)</f>
        <v>5.2803838300517466E-3</v>
      </c>
      <c r="J47" s="84"/>
      <c r="K47" s="84"/>
      <c r="L47" s="84"/>
      <c r="P47">
        <v>1550000</v>
      </c>
      <c r="Q47">
        <v>2400000</v>
      </c>
      <c r="R47">
        <v>1.9346793137357068E-3</v>
      </c>
      <c r="S47">
        <v>2.358526181523048E-2</v>
      </c>
      <c r="T47">
        <v>38</v>
      </c>
      <c r="U47">
        <v>4.4412585109163615E-4</v>
      </c>
      <c r="W47">
        <v>54</v>
      </c>
      <c r="X47">
        <v>1.2101841805405597E-3</v>
      </c>
      <c r="Y47" t="s">
        <v>55</v>
      </c>
      <c r="Z47">
        <v>10751</v>
      </c>
    </row>
    <row r="48" spans="1:26" x14ac:dyDescent="0.25">
      <c r="A48" s="14" t="s">
        <v>28</v>
      </c>
      <c r="B48">
        <f ca="1">(B14-B$46)/B$47*B$8</f>
        <v>-4.7884499272160452</v>
      </c>
      <c r="C48">
        <f t="shared" ref="B48:G57" ca="1" si="2">(C14-C$46)/C$47*C$8</f>
        <v>-3.6278443512244345</v>
      </c>
      <c r="D48">
        <f t="shared" si="2"/>
        <v>-1.4253636756115198</v>
      </c>
      <c r="E48">
        <f t="shared" ca="1" si="2"/>
        <v>-1.0305447283112801</v>
      </c>
      <c r="F48">
        <f ca="1">(F14-F$46)/F$47*F$8</f>
        <v>-4.5788780282404051</v>
      </c>
      <c r="G48">
        <f t="shared" ca="1" si="2"/>
        <v>-2.7959967731840432</v>
      </c>
      <c r="H48">
        <f t="shared" ref="H48:I77" ca="1" si="3">(H14-H$46)/H$47*H$8</f>
        <v>1.563056500465142</v>
      </c>
      <c r="I48">
        <f t="shared" ca="1" si="3"/>
        <v>21.134017960964773</v>
      </c>
      <c r="K48" s="16"/>
      <c r="L48" s="14" t="s">
        <v>28</v>
      </c>
      <c r="M48" s="85"/>
      <c r="N48" s="14"/>
      <c r="P48">
        <v>1450000</v>
      </c>
      <c r="Q48">
        <v>2050000</v>
      </c>
      <c r="R48">
        <v>1.0020022878779024E-3</v>
      </c>
      <c r="S48">
        <v>3.7482611963817351E-2</v>
      </c>
      <c r="T48">
        <v>38</v>
      </c>
      <c r="U48">
        <v>7.3339924308201277E-4</v>
      </c>
      <c r="W48">
        <v>67</v>
      </c>
      <c r="X48">
        <v>7.3339924308201277E-4</v>
      </c>
      <c r="Y48" t="s">
        <v>56</v>
      </c>
      <c r="Z48">
        <v>17750</v>
      </c>
    </row>
    <row r="49" spans="1:26" x14ac:dyDescent="0.25">
      <c r="A49" s="14" t="s">
        <v>32</v>
      </c>
      <c r="B49">
        <f t="shared" ca="1" si="2"/>
        <v>0.76721020933295603</v>
      </c>
      <c r="C49">
        <f t="shared" ca="1" si="2"/>
        <v>-0.31306271051175238</v>
      </c>
      <c r="D49">
        <f t="shared" si="2"/>
        <v>8.0978230093196615</v>
      </c>
      <c r="E49">
        <f t="shared" ca="1" si="2"/>
        <v>-0.46936953376029539</v>
      </c>
      <c r="F49">
        <f t="shared" ca="1" si="2"/>
        <v>6.0422308001522893</v>
      </c>
      <c r="G49">
        <f t="shared" ca="1" si="2"/>
        <v>-3.6058645183946068</v>
      </c>
      <c r="H49">
        <f t="shared" ca="1" si="3"/>
        <v>2.9222360660870059</v>
      </c>
      <c r="I49">
        <f t="shared" ca="1" si="3"/>
        <v>-2.2567954559892973</v>
      </c>
      <c r="K49" s="16">
        <f t="shared" ref="K49:K64" ca="1" si="4">I49-H49+G49+F49+E49+D49-C49-B49</f>
        <v>4.431640736419542</v>
      </c>
      <c r="L49" s="14" t="s">
        <v>32</v>
      </c>
      <c r="M49" s="85"/>
      <c r="N49" s="14"/>
      <c r="P49">
        <v>1350000</v>
      </c>
      <c r="Q49">
        <v>2350000</v>
      </c>
      <c r="R49">
        <v>2.5000162749457954E-4</v>
      </c>
      <c r="S49">
        <v>1.8761176398655387E-2</v>
      </c>
      <c r="T49">
        <v>38</v>
      </c>
      <c r="U49">
        <v>4.9985942433926551E-4</v>
      </c>
      <c r="W49">
        <v>65</v>
      </c>
      <c r="X49">
        <v>6.6635146467752869E-4</v>
      </c>
      <c r="Y49" t="s">
        <v>57</v>
      </c>
      <c r="Z49">
        <v>5210</v>
      </c>
    </row>
    <row r="50" spans="1:26" x14ac:dyDescent="0.25">
      <c r="A50" s="14" t="s">
        <v>36</v>
      </c>
      <c r="B50">
        <f t="shared" ca="1" si="2"/>
        <v>3.941873144503814</v>
      </c>
      <c r="C50">
        <f t="shared" ca="1" si="2"/>
        <v>4.1066461437718242</v>
      </c>
      <c r="D50">
        <f>(D16-D$46)/D$47*D$8</f>
        <v>5.2296147804336623</v>
      </c>
      <c r="E50">
        <f t="shared" ca="1" si="2"/>
        <v>-0.6358208283480018</v>
      </c>
      <c r="F50">
        <f t="shared" ca="1" si="2"/>
        <v>2.5018611906880581</v>
      </c>
      <c r="G50">
        <f t="shared" ca="1" si="2"/>
        <v>-3.2036790240894049</v>
      </c>
      <c r="H50">
        <f t="shared" ca="1" si="3"/>
        <v>-3.533866870616849</v>
      </c>
      <c r="I50">
        <f t="shared" ca="1" si="3"/>
        <v>-2.2499116248396804</v>
      </c>
      <c r="K50" s="16">
        <f t="shared" ca="1" si="4"/>
        <v>-2.8725879238141556</v>
      </c>
      <c r="L50" s="14" t="s">
        <v>36</v>
      </c>
      <c r="M50" s="85"/>
      <c r="N50" s="14"/>
      <c r="P50">
        <v>1350000</v>
      </c>
      <c r="Q50">
        <v>1650000</v>
      </c>
      <c r="R50">
        <v>7.1427232453075867E-4</v>
      </c>
      <c r="S50">
        <v>2.1581403471759599E-2</v>
      </c>
      <c r="T50">
        <v>36</v>
      </c>
      <c r="U50">
        <v>4.7631205296556927E-4</v>
      </c>
      <c r="W50">
        <v>72.5</v>
      </c>
      <c r="X50">
        <v>1.3934412515974042E-3</v>
      </c>
      <c r="Y50" t="s">
        <v>58</v>
      </c>
      <c r="Z50">
        <v>12758</v>
      </c>
    </row>
    <row r="51" spans="1:26" x14ac:dyDescent="0.25">
      <c r="A51" s="14" t="s">
        <v>40</v>
      </c>
      <c r="B51">
        <f t="shared" ca="1" si="2"/>
        <v>-0.82012125825247284</v>
      </c>
      <c r="C51">
        <f t="shared" ca="1" si="2"/>
        <v>-1.4179899240826466</v>
      </c>
      <c r="D51">
        <f t="shared" si="2"/>
        <v>-3.0634706126902564</v>
      </c>
      <c r="E51">
        <f t="shared" ca="1" si="2"/>
        <v>-0.60954855387707818</v>
      </c>
      <c r="F51">
        <f t="shared" ca="1" si="2"/>
        <v>-4.5788780282404051</v>
      </c>
      <c r="G51">
        <f t="shared" ca="1" si="2"/>
        <v>7.0262218867619692</v>
      </c>
      <c r="H51">
        <f t="shared" ca="1" si="3"/>
        <v>0.20387693484327771</v>
      </c>
      <c r="I51">
        <f t="shared" ca="1" si="3"/>
        <v>-2.0968440224973555</v>
      </c>
      <c r="K51" s="16">
        <f t="shared" ca="1" si="4"/>
        <v>-1.2882850830512835</v>
      </c>
      <c r="L51" s="14" t="s">
        <v>40</v>
      </c>
      <c r="M51" s="85"/>
      <c r="N51" s="14"/>
      <c r="P51">
        <v>1700000</v>
      </c>
      <c r="Q51">
        <v>2250000</v>
      </c>
      <c r="R51">
        <v>9.7694096429842728E-4</v>
      </c>
      <c r="S51">
        <v>2.3787502850351073E-2</v>
      </c>
      <c r="T51">
        <v>36</v>
      </c>
      <c r="U51">
        <v>3.999233246363349E-4</v>
      </c>
      <c r="W51">
        <v>61</v>
      </c>
      <c r="X51">
        <v>7.3291167271779536E-4</v>
      </c>
      <c r="Y51" t="s">
        <v>59</v>
      </c>
      <c r="Z51">
        <v>19538</v>
      </c>
    </row>
    <row r="52" spans="1:26" x14ac:dyDescent="0.25">
      <c r="A52" s="14" t="s">
        <v>41</v>
      </c>
      <c r="B52">
        <f t="shared" ca="1" si="2"/>
        <v>0.76721020933295603</v>
      </c>
      <c r="C52">
        <f t="shared" ca="1" si="2"/>
        <v>-1.4179899240826466</v>
      </c>
      <c r="D52">
        <f t="shared" si="2"/>
        <v>-1.5917560036680332</v>
      </c>
      <c r="E52">
        <f t="shared" ca="1" si="2"/>
        <v>-0.7818853986551153</v>
      </c>
      <c r="F52">
        <f t="shared" ca="1" si="2"/>
        <v>2.5018611906880581</v>
      </c>
      <c r="G52">
        <f t="shared" ca="1" si="2"/>
        <v>-3.1643155408397252</v>
      </c>
      <c r="H52">
        <f t="shared" ca="1" si="3"/>
        <v>-3.533866870616849</v>
      </c>
      <c r="I52">
        <f t="shared" ca="1" si="3"/>
        <v>-2.1810896675224161</v>
      </c>
      <c r="K52" s="16">
        <f t="shared" ca="1" si="4"/>
        <v>-1.0325388346306921</v>
      </c>
      <c r="L52" s="14" t="s">
        <v>41</v>
      </c>
      <c r="M52" s="85"/>
      <c r="N52" s="14"/>
      <c r="P52">
        <v>1250000</v>
      </c>
      <c r="Q52">
        <v>1850000</v>
      </c>
      <c r="R52">
        <v>0</v>
      </c>
      <c r="S52">
        <v>1.8742904839601403E-2</v>
      </c>
      <c r="T52">
        <v>36</v>
      </c>
      <c r="U52">
        <v>4.4332217109889109E-4</v>
      </c>
      <c r="W52">
        <v>77</v>
      </c>
      <c r="X52">
        <v>7.4532803517559558E-4</v>
      </c>
      <c r="Y52" t="s">
        <v>60</v>
      </c>
      <c r="Z52">
        <v>21541</v>
      </c>
    </row>
    <row r="53" spans="1:26" x14ac:dyDescent="0.25">
      <c r="A53" s="14" t="s">
        <v>42</v>
      </c>
      <c r="B53">
        <f t="shared" ca="1" si="2"/>
        <v>2.3545416769183851</v>
      </c>
      <c r="C53">
        <f t="shared" ca="1" si="2"/>
        <v>-2.5229171376535402</v>
      </c>
      <c r="D53">
        <f t="shared" si="2"/>
        <v>-2.669983193133048</v>
      </c>
      <c r="E53">
        <f t="shared" ca="1" si="2"/>
        <v>-0.84526088385366149</v>
      </c>
      <c r="F53">
        <f t="shared" ca="1" si="2"/>
        <v>2.5018611906880581</v>
      </c>
      <c r="G53">
        <f t="shared" ca="1" si="2"/>
        <v>-4.0705084208173545</v>
      </c>
      <c r="H53">
        <f t="shared" ca="1" si="3"/>
        <v>6.659979871547133</v>
      </c>
      <c r="I53">
        <f t="shared" ca="1" si="3"/>
        <v>-2.4872487906781005</v>
      </c>
      <c r="K53" s="16">
        <f t="shared" ca="1" si="4"/>
        <v>-14.062744508606084</v>
      </c>
      <c r="L53" s="14" t="s">
        <v>42</v>
      </c>
      <c r="M53" s="85"/>
      <c r="N53" s="14"/>
      <c r="O53" s="14"/>
      <c r="P53">
        <v>700000</v>
      </c>
      <c r="Q53">
        <v>1250000</v>
      </c>
      <c r="R53">
        <v>0</v>
      </c>
      <c r="S53">
        <v>2.1189299069938092E-2</v>
      </c>
      <c r="T53">
        <v>25</v>
      </c>
      <c r="U53">
        <v>1.084381292219893E-3</v>
      </c>
      <c r="W53">
        <v>77</v>
      </c>
      <c r="X53">
        <v>2.705893375924967E-3</v>
      </c>
      <c r="Y53" t="s">
        <v>61</v>
      </c>
      <c r="Z53">
        <v>800</v>
      </c>
    </row>
    <row r="54" spans="1:26" x14ac:dyDescent="0.25">
      <c r="A54" s="14" t="s">
        <v>43</v>
      </c>
      <c r="B54">
        <f t="shared" ca="1" si="2"/>
        <v>-0.82012125825247284</v>
      </c>
      <c r="C54">
        <f t="shared" ca="1" si="2"/>
        <v>-2.5229171376535402</v>
      </c>
      <c r="D54">
        <f t="shared" si="2"/>
        <v>-3.5639350765355124</v>
      </c>
      <c r="E54">
        <f t="shared" ca="1" si="2"/>
        <v>-0.62394473355040192</v>
      </c>
      <c r="F54">
        <f t="shared" ca="1" si="2"/>
        <v>-8.1192476377046354</v>
      </c>
      <c r="G54">
        <f t="shared" ca="1" si="2"/>
        <v>-1.6608711746015083</v>
      </c>
      <c r="H54">
        <f t="shared" ca="1" si="3"/>
        <v>3.6018258488979384</v>
      </c>
      <c r="I54">
        <f t="shared" ca="1" si="3"/>
        <v>-2.1034790494736635</v>
      </c>
      <c r="K54" s="16">
        <f t="shared" ca="1" si="4"/>
        <v>-16.330265124857647</v>
      </c>
      <c r="L54" s="14" t="s">
        <v>43</v>
      </c>
      <c r="M54" s="85"/>
      <c r="N54" s="14"/>
      <c r="O54" s="14"/>
      <c r="P54">
        <v>450000</v>
      </c>
      <c r="Q54">
        <v>850000</v>
      </c>
      <c r="R54">
        <v>2.6789715709048777E-3</v>
      </c>
      <c r="S54">
        <v>2.932706382552433E-2</v>
      </c>
      <c r="T54">
        <v>23</v>
      </c>
      <c r="U54">
        <v>7.7946981481120817E-4</v>
      </c>
      <c r="W54">
        <v>70</v>
      </c>
      <c r="X54">
        <v>3.7115723709847241E-3</v>
      </c>
      <c r="Y54" t="s">
        <v>62</v>
      </c>
      <c r="Z54">
        <v>5010</v>
      </c>
    </row>
    <row r="55" spans="1:26" x14ac:dyDescent="0.25">
      <c r="A55" s="14" t="s">
        <v>44</v>
      </c>
      <c r="B55">
        <f t="shared" ca="1" si="2"/>
        <v>0.76721020933295603</v>
      </c>
      <c r="C55">
        <f t="shared" ca="1" si="2"/>
        <v>-1.4179899240826466</v>
      </c>
      <c r="D55">
        <f t="shared" si="2"/>
        <v>-2.8092567379165518</v>
      </c>
      <c r="E55">
        <f t="shared" ca="1" si="2"/>
        <v>-0.78353511497254535</v>
      </c>
      <c r="F55">
        <f t="shared" ca="1" si="2"/>
        <v>2.5018611906880581</v>
      </c>
      <c r="G55">
        <f t="shared" ca="1" si="2"/>
        <v>-1.8411729716484393</v>
      </c>
      <c r="H55">
        <f t="shared" ca="1" si="3"/>
        <v>-2.8542770878059169</v>
      </c>
      <c r="I55">
        <f t="shared" ca="1" si="3"/>
        <v>-1.5892900661861309</v>
      </c>
      <c r="K55" s="16">
        <f t="shared" ca="1" si="4"/>
        <v>-1.0163368974800018</v>
      </c>
      <c r="L55" s="14" t="s">
        <v>44</v>
      </c>
      <c r="M55" s="85"/>
      <c r="N55" s="14"/>
      <c r="O55" s="14"/>
      <c r="P55">
        <v>1450000</v>
      </c>
      <c r="Q55">
        <v>2750000</v>
      </c>
      <c r="R55">
        <v>0</v>
      </c>
      <c r="S55">
        <v>2.4566085304825368E-2</v>
      </c>
      <c r="T55">
        <v>28</v>
      </c>
      <c r="U55">
        <v>7.5756397484736413E-4</v>
      </c>
      <c r="W55">
        <v>55</v>
      </c>
      <c r="X55">
        <v>1.5138087895472487E-3</v>
      </c>
      <c r="Y55" t="s">
        <v>63</v>
      </c>
      <c r="Z55">
        <v>5155</v>
      </c>
    </row>
    <row r="56" spans="1:26" x14ac:dyDescent="0.25">
      <c r="A56" s="14" t="s">
        <v>45</v>
      </c>
      <c r="B56">
        <f t="shared" ca="1" si="2"/>
        <v>-3.9947841934233308</v>
      </c>
      <c r="C56">
        <f t="shared" ca="1" si="2"/>
        <v>-2.5229171376535402</v>
      </c>
      <c r="D56">
        <f t="shared" si="2"/>
        <v>-6.8154056581533631</v>
      </c>
      <c r="E56">
        <f t="shared" ca="1" si="2"/>
        <v>-0.45093303306201005</v>
      </c>
      <c r="F56">
        <f t="shared" ca="1" si="2"/>
        <v>-1.0385084187761733</v>
      </c>
      <c r="G56">
        <f t="shared" ca="1" si="2"/>
        <v>-1.7020995974565134</v>
      </c>
      <c r="H56">
        <f t="shared" ca="1" si="3"/>
        <v>5.6405951973307342</v>
      </c>
      <c r="I56">
        <f t="shared" ca="1" si="3"/>
        <v>-2.4866604445605391</v>
      </c>
      <c r="K56" s="16">
        <f t="shared" ca="1" si="4"/>
        <v>-11.616501018262461</v>
      </c>
      <c r="L56" s="14" t="s">
        <v>45</v>
      </c>
      <c r="M56" s="85"/>
      <c r="N56" s="14"/>
      <c r="O56" s="14"/>
      <c r="P56">
        <v>950000</v>
      </c>
      <c r="Q56">
        <v>1550000</v>
      </c>
      <c r="R56">
        <v>1.2330913505470636E-3</v>
      </c>
      <c r="S56">
        <v>3.7819430881373746E-2</v>
      </c>
      <c r="T56">
        <v>32</v>
      </c>
      <c r="U56">
        <v>9.8675301047493921E-4</v>
      </c>
      <c r="W56">
        <v>69</v>
      </c>
      <c r="X56">
        <v>1.2330913505470636E-3</v>
      </c>
      <c r="Y56" t="s">
        <v>64</v>
      </c>
      <c r="Z56">
        <v>3517</v>
      </c>
    </row>
    <row r="57" spans="1:26" x14ac:dyDescent="0.25">
      <c r="A57" s="14" t="s">
        <v>46</v>
      </c>
      <c r="B57">
        <f t="shared" ca="1" si="2"/>
        <v>2.3545416769183851</v>
      </c>
      <c r="C57">
        <f t="shared" ca="1" si="2"/>
        <v>1.8967917166300354</v>
      </c>
      <c r="D57">
        <f t="shared" si="2"/>
        <v>9.671847293203756</v>
      </c>
      <c r="E57">
        <f t="shared" ca="1" si="2"/>
        <v>-8.6372357164436975E-2</v>
      </c>
      <c r="F57">
        <f t="shared" ca="1" si="2"/>
        <v>-1.7465823406690197</v>
      </c>
      <c r="G57">
        <f t="shared" ca="1" si="2"/>
        <v>2.0920568828533002</v>
      </c>
      <c r="H57">
        <f t="shared" ca="1" si="3"/>
        <v>-3.8736617620223153</v>
      </c>
      <c r="I57">
        <f t="shared" ca="1" si="3"/>
        <v>-0.69594197575350569</v>
      </c>
      <c r="K57" s="16">
        <f t="shared" ca="1" si="4"/>
        <v>8.857335870943988</v>
      </c>
      <c r="L57" s="14" t="s">
        <v>46</v>
      </c>
      <c r="M57" s="85"/>
      <c r="N57" s="14"/>
      <c r="O57" s="14"/>
      <c r="P57">
        <v>1350000</v>
      </c>
      <c r="Q57">
        <v>1850000</v>
      </c>
      <c r="R57">
        <v>1.8224695269677759E-4</v>
      </c>
      <c r="S57">
        <v>3.6304870302189107E-3</v>
      </c>
      <c r="T57">
        <v>32</v>
      </c>
      <c r="U57">
        <v>9.1133036092095983E-5</v>
      </c>
      <c r="W57">
        <v>60.5</v>
      </c>
      <c r="X57">
        <v>4.5333864862080802E-3</v>
      </c>
      <c r="Y57" t="s">
        <v>65</v>
      </c>
      <c r="Z57">
        <v>9530</v>
      </c>
    </row>
    <row r="58" spans="1:26" x14ac:dyDescent="0.25">
      <c r="A58" s="14" t="s">
        <v>47</v>
      </c>
      <c r="B58">
        <f t="shared" ref="B58:G67" ca="1" si="5">(B24-B$46)/B$47*B$8</f>
        <v>3.941873144503814</v>
      </c>
      <c r="C58">
        <f t="shared" ca="1" si="5"/>
        <v>1.8967917166300354</v>
      </c>
      <c r="D58">
        <f t="shared" si="5"/>
        <v>-0.59798474358119114</v>
      </c>
      <c r="E58">
        <f t="shared" ca="1" si="5"/>
        <v>-0.16391710097628859</v>
      </c>
      <c r="F58">
        <f t="shared" ca="1" si="5"/>
        <v>-1.0385084187761733</v>
      </c>
      <c r="G58">
        <f t="shared" ca="1" si="5"/>
        <v>-0.35882323001998068</v>
      </c>
      <c r="H58">
        <f t="shared" ca="1" si="3"/>
        <v>-4.8930464362387136</v>
      </c>
      <c r="I58">
        <f t="shared" ca="1" si="3"/>
        <v>-1.9302471180148262</v>
      </c>
      <c r="K58" s="16">
        <f t="shared" ca="1" si="4"/>
        <v>-5.0350990362635955</v>
      </c>
      <c r="L58" s="14" t="s">
        <v>47</v>
      </c>
      <c r="M58" s="85"/>
      <c r="N58" s="14"/>
      <c r="O58" s="14"/>
      <c r="P58">
        <v>350000</v>
      </c>
      <c r="Q58">
        <v>650000</v>
      </c>
      <c r="R58">
        <v>6.2877238390471393E-3</v>
      </c>
      <c r="S58">
        <v>0.2872417111783479</v>
      </c>
      <c r="T58">
        <v>22</v>
      </c>
      <c r="U58">
        <v>4.5005012266764706E-3</v>
      </c>
      <c r="W58">
        <v>81</v>
      </c>
      <c r="X58">
        <v>9.8402547473812677E-3</v>
      </c>
      <c r="Y58" t="s">
        <v>66</v>
      </c>
      <c r="Z58">
        <v>4800</v>
      </c>
    </row>
    <row r="59" spans="1:26" x14ac:dyDescent="0.25">
      <c r="A59" s="14" t="s">
        <v>48</v>
      </c>
      <c r="B59">
        <f t="shared" ca="1" si="5"/>
        <v>0.76721020933295603</v>
      </c>
      <c r="C59">
        <f t="shared" ca="1" si="5"/>
        <v>4.1066461437718242</v>
      </c>
      <c r="D59">
        <f t="shared" si="5"/>
        <v>-6.8154056581533631</v>
      </c>
      <c r="E59">
        <f t="shared" ca="1" si="5"/>
        <v>-1.2249630269964973</v>
      </c>
      <c r="F59">
        <f t="shared" ca="1" si="5"/>
        <v>2.5018611906880581</v>
      </c>
      <c r="G59">
        <f t="shared" ca="1" si="5"/>
        <v>-2.1086972798055466</v>
      </c>
      <c r="H59">
        <f t="shared" ca="1" si="3"/>
        <v>-3.533866870616849</v>
      </c>
      <c r="I59">
        <f t="shared" ca="1" si="3"/>
        <v>-1.2152902825308072</v>
      </c>
      <c r="K59" s="16">
        <f t="shared" ca="1" si="4"/>
        <v>-10.202484539286088</v>
      </c>
      <c r="L59" s="14" t="s">
        <v>48</v>
      </c>
      <c r="M59" s="85"/>
      <c r="N59" s="14"/>
      <c r="O59" s="14"/>
    </row>
    <row r="60" spans="1:26" x14ac:dyDescent="0.25">
      <c r="A60" s="14" t="s">
        <v>49</v>
      </c>
      <c r="B60">
        <f t="shared" ca="1" si="5"/>
        <v>2.3545416769183851</v>
      </c>
      <c r="C60">
        <f t="shared" ca="1" si="5"/>
        <v>0.79186450305914158</v>
      </c>
      <c r="D60">
        <f t="shared" si="5"/>
        <v>-1.3628593467230303</v>
      </c>
      <c r="E60">
        <f t="shared" ca="1" si="5"/>
        <v>-0.17076921208694656</v>
      </c>
      <c r="F60">
        <f t="shared" ca="1" si="5"/>
        <v>-1.0385084187761733</v>
      </c>
      <c r="G60">
        <f t="shared" ca="1" si="5"/>
        <v>-2.7319819990985548</v>
      </c>
      <c r="H60">
        <f t="shared" ca="1" si="3"/>
        <v>-2.1746873049949849</v>
      </c>
      <c r="I60">
        <f t="shared" ca="1" si="3"/>
        <v>0.27923432046855423</v>
      </c>
      <c r="K60" s="16">
        <f t="shared" ca="1" si="4"/>
        <v>-5.9966035311986925</v>
      </c>
      <c r="L60" s="14" t="s">
        <v>49</v>
      </c>
      <c r="M60" s="85"/>
      <c r="N60" s="14"/>
      <c r="O60" s="14"/>
    </row>
    <row r="61" spans="1:26" x14ac:dyDescent="0.25">
      <c r="A61" s="14" t="s">
        <v>50</v>
      </c>
      <c r="B61">
        <f t="shared" ca="1" si="5"/>
        <v>-3.9947841934233308</v>
      </c>
      <c r="C61">
        <f t="shared" ca="1" si="5"/>
        <v>-2.5229171376535402</v>
      </c>
      <c r="D61">
        <f t="shared" si="5"/>
        <v>2.833587565597349</v>
      </c>
      <c r="E61">
        <f t="shared" ca="1" si="5"/>
        <v>0.29335696149977442</v>
      </c>
      <c r="F61">
        <f t="shared" ca="1" si="5"/>
        <v>-6.7030997939189438</v>
      </c>
      <c r="G61">
        <f t="shared" ca="1" si="5"/>
        <v>3.54153505511524</v>
      </c>
      <c r="H61">
        <f t="shared" ca="1" si="3"/>
        <v>3.6018258488979384</v>
      </c>
      <c r="I61">
        <f t="shared" ca="1" si="3"/>
        <v>-0.66915605533811928</v>
      </c>
      <c r="K61" s="16">
        <f t="shared" ca="1" si="4"/>
        <v>2.2120992151342329</v>
      </c>
      <c r="L61" s="14" t="s">
        <v>50</v>
      </c>
      <c r="M61" s="85"/>
      <c r="N61" s="14"/>
      <c r="O61" s="14"/>
    </row>
    <row r="62" spans="1:26" x14ac:dyDescent="0.25">
      <c r="A62" s="14" t="s">
        <v>51</v>
      </c>
      <c r="B62">
        <f t="shared" ca="1" si="5"/>
        <v>-5.5821156610087597</v>
      </c>
      <c r="C62">
        <f t="shared" ca="1" si="5"/>
        <v>-4.7327715647953283</v>
      </c>
      <c r="D62">
        <f t="shared" si="5"/>
        <v>4.6292743261557874</v>
      </c>
      <c r="E62">
        <f t="shared" ca="1" si="5"/>
        <v>-0.5624707603978869</v>
      </c>
      <c r="F62">
        <f t="shared" ca="1" si="5"/>
        <v>-1.0385084187761733</v>
      </c>
      <c r="G62">
        <f t="shared" ca="1" si="5"/>
        <v>-1.9154270833620592</v>
      </c>
      <c r="H62">
        <f t="shared" ca="1" si="3"/>
        <v>0.88346671765420992</v>
      </c>
      <c r="I62">
        <f t="shared" ca="1" si="3"/>
        <v>-2.210901385382424</v>
      </c>
      <c r="K62" s="16">
        <f t="shared" ca="1" si="4"/>
        <v>8.3333871863871227</v>
      </c>
      <c r="L62" s="14" t="s">
        <v>51</v>
      </c>
      <c r="M62" s="85"/>
      <c r="N62" s="14"/>
      <c r="O62" s="14"/>
    </row>
    <row r="63" spans="1:26" x14ac:dyDescent="0.25">
      <c r="A63" s="14" t="s">
        <v>52</v>
      </c>
      <c r="B63">
        <f t="shared" ca="1" si="5"/>
        <v>5.5292046120892424</v>
      </c>
      <c r="C63">
        <f t="shared" ca="1" si="5"/>
        <v>8.5263549980553996</v>
      </c>
      <c r="D63">
        <f t="shared" si="5"/>
        <v>-3.2568543359016053</v>
      </c>
      <c r="E63">
        <f t="shared" ca="1" si="5"/>
        <v>-0.60093082347325999</v>
      </c>
      <c r="F63">
        <f t="shared" ca="1" si="5"/>
        <v>3.2099351125809044</v>
      </c>
      <c r="G63">
        <f t="shared" ca="1" si="5"/>
        <v>-4.1786053986835725</v>
      </c>
      <c r="H63">
        <f t="shared" ca="1" si="3"/>
        <v>7.3395696543580655</v>
      </c>
      <c r="I63">
        <f t="shared" ca="1" si="3"/>
        <v>-1.4327132656798514</v>
      </c>
      <c r="K63" s="16">
        <f t="shared" ca="1" si="4"/>
        <v>-27.654297975660089</v>
      </c>
      <c r="L63" s="14" t="s">
        <v>52</v>
      </c>
      <c r="M63" s="85"/>
      <c r="N63" s="14"/>
      <c r="O63" s="14"/>
    </row>
    <row r="64" spans="1:26" x14ac:dyDescent="0.25">
      <c r="A64" s="14" t="s">
        <v>53</v>
      </c>
      <c r="B64">
        <f t="shared" ca="1" si="5"/>
        <v>2.3545416769183851</v>
      </c>
      <c r="C64">
        <f t="shared" ca="1" si="5"/>
        <v>-0.31306271051175238</v>
      </c>
      <c r="D64">
        <f t="shared" si="5"/>
        <v>-3.7444249296174061</v>
      </c>
      <c r="E64">
        <f t="shared" ca="1" si="5"/>
        <v>0.1641668974393227</v>
      </c>
      <c r="F64">
        <f t="shared" ca="1" si="5"/>
        <v>-1.0385084187761733</v>
      </c>
      <c r="G64">
        <f t="shared" ca="1" si="5"/>
        <v>1.3493864154397952</v>
      </c>
      <c r="H64">
        <f t="shared" ca="1" si="3"/>
        <v>2.9222360660870059</v>
      </c>
      <c r="I64">
        <f t="shared" ca="1" si="3"/>
        <v>-2.1349673265756568</v>
      </c>
      <c r="K64" s="16">
        <f t="shared" ca="1" si="4"/>
        <v>-10.368062394583756</v>
      </c>
      <c r="L64" s="14" t="s">
        <v>53</v>
      </c>
      <c r="M64" s="85"/>
      <c r="N64" s="14"/>
      <c r="O64" s="14"/>
    </row>
    <row r="65" spans="1:15" x14ac:dyDescent="0.25">
      <c r="A65" s="14" t="s">
        <v>54</v>
      </c>
      <c r="B65">
        <f t="shared" ca="1" si="5"/>
        <v>2.3545416769183851</v>
      </c>
      <c r="C65">
        <f t="shared" ca="1" si="5"/>
        <v>0.79186450305914158</v>
      </c>
      <c r="D65">
        <f t="shared" si="5"/>
        <v>9.8738297208620978</v>
      </c>
      <c r="E65">
        <f t="shared" ca="1" si="5"/>
        <v>0.25682297391143666</v>
      </c>
      <c r="F65">
        <f t="shared" ca="1" si="5"/>
        <v>4.6260829563665968</v>
      </c>
      <c r="G65">
        <f t="shared" ca="1" si="5"/>
        <v>0.2467842173039263</v>
      </c>
      <c r="H65">
        <f t="shared" ca="1" si="3"/>
        <v>-8.6307902416988398</v>
      </c>
      <c r="I65">
        <f t="shared" ca="1" si="3"/>
        <v>12.228536611759841</v>
      </c>
      <c r="K65" s="16"/>
      <c r="L65" s="14" t="s">
        <v>54</v>
      </c>
      <c r="M65" s="85"/>
      <c r="N65" s="14"/>
      <c r="O65" s="14"/>
    </row>
    <row r="66" spans="1:15" x14ac:dyDescent="0.25">
      <c r="A66" s="14" t="s">
        <v>55</v>
      </c>
      <c r="B66">
        <f t="shared" ca="1" si="5"/>
        <v>5.5292046120892424</v>
      </c>
      <c r="C66">
        <f t="shared" ca="1" si="5"/>
        <v>6.8689641776990582</v>
      </c>
      <c r="D66">
        <f t="shared" si="5"/>
        <v>3.2213395486778174</v>
      </c>
      <c r="E66">
        <f t="shared" ca="1" si="5"/>
        <v>-0.67386109897812307</v>
      </c>
      <c r="F66">
        <f t="shared" ca="1" si="5"/>
        <v>4.6260829563665968</v>
      </c>
      <c r="G66">
        <f t="shared" ca="1" si="5"/>
        <v>-3.5991910509662408</v>
      </c>
      <c r="H66">
        <f t="shared" ca="1" si="3"/>
        <v>-9.3103800245097723</v>
      </c>
      <c r="I66">
        <f t="shared" ca="1" si="3"/>
        <v>-1.6357387533375165</v>
      </c>
      <c r="K66" s="16">
        <f t="shared" ref="K66:K72" ca="1" si="6">I66-H66+G66+F66+E66+D66-C66-B66</f>
        <v>-1.1491571635159943</v>
      </c>
      <c r="L66" s="14" t="s">
        <v>55</v>
      </c>
      <c r="M66" s="85"/>
      <c r="N66" s="14"/>
      <c r="O66" s="14"/>
    </row>
    <row r="67" spans="1:15" x14ac:dyDescent="0.25">
      <c r="A67" s="14" t="s">
        <v>56</v>
      </c>
      <c r="B67">
        <f t="shared" ca="1" si="5"/>
        <v>3.941873144503814</v>
      </c>
      <c r="C67">
        <f t="shared" ca="1" si="5"/>
        <v>3.0017189302009295</v>
      </c>
      <c r="D67">
        <f t="shared" si="5"/>
        <v>-1.6172099733742262</v>
      </c>
      <c r="E67">
        <f t="shared" ca="1" si="5"/>
        <v>0.1878460701276648</v>
      </c>
      <c r="F67">
        <f t="shared" ca="1" si="5"/>
        <v>4.6260829563665968</v>
      </c>
      <c r="G67">
        <f t="shared" ca="1" si="5"/>
        <v>-0.52896518190459096</v>
      </c>
      <c r="H67">
        <f t="shared" ca="1" si="3"/>
        <v>-0.47571284796765445</v>
      </c>
      <c r="I67">
        <f t="shared" ca="1" si="3"/>
        <v>-2.0872068215725053</v>
      </c>
      <c r="K67" s="16">
        <f t="shared" ca="1" si="6"/>
        <v>-5.8873321770941498</v>
      </c>
      <c r="L67" s="14" t="s">
        <v>56</v>
      </c>
      <c r="M67" s="85"/>
      <c r="N67" s="14"/>
      <c r="O67" s="14"/>
    </row>
    <row r="68" spans="1:15" x14ac:dyDescent="0.25">
      <c r="A68" s="14" t="s">
        <v>57</v>
      </c>
      <c r="B68">
        <f t="shared" ref="B68:G77" ca="1" si="7">(B34-B$46)/B$47*B$8</f>
        <v>2.3545416769183851</v>
      </c>
      <c r="C68">
        <f t="shared" ca="1" si="7"/>
        <v>6.3165005709136111</v>
      </c>
      <c r="D68">
        <f t="shared" si="7"/>
        <v>-5.5184451651964439</v>
      </c>
      <c r="E68">
        <f t="shared" ca="1" si="7"/>
        <v>-0.97297920015542783</v>
      </c>
      <c r="F68">
        <f t="shared" ca="1" si="7"/>
        <v>4.6260829563665968</v>
      </c>
      <c r="G68">
        <f t="shared" ca="1" si="7"/>
        <v>-3.0076583932864551</v>
      </c>
      <c r="H68">
        <f t="shared" ca="1" si="3"/>
        <v>-1.8348924135895186</v>
      </c>
      <c r="I68">
        <f t="shared" ca="1" si="3"/>
        <v>-2.1506944207342387</v>
      </c>
      <c r="K68" s="16">
        <f t="shared" ca="1" si="6"/>
        <v>-13.859844057248447</v>
      </c>
      <c r="L68" s="14" t="s">
        <v>57</v>
      </c>
      <c r="M68" s="85"/>
      <c r="N68" s="14"/>
      <c r="O68" s="14"/>
    </row>
    <row r="69" spans="1:15" x14ac:dyDescent="0.25">
      <c r="A69" s="14" t="s">
        <v>58</v>
      </c>
      <c r="B69">
        <f t="shared" ca="1" si="7"/>
        <v>2.3545416769183851</v>
      </c>
      <c r="C69">
        <f t="shared" ca="1" si="7"/>
        <v>-1.4179899240826466</v>
      </c>
      <c r="D69">
        <f t="shared" si="7"/>
        <v>-3.1098978364133529</v>
      </c>
      <c r="E69">
        <f t="shared" ca="1" si="7"/>
        <v>-0.79811062007239353</v>
      </c>
      <c r="F69">
        <f t="shared" ca="1" si="7"/>
        <v>3.2099351125809044</v>
      </c>
      <c r="G69">
        <f t="shared" ca="1" si="7"/>
        <v>-3.2575802690679958</v>
      </c>
      <c r="H69">
        <f t="shared" ca="1" si="3"/>
        <v>3.2620309574924722</v>
      </c>
      <c r="I69">
        <f t="shared" ca="1" si="3"/>
        <v>-1.4622124747989274</v>
      </c>
      <c r="K69" s="16">
        <f t="shared" ca="1" si="6"/>
        <v>-9.6164487980999755</v>
      </c>
      <c r="L69" s="14" t="s">
        <v>58</v>
      </c>
      <c r="M69" s="85"/>
      <c r="N69" s="14"/>
      <c r="O69" s="14"/>
    </row>
    <row r="70" spans="1:15" x14ac:dyDescent="0.25">
      <c r="A70" s="14" t="s">
        <v>59</v>
      </c>
      <c r="B70">
        <f t="shared" ca="1" si="7"/>
        <v>7.9102018134673857</v>
      </c>
      <c r="C70">
        <f t="shared" ca="1" si="7"/>
        <v>5.2115733573427185</v>
      </c>
      <c r="D70">
        <f t="shared" si="7"/>
        <v>-1.7472233133253576</v>
      </c>
      <c r="E70">
        <f t="shared" ca="1" si="7"/>
        <v>-0.66132111488133394</v>
      </c>
      <c r="F70">
        <f t="shared" ca="1" si="7"/>
        <v>3.2099351125809044</v>
      </c>
      <c r="G70">
        <f t="shared" ca="1" si="7"/>
        <v>-4.0683380377221559</v>
      </c>
      <c r="H70">
        <f t="shared" ca="1" si="3"/>
        <v>-4.5532515448332473</v>
      </c>
      <c r="I70">
        <f t="shared" ca="1" si="3"/>
        <v>-2.0876685023706347</v>
      </c>
      <c r="K70" s="16">
        <f t="shared" ca="1" si="6"/>
        <v>-13.923139481695435</v>
      </c>
      <c r="L70" s="14" t="s">
        <v>59</v>
      </c>
      <c r="M70" s="85"/>
      <c r="N70" s="14"/>
      <c r="O70" s="14"/>
    </row>
    <row r="71" spans="1:15" x14ac:dyDescent="0.25">
      <c r="A71" s="14" t="s">
        <v>60</v>
      </c>
      <c r="B71">
        <f t="shared" ca="1" si="7"/>
        <v>0.76721020933295603</v>
      </c>
      <c r="C71">
        <f t="shared" ca="1" si="7"/>
        <v>0.79186450305914158</v>
      </c>
      <c r="D71">
        <f t="shared" si="7"/>
        <v>-6.8154056581533631</v>
      </c>
      <c r="E71">
        <f t="shared" ca="1" si="7"/>
        <v>-0.97411213076876191</v>
      </c>
      <c r="F71">
        <f t="shared" ca="1" si="7"/>
        <v>3.2099351125809044</v>
      </c>
      <c r="G71">
        <f t="shared" ca="1" si="7"/>
        <v>-3.6077209717003789</v>
      </c>
      <c r="H71">
        <f t="shared" ca="1" si="3"/>
        <v>6.3201849801416667</v>
      </c>
      <c r="I71">
        <f t="shared" ca="1" si="3"/>
        <v>-2.075911438057302</v>
      </c>
      <c r="K71" s="16">
        <f t="shared" ca="1" si="6"/>
        <v>-18.142474778632664</v>
      </c>
      <c r="L71" s="14" t="s">
        <v>60</v>
      </c>
      <c r="M71" s="85"/>
      <c r="N71" s="14"/>
      <c r="O71" s="14"/>
    </row>
    <row r="72" spans="1:15" x14ac:dyDescent="0.25">
      <c r="A72" s="14" t="s">
        <v>61</v>
      </c>
      <c r="B72">
        <f t="shared" ca="1" si="7"/>
        <v>-7.963112862386903</v>
      </c>
      <c r="C72">
        <f t="shared" ca="1" si="7"/>
        <v>-5.8376987783662226</v>
      </c>
      <c r="D72">
        <f t="shared" si="7"/>
        <v>-6.8154056581533631</v>
      </c>
      <c r="E72">
        <f t="shared" ca="1" si="7"/>
        <v>-0.82242310917823125</v>
      </c>
      <c r="F72">
        <f t="shared" ca="1" si="7"/>
        <v>-4.5788780282404051</v>
      </c>
      <c r="G72">
        <f t="shared" ca="1" si="7"/>
        <v>3.1962103671664264</v>
      </c>
      <c r="H72">
        <f t="shared" ca="1" si="3"/>
        <v>6.3201849801416667</v>
      </c>
      <c r="I72">
        <f t="shared" ca="1" si="3"/>
        <v>-0.21945042703061091</v>
      </c>
      <c r="K72" s="16">
        <f t="shared" ca="1" si="6"/>
        <v>-1.759320194824725</v>
      </c>
      <c r="L72" s="14" t="s">
        <v>61</v>
      </c>
      <c r="M72" s="85"/>
      <c r="N72" s="14"/>
      <c r="O72" s="14"/>
    </row>
    <row r="73" spans="1:15" x14ac:dyDescent="0.25">
      <c r="A73" s="14" t="s">
        <v>62</v>
      </c>
      <c r="B73">
        <f t="shared" ca="1" si="7"/>
        <v>-11.931441531350476</v>
      </c>
      <c r="C73">
        <f t="shared" ca="1" si="7"/>
        <v>-10.257407632649798</v>
      </c>
      <c r="D73">
        <f t="shared" si="7"/>
        <v>7.0825850231020802</v>
      </c>
      <c r="E73">
        <f t="shared" ca="1" si="7"/>
        <v>-0.31783985011009058</v>
      </c>
      <c r="F73">
        <f t="shared" ca="1" si="7"/>
        <v>-5.9950258720260976</v>
      </c>
      <c r="G73">
        <f t="shared" ca="1" si="7"/>
        <v>-3.9991549894421149E-2</v>
      </c>
      <c r="H73">
        <f t="shared" ca="1" si="3"/>
        <v>1.563056500465142</v>
      </c>
      <c r="I73">
        <f t="shared" ca="1" si="3"/>
        <v>0.73282788021689627</v>
      </c>
      <c r="K73" s="16"/>
      <c r="L73" s="14" t="s">
        <v>62</v>
      </c>
      <c r="M73" s="85"/>
      <c r="N73" s="14"/>
      <c r="O73" s="14"/>
    </row>
    <row r="74" spans="1:15" x14ac:dyDescent="0.25">
      <c r="A74" s="14" t="s">
        <v>63</v>
      </c>
      <c r="B74">
        <f t="shared" ca="1" si="7"/>
        <v>3.941873144503814</v>
      </c>
      <c r="C74">
        <f t="shared" ca="1" si="7"/>
        <v>10.736209425197188</v>
      </c>
      <c r="D74">
        <f t="shared" si="7"/>
        <v>-6.8154056581533631</v>
      </c>
      <c r="E74">
        <f t="shared" ca="1" si="7"/>
        <v>-0.61304499924869282</v>
      </c>
      <c r="F74">
        <f t="shared" ca="1" si="7"/>
        <v>-2.454656262561866</v>
      </c>
      <c r="G74">
        <f t="shared" ca="1" si="7"/>
        <v>-0.27249090311096563</v>
      </c>
      <c r="H74">
        <f t="shared" ca="1" si="3"/>
        <v>-8.6307902416988398</v>
      </c>
      <c r="I74">
        <f t="shared" ca="1" si="3"/>
        <v>-1.3482363493657645</v>
      </c>
      <c r="K74" s="16">
        <f ca="1">I74-H74+G74+F74+E74+D74-C74-B74</f>
        <v>-17.551126500442816</v>
      </c>
      <c r="L74" s="14" t="s">
        <v>63</v>
      </c>
      <c r="M74" s="85"/>
      <c r="N74" s="14"/>
      <c r="O74" s="14"/>
    </row>
    <row r="75" spans="1:15" x14ac:dyDescent="0.25">
      <c r="A75" s="14" t="s">
        <v>64</v>
      </c>
      <c r="B75">
        <f t="shared" ca="1" si="7"/>
        <v>-3.9947841934233308</v>
      </c>
      <c r="C75">
        <f t="shared" ca="1" si="7"/>
        <v>-2.5229171376535402</v>
      </c>
      <c r="D75">
        <f t="shared" si="7"/>
        <v>-0.41836423928857169</v>
      </c>
      <c r="E75">
        <f t="shared" ca="1" si="7"/>
        <v>0.20873057493222347</v>
      </c>
      <c r="F75">
        <f t="shared" ca="1" si="7"/>
        <v>0.37763942500951919</v>
      </c>
      <c r="G75">
        <f t="shared" ca="1" si="7"/>
        <v>2.1600249299127721</v>
      </c>
      <c r="H75">
        <f t="shared" ca="1" si="3"/>
        <v>0.88346671765420992</v>
      </c>
      <c r="I75">
        <f t="shared" ca="1" si="3"/>
        <v>-1.6140479343139691</v>
      </c>
      <c r="K75" s="16">
        <f ca="1">I75-H75+G75+F75+E75+D75-C75-B75</f>
        <v>6.3482173696746358</v>
      </c>
      <c r="L75" s="14" t="s">
        <v>64</v>
      </c>
      <c r="M75" s="85"/>
      <c r="N75" s="14"/>
      <c r="O75" s="14"/>
    </row>
    <row r="76" spans="1:15" x14ac:dyDescent="0.25">
      <c r="A76" s="14" t="s">
        <v>65</v>
      </c>
      <c r="B76">
        <f t="shared" ca="1" si="7"/>
        <v>2.3545416769183851</v>
      </c>
      <c r="C76">
        <f t="shared" ca="1" si="7"/>
        <v>0.79186450305914158</v>
      </c>
      <c r="D76">
        <f t="shared" si="7"/>
        <v>-5.8699434226539813</v>
      </c>
      <c r="E76">
        <f t="shared" ca="1" si="7"/>
        <v>-1.9111597426972162</v>
      </c>
      <c r="F76">
        <f t="shared" ca="1" si="7"/>
        <v>0.37763942500951919</v>
      </c>
      <c r="G76">
        <f t="shared" ca="1" si="7"/>
        <v>-7.3457080214608359</v>
      </c>
      <c r="H76">
        <f t="shared" ca="1" si="3"/>
        <v>-4.8930464362387136</v>
      </c>
      <c r="I76">
        <f t="shared" ca="1" si="3"/>
        <v>1.511004374268563</v>
      </c>
      <c r="K76" s="16">
        <f ca="1">I76-H76+G76+F76+E76+D76-C76-B76</f>
        <v>-11.491527131272763</v>
      </c>
      <c r="L76" s="14" t="s">
        <v>65</v>
      </c>
      <c r="M76" s="85"/>
      <c r="N76" s="14"/>
      <c r="O76" s="14"/>
    </row>
    <row r="77" spans="1:15" x14ac:dyDescent="0.25">
      <c r="A77" s="14" t="s">
        <v>66</v>
      </c>
      <c r="B77">
        <f t="shared" ca="1" si="7"/>
        <v>-13.518772998935905</v>
      </c>
      <c r="C77">
        <f t="shared" ca="1" si="7"/>
        <v>-12.467262059791587</v>
      </c>
      <c r="D77">
        <f t="shared" si="7"/>
        <v>25.804099629044657</v>
      </c>
      <c r="E77">
        <f t="shared" ca="1" si="7"/>
        <v>15.674194477665553</v>
      </c>
      <c r="F77">
        <f t="shared" ca="1" si="7"/>
        <v>-6.7030997939189438</v>
      </c>
      <c r="G77">
        <f t="shared" ca="1" si="7"/>
        <v>39.453467636561911</v>
      </c>
      <c r="H77">
        <f t="shared" ca="1" si="3"/>
        <v>9.038544111385395</v>
      </c>
      <c r="I77">
        <f t="shared" ca="1" si="3"/>
        <v>6.5360825049251945</v>
      </c>
      <c r="K77" s="16"/>
      <c r="L77" s="14" t="s">
        <v>66</v>
      </c>
      <c r="M77" s="85"/>
      <c r="N77" s="14"/>
      <c r="O77" s="14"/>
    </row>
    <row r="78" spans="1:15" x14ac:dyDescent="0.25">
      <c r="A78" s="14"/>
    </row>
  </sheetData>
  <conditionalFormatting sqref="B8:J8">
    <cfRule type="colorScale" priority="2">
      <colorScale>
        <cfvo type="min"/>
        <cfvo type="percentile" val="50"/>
        <cfvo type="max"/>
        <color rgb="FFF8696B"/>
        <color rgb="FFFFEB84"/>
        <color rgb="FF63BE7B"/>
      </colorScale>
    </cfRule>
  </conditionalFormatting>
  <dataValidations count="1">
    <dataValidation type="list" allowBlank="1" showInputMessage="1" showErrorMessage="1" sqref="B8:J8" xr:uid="{00000000-0002-0000-0000-000000000000}">
      <formula1>$L$1:$L$10</formula1>
    </dataValidation>
  </dataValidations>
  <hyperlinks>
    <hyperlink ref="Q9" r:id="rId1" xr:uid="{00000000-0004-0000-0000-000000000000}"/>
    <hyperlink ref="Q10" r:id="rId2" display="https://data.oev-info.ch/explore/dataset/stop-points-today/table/?disjunctive.cantonabbreviation&amp;disjunctive.localityname&amp;disjunctive.businessorganisation&amp;disjunctive.businessorganisationnumber&amp;disjunctive.businessorganisationabbreviationde&amp;disjunctive.businessorganisationdescriptionde&amp;disjunctive.status&amp;disjunctive.moyen_de_transport&amp;disjunctive.isocountrycode" xr:uid="{00000000-0004-0000-0000-000001000000}"/>
    <hyperlink ref="Q11" r:id="rId3" display="https://www.zefix.ch/fr/search/entity/list?registryOffice=550&amp;legalForms=1&amp;searchTypeExact=true" xr:uid="{00000000-0004-0000-0000-000002000000}"/>
    <hyperlink ref="Q12" r:id="rId4" xr:uid="{00000000-0004-0000-0000-000003000000}"/>
    <hyperlink ref="Q14" r:id="rId5" xr:uid="{00000000-0004-0000-0000-000004000000}"/>
    <hyperlink ref="Q15" r:id="rId6" xr:uid="{00000000-0004-0000-0000-000005000000}"/>
    <hyperlink ref="Q16" r:id="rId7" display="https://view.officeapps.live.com/op/view.aspx?src=https%3A%2F%2Fwww.vd.ch%2Ffileadmin%2Fuser_upload%2Forganisation%2Fdfin%2Fstatvd%2FDom_09%2FTableaux%2FCommunes_Logvac.xlsx&amp;wdOrigin=BROWSELINK" xr:uid="{00000000-0004-0000-0000-000006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31"/>
  <sheetViews>
    <sheetView workbookViewId="0">
      <selection activeCell="F1" sqref="F1"/>
    </sheetView>
  </sheetViews>
  <sheetFormatPr baseColWidth="10" defaultColWidth="11.42578125" defaultRowHeight="14.25" x14ac:dyDescent="0.2"/>
  <cols>
    <col min="1" max="1" width="21.5703125" style="14" customWidth="1"/>
    <col min="2" max="5" width="18.85546875" style="14" customWidth="1"/>
    <col min="6" max="6" width="11.42578125" style="14" customWidth="1"/>
    <col min="7" max="16384" width="11.42578125" style="14"/>
  </cols>
  <sheetData>
    <row r="1" spans="1:26" ht="15" customHeight="1" x14ac:dyDescent="0.25">
      <c r="A1" s="14" t="s">
        <v>70</v>
      </c>
      <c r="B1" s="14" t="s">
        <v>11</v>
      </c>
      <c r="C1" s="14" t="s">
        <v>21</v>
      </c>
      <c r="D1" s="14" t="s">
        <v>12</v>
      </c>
      <c r="E1" s="14" t="s">
        <v>22</v>
      </c>
      <c r="L1" s="8"/>
      <c r="Z1"/>
    </row>
    <row r="2" spans="1:26" x14ac:dyDescent="0.2">
      <c r="A2" s="14" t="s">
        <v>28</v>
      </c>
      <c r="B2" s="14">
        <v>800000</v>
      </c>
      <c r="C2" s="14">
        <v>1000000</v>
      </c>
      <c r="D2" s="14">
        <v>1400000</v>
      </c>
      <c r="E2" s="14">
        <v>1500000</v>
      </c>
      <c r="L2" s="8"/>
    </row>
    <row r="3" spans="1:26" x14ac:dyDescent="0.2">
      <c r="A3" s="14" t="s">
        <v>32</v>
      </c>
      <c r="B3" s="14">
        <v>1200000</v>
      </c>
      <c r="C3" s="14">
        <v>1300000</v>
      </c>
      <c r="D3" s="14">
        <v>1700000</v>
      </c>
      <c r="E3" s="14">
        <v>1800000</v>
      </c>
      <c r="L3" s="8"/>
    </row>
    <row r="4" spans="1:26" x14ac:dyDescent="0.2">
      <c r="A4" s="14" t="s">
        <v>36</v>
      </c>
      <c r="B4" s="14">
        <v>1400000</v>
      </c>
      <c r="C4" s="14">
        <v>1500000</v>
      </c>
      <c r="D4" s="14">
        <v>2100000</v>
      </c>
      <c r="E4" s="14">
        <v>2200000</v>
      </c>
    </row>
    <row r="5" spans="1:26" x14ac:dyDescent="0.2">
      <c r="A5" s="14" t="s">
        <v>40</v>
      </c>
      <c r="B5" s="14">
        <v>1100000</v>
      </c>
      <c r="C5" s="14">
        <v>1200000</v>
      </c>
      <c r="D5" s="14">
        <v>1600000</v>
      </c>
      <c r="E5" s="14">
        <v>1700000</v>
      </c>
    </row>
    <row r="6" spans="1:26" x14ac:dyDescent="0.2">
      <c r="A6" s="14" t="s">
        <v>41</v>
      </c>
      <c r="B6" s="14">
        <v>1200000</v>
      </c>
      <c r="C6" s="14">
        <v>1300000</v>
      </c>
      <c r="D6" s="14">
        <v>1600000</v>
      </c>
      <c r="E6" s="14">
        <v>1700000</v>
      </c>
    </row>
    <row r="7" spans="1:26" x14ac:dyDescent="0.2">
      <c r="A7" s="14" t="s">
        <v>42</v>
      </c>
      <c r="B7" s="14">
        <v>1300000</v>
      </c>
      <c r="C7" s="14">
        <v>1400000</v>
      </c>
      <c r="D7" s="14">
        <v>1500000</v>
      </c>
      <c r="E7" s="14">
        <v>1600000</v>
      </c>
    </row>
    <row r="8" spans="1:26" x14ac:dyDescent="0.2">
      <c r="A8" s="14" t="s">
        <v>43</v>
      </c>
      <c r="B8" s="14">
        <v>1100000</v>
      </c>
      <c r="C8" s="14">
        <v>1200000</v>
      </c>
      <c r="D8" s="14">
        <v>1500000</v>
      </c>
      <c r="E8" s="14">
        <v>1600000</v>
      </c>
    </row>
    <row r="9" spans="1:26" x14ac:dyDescent="0.2">
      <c r="A9" s="14" t="s">
        <v>44</v>
      </c>
      <c r="B9" s="14">
        <v>1200000</v>
      </c>
      <c r="C9" s="14">
        <v>1300000</v>
      </c>
      <c r="D9" s="14">
        <v>1600000</v>
      </c>
      <c r="E9" s="14">
        <v>1700000</v>
      </c>
    </row>
    <row r="10" spans="1:26" x14ac:dyDescent="0.2">
      <c r="A10" s="14" t="s">
        <v>45</v>
      </c>
      <c r="B10" s="14">
        <v>900000</v>
      </c>
      <c r="C10" s="14">
        <v>1000000</v>
      </c>
      <c r="D10" s="14">
        <v>1500000</v>
      </c>
      <c r="E10" s="14">
        <v>1600000</v>
      </c>
    </row>
    <row r="11" spans="1:26" x14ac:dyDescent="0.2">
      <c r="A11" s="14" t="s">
        <v>46</v>
      </c>
      <c r="B11" s="14">
        <v>1300000</v>
      </c>
      <c r="C11" s="14">
        <v>1400000</v>
      </c>
      <c r="D11" s="14">
        <v>1900000</v>
      </c>
      <c r="E11" s="14">
        <v>2000000</v>
      </c>
    </row>
    <row r="12" spans="1:26" x14ac:dyDescent="0.2">
      <c r="A12" s="14" t="s">
        <v>47</v>
      </c>
      <c r="B12" s="14">
        <v>1400000</v>
      </c>
      <c r="C12" s="14">
        <v>1500000</v>
      </c>
      <c r="D12" s="14">
        <v>1900000</v>
      </c>
      <c r="E12" s="14">
        <v>2000000</v>
      </c>
    </row>
    <row r="13" spans="1:26" x14ac:dyDescent="0.2">
      <c r="A13" s="14" t="s">
        <v>48</v>
      </c>
      <c r="B13" s="14">
        <v>1200000</v>
      </c>
      <c r="C13" s="14">
        <v>1300000</v>
      </c>
      <c r="D13" s="14">
        <v>2100000</v>
      </c>
      <c r="E13" s="14">
        <v>2200000</v>
      </c>
    </row>
    <row r="14" spans="1:26" x14ac:dyDescent="0.2">
      <c r="A14" s="14" t="s">
        <v>49</v>
      </c>
      <c r="B14" s="14">
        <v>1300000</v>
      </c>
      <c r="C14" s="14">
        <v>1400000</v>
      </c>
      <c r="D14" s="14">
        <v>1800000</v>
      </c>
      <c r="E14" s="14">
        <v>1900000</v>
      </c>
    </row>
    <row r="15" spans="1:26" x14ac:dyDescent="0.2">
      <c r="A15" s="14" t="s">
        <v>50</v>
      </c>
      <c r="B15" s="14">
        <v>900000</v>
      </c>
      <c r="C15" s="14">
        <v>1000000</v>
      </c>
      <c r="D15" s="14">
        <v>1500000</v>
      </c>
      <c r="E15" s="14">
        <v>1600000</v>
      </c>
    </row>
    <row r="16" spans="1:26" x14ac:dyDescent="0.2">
      <c r="A16" s="14" t="s">
        <v>51</v>
      </c>
      <c r="B16" s="14">
        <v>800000</v>
      </c>
      <c r="C16" s="14">
        <v>900000</v>
      </c>
      <c r="D16" s="14">
        <v>1300000</v>
      </c>
      <c r="E16" s="14">
        <v>1400000</v>
      </c>
    </row>
    <row r="17" spans="1:5" x14ac:dyDescent="0.2">
      <c r="A17" s="14" t="s">
        <v>52</v>
      </c>
      <c r="B17" s="14">
        <v>1500000</v>
      </c>
      <c r="C17" s="14">
        <v>1600000</v>
      </c>
      <c r="D17" s="14">
        <v>2500000</v>
      </c>
      <c r="E17" s="14">
        <v>2600000</v>
      </c>
    </row>
    <row r="18" spans="1:5" x14ac:dyDescent="0.2">
      <c r="A18" s="14" t="s">
        <v>53</v>
      </c>
      <c r="B18" s="14">
        <v>1300000</v>
      </c>
      <c r="C18" s="14">
        <v>1400000</v>
      </c>
      <c r="D18" s="14">
        <v>1700000</v>
      </c>
      <c r="E18" s="14">
        <v>1800000</v>
      </c>
    </row>
    <row r="19" spans="1:5" x14ac:dyDescent="0.2">
      <c r="A19" s="14" t="s">
        <v>54</v>
      </c>
      <c r="B19" s="14">
        <v>1300000</v>
      </c>
      <c r="C19" s="14">
        <v>1400000</v>
      </c>
      <c r="D19" s="14">
        <v>1800000</v>
      </c>
      <c r="E19" s="14">
        <v>1900000</v>
      </c>
    </row>
    <row r="20" spans="1:5" x14ac:dyDescent="0.2">
      <c r="A20" s="14" t="s">
        <v>55</v>
      </c>
      <c r="B20" s="14">
        <v>1500000</v>
      </c>
      <c r="C20" s="14">
        <v>1600000</v>
      </c>
      <c r="D20" s="14">
        <v>2300000</v>
      </c>
      <c r="E20" s="14">
        <v>2500000</v>
      </c>
    </row>
    <row r="21" spans="1:5" x14ac:dyDescent="0.2">
      <c r="A21" s="14" t="s">
        <v>56</v>
      </c>
      <c r="B21" s="14">
        <v>1400000</v>
      </c>
      <c r="C21" s="14">
        <v>1500000</v>
      </c>
      <c r="D21" s="14">
        <v>2000000</v>
      </c>
      <c r="E21" s="14">
        <v>2100000</v>
      </c>
    </row>
    <row r="22" spans="1:5" x14ac:dyDescent="0.2">
      <c r="A22" s="14" t="s">
        <v>57</v>
      </c>
      <c r="B22" s="14">
        <v>1300000</v>
      </c>
      <c r="C22" s="14">
        <v>1400000</v>
      </c>
      <c r="D22" s="14">
        <v>2300000</v>
      </c>
      <c r="E22" s="14">
        <v>2400000</v>
      </c>
    </row>
    <row r="23" spans="1:5" x14ac:dyDescent="0.2">
      <c r="A23" s="14" t="s">
        <v>58</v>
      </c>
      <c r="B23" s="14">
        <v>1300000</v>
      </c>
      <c r="C23" s="14">
        <v>1400000</v>
      </c>
      <c r="D23" s="14">
        <v>1600000</v>
      </c>
      <c r="E23" s="14">
        <v>1700000</v>
      </c>
    </row>
    <row r="24" spans="1:5" x14ac:dyDescent="0.2">
      <c r="A24" s="14" t="s">
        <v>59</v>
      </c>
      <c r="B24" s="14">
        <v>1600000</v>
      </c>
      <c r="C24" s="14">
        <v>1800000</v>
      </c>
      <c r="D24" s="14">
        <v>2200000</v>
      </c>
      <c r="E24" s="14">
        <v>2300000</v>
      </c>
    </row>
    <row r="25" spans="1:5" x14ac:dyDescent="0.2">
      <c r="A25" s="14" t="s">
        <v>60</v>
      </c>
      <c r="B25" s="14">
        <v>1200000</v>
      </c>
      <c r="C25" s="14">
        <v>1300000</v>
      </c>
      <c r="D25" s="14">
        <v>1800000</v>
      </c>
      <c r="E25" s="14">
        <v>1900000</v>
      </c>
    </row>
    <row r="26" spans="1:5" x14ac:dyDescent="0.2">
      <c r="A26" s="14" t="s">
        <v>61</v>
      </c>
      <c r="B26" s="14">
        <v>600000</v>
      </c>
      <c r="C26" s="14">
        <v>800000</v>
      </c>
      <c r="D26" s="14">
        <v>1200000</v>
      </c>
      <c r="E26" s="14">
        <v>1300000</v>
      </c>
    </row>
    <row r="27" spans="1:5" x14ac:dyDescent="0.2">
      <c r="A27" s="14" t="s">
        <v>62</v>
      </c>
      <c r="B27" s="14">
        <v>400000</v>
      </c>
      <c r="C27" s="14">
        <v>500000</v>
      </c>
      <c r="D27" s="14">
        <v>800000</v>
      </c>
      <c r="E27" s="14">
        <v>900000</v>
      </c>
    </row>
    <row r="28" spans="1:5" x14ac:dyDescent="0.2">
      <c r="A28" s="14" t="s">
        <v>63</v>
      </c>
      <c r="B28" s="14">
        <v>1400000</v>
      </c>
      <c r="C28" s="14">
        <v>1500000</v>
      </c>
      <c r="D28" s="14">
        <v>2700000</v>
      </c>
      <c r="E28" s="14">
        <v>2800000</v>
      </c>
    </row>
    <row r="29" spans="1:5" x14ac:dyDescent="0.2">
      <c r="A29" s="14" t="s">
        <v>64</v>
      </c>
      <c r="B29" s="14">
        <v>900000</v>
      </c>
      <c r="C29" s="14">
        <v>1000000</v>
      </c>
      <c r="D29" s="14">
        <v>1500000</v>
      </c>
      <c r="E29" s="14">
        <v>1600000</v>
      </c>
    </row>
    <row r="30" spans="1:5" x14ac:dyDescent="0.2">
      <c r="A30" s="14" t="s">
        <v>65</v>
      </c>
      <c r="B30" s="14">
        <v>1300000</v>
      </c>
      <c r="C30" s="14">
        <v>1400000</v>
      </c>
      <c r="D30" s="14">
        <v>1800000</v>
      </c>
      <c r="E30" s="14">
        <v>1900000</v>
      </c>
    </row>
    <row r="31" spans="1:5" x14ac:dyDescent="0.2">
      <c r="A31" s="14" t="s">
        <v>66</v>
      </c>
      <c r="B31" s="14">
        <v>300000</v>
      </c>
      <c r="C31" s="14">
        <v>400000</v>
      </c>
      <c r="D31" s="14">
        <v>600000</v>
      </c>
      <c r="E31" s="14">
        <v>700000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31"/>
  <sheetViews>
    <sheetView topLeftCell="F1" workbookViewId="0">
      <selection activeCell="V11" sqref="V11"/>
    </sheetView>
  </sheetViews>
  <sheetFormatPr baseColWidth="10" defaultColWidth="11.42578125" defaultRowHeight="14.25" x14ac:dyDescent="0.2"/>
  <cols>
    <col min="1" max="1" width="21.5703125" style="14" customWidth="1"/>
    <col min="2" max="5" width="18.85546875" style="14" customWidth="1"/>
    <col min="6" max="6" width="11.42578125" style="14" customWidth="1"/>
    <col min="7" max="16384" width="11.42578125" style="14"/>
  </cols>
  <sheetData>
    <row r="1" spans="1:26" ht="15" customHeight="1" x14ac:dyDescent="0.25">
      <c r="A1" s="14" t="s">
        <v>70</v>
      </c>
      <c r="B1" s="14" t="s">
        <v>11</v>
      </c>
      <c r="C1" s="14" t="s">
        <v>21</v>
      </c>
      <c r="D1" s="14" t="s">
        <v>12</v>
      </c>
      <c r="E1" s="14" t="s">
        <v>22</v>
      </c>
      <c r="L1" s="8"/>
      <c r="Z1"/>
    </row>
    <row r="2" spans="1:26" x14ac:dyDescent="0.2">
      <c r="A2" s="14" t="s">
        <v>28</v>
      </c>
      <c r="B2" s="14">
        <v>800000</v>
      </c>
      <c r="C2" s="14">
        <v>1000000</v>
      </c>
      <c r="D2" s="14">
        <v>1400000</v>
      </c>
      <c r="E2" s="14">
        <v>1500000</v>
      </c>
      <c r="L2" s="8"/>
    </row>
    <row r="3" spans="1:26" x14ac:dyDescent="0.2">
      <c r="A3" s="14" t="s">
        <v>32</v>
      </c>
      <c r="B3" s="14">
        <v>1200000</v>
      </c>
      <c r="C3" s="14">
        <v>1300000</v>
      </c>
      <c r="D3" s="14">
        <v>1700000</v>
      </c>
      <c r="E3" s="14">
        <v>1800000</v>
      </c>
      <c r="L3" s="8"/>
    </row>
    <row r="4" spans="1:26" x14ac:dyDescent="0.2">
      <c r="A4" s="14" t="s">
        <v>36</v>
      </c>
      <c r="B4" s="14">
        <v>1400000</v>
      </c>
      <c r="C4" s="14">
        <v>1500000</v>
      </c>
      <c r="D4" s="14">
        <v>2100000</v>
      </c>
      <c r="E4" s="14">
        <v>2200000</v>
      </c>
    </row>
    <row r="5" spans="1:26" x14ac:dyDescent="0.2">
      <c r="A5" s="14" t="s">
        <v>40</v>
      </c>
      <c r="B5" s="14">
        <v>1100000</v>
      </c>
      <c r="C5" s="14">
        <v>1200000</v>
      </c>
      <c r="D5" s="14">
        <v>1600000</v>
      </c>
      <c r="E5" s="14">
        <v>1700000</v>
      </c>
    </row>
    <row r="6" spans="1:26" x14ac:dyDescent="0.2">
      <c r="A6" s="14" t="s">
        <v>41</v>
      </c>
      <c r="B6" s="14">
        <v>1200000</v>
      </c>
      <c r="C6" s="14">
        <v>1300000</v>
      </c>
      <c r="D6" s="14">
        <v>1600000</v>
      </c>
      <c r="E6" s="14">
        <v>1700000</v>
      </c>
    </row>
    <row r="7" spans="1:26" x14ac:dyDescent="0.2">
      <c r="A7" s="14" t="s">
        <v>42</v>
      </c>
      <c r="B7" s="14">
        <v>1300000</v>
      </c>
      <c r="C7" s="14">
        <v>1400000</v>
      </c>
      <c r="D7" s="14">
        <v>1500000</v>
      </c>
      <c r="E7" s="14">
        <v>1600000</v>
      </c>
    </row>
    <row r="8" spans="1:26" x14ac:dyDescent="0.2">
      <c r="A8" s="14" t="s">
        <v>43</v>
      </c>
      <c r="B8" s="14">
        <v>1100000</v>
      </c>
      <c r="C8" s="14">
        <v>1200000</v>
      </c>
      <c r="D8" s="14">
        <v>1500000</v>
      </c>
      <c r="E8" s="14">
        <v>1600000</v>
      </c>
    </row>
    <row r="9" spans="1:26" x14ac:dyDescent="0.2">
      <c r="A9" s="14" t="s">
        <v>44</v>
      </c>
      <c r="B9" s="14">
        <v>1200000</v>
      </c>
      <c r="C9" s="14">
        <v>1300000</v>
      </c>
      <c r="D9" s="14">
        <v>1600000</v>
      </c>
      <c r="E9" s="14">
        <v>1700000</v>
      </c>
    </row>
    <row r="10" spans="1:26" x14ac:dyDescent="0.2">
      <c r="A10" s="14" t="s">
        <v>45</v>
      </c>
      <c r="B10" s="14">
        <v>900000</v>
      </c>
      <c r="C10" s="14">
        <v>1000000</v>
      </c>
      <c r="D10" s="14">
        <v>1500000</v>
      </c>
      <c r="E10" s="14">
        <v>1600000</v>
      </c>
    </row>
    <row r="11" spans="1:26" x14ac:dyDescent="0.2">
      <c r="A11" s="14" t="s">
        <v>46</v>
      </c>
      <c r="B11" s="14">
        <v>1300000</v>
      </c>
      <c r="C11" s="14">
        <v>1400000</v>
      </c>
      <c r="D11" s="14">
        <v>1900000</v>
      </c>
      <c r="E11" s="14">
        <v>2000000</v>
      </c>
    </row>
    <row r="12" spans="1:26" x14ac:dyDescent="0.2">
      <c r="A12" s="14" t="s">
        <v>47</v>
      </c>
      <c r="B12" s="14">
        <v>1400000</v>
      </c>
      <c r="C12" s="14">
        <v>1500000</v>
      </c>
      <c r="D12" s="14">
        <v>1900000</v>
      </c>
      <c r="E12" s="14">
        <v>2000000</v>
      </c>
    </row>
    <row r="13" spans="1:26" x14ac:dyDescent="0.2">
      <c r="A13" s="14" t="s">
        <v>48</v>
      </c>
      <c r="B13" s="14">
        <v>1200000</v>
      </c>
      <c r="C13" s="14">
        <v>1300000</v>
      </c>
      <c r="D13" s="14">
        <v>2100000</v>
      </c>
      <c r="E13" s="14">
        <v>2200000</v>
      </c>
    </row>
    <row r="14" spans="1:26" x14ac:dyDescent="0.2">
      <c r="A14" s="14" t="s">
        <v>49</v>
      </c>
      <c r="B14" s="14">
        <v>1300000</v>
      </c>
      <c r="C14" s="14">
        <v>1400000</v>
      </c>
      <c r="D14" s="14">
        <v>1800000</v>
      </c>
      <c r="E14" s="14">
        <v>1900000</v>
      </c>
    </row>
    <row r="15" spans="1:26" x14ac:dyDescent="0.2">
      <c r="A15" s="14" t="s">
        <v>50</v>
      </c>
      <c r="B15" s="14">
        <v>900000</v>
      </c>
      <c r="C15" s="14">
        <v>1000000</v>
      </c>
      <c r="D15" s="14">
        <v>1500000</v>
      </c>
      <c r="E15" s="14">
        <v>1600000</v>
      </c>
    </row>
    <row r="16" spans="1:26" x14ac:dyDescent="0.2">
      <c r="A16" s="14" t="s">
        <v>51</v>
      </c>
      <c r="B16" s="14">
        <v>800000</v>
      </c>
      <c r="C16" s="14">
        <v>900000</v>
      </c>
      <c r="D16" s="14">
        <v>1300000</v>
      </c>
      <c r="E16" s="14">
        <v>1400000</v>
      </c>
    </row>
    <row r="17" spans="1:5" x14ac:dyDescent="0.2">
      <c r="A17" s="14" t="s">
        <v>52</v>
      </c>
      <c r="B17" s="14">
        <v>1500000</v>
      </c>
      <c r="C17" s="14">
        <v>1600000</v>
      </c>
      <c r="D17" s="14">
        <v>2500000</v>
      </c>
      <c r="E17" s="14">
        <v>2600000</v>
      </c>
    </row>
    <row r="18" spans="1:5" x14ac:dyDescent="0.2">
      <c r="A18" s="14" t="s">
        <v>53</v>
      </c>
      <c r="B18" s="14">
        <v>1300000</v>
      </c>
      <c r="C18" s="14">
        <v>1400000</v>
      </c>
      <c r="D18" s="14">
        <v>1700000</v>
      </c>
      <c r="E18" s="14">
        <v>1800000</v>
      </c>
    </row>
    <row r="19" spans="1:5" x14ac:dyDescent="0.2">
      <c r="A19" s="14" t="s">
        <v>54</v>
      </c>
      <c r="B19" s="14">
        <v>1300000</v>
      </c>
      <c r="C19" s="14">
        <v>1400000</v>
      </c>
      <c r="D19" s="14">
        <v>1800000</v>
      </c>
      <c r="E19" s="14">
        <v>1900000</v>
      </c>
    </row>
    <row r="20" spans="1:5" x14ac:dyDescent="0.2">
      <c r="A20" s="14" t="s">
        <v>55</v>
      </c>
      <c r="B20" s="14">
        <v>1500000</v>
      </c>
      <c r="C20" s="14">
        <v>1600000</v>
      </c>
      <c r="D20" s="14">
        <v>2300000</v>
      </c>
      <c r="E20" s="14">
        <v>2500000</v>
      </c>
    </row>
    <row r="21" spans="1:5" x14ac:dyDescent="0.2">
      <c r="A21" s="14" t="s">
        <v>56</v>
      </c>
      <c r="B21" s="14">
        <v>1400000</v>
      </c>
      <c r="C21" s="14">
        <v>1500000</v>
      </c>
      <c r="D21" s="14">
        <v>2000000</v>
      </c>
      <c r="E21" s="14">
        <v>2100000</v>
      </c>
    </row>
    <row r="22" spans="1:5" x14ac:dyDescent="0.2">
      <c r="A22" s="14" t="s">
        <v>57</v>
      </c>
      <c r="B22" s="14">
        <v>1300000</v>
      </c>
      <c r="C22" s="14">
        <v>1400000</v>
      </c>
      <c r="D22" s="14">
        <v>2300000</v>
      </c>
      <c r="E22" s="14">
        <v>2400000</v>
      </c>
    </row>
    <row r="23" spans="1:5" x14ac:dyDescent="0.2">
      <c r="A23" s="14" t="s">
        <v>58</v>
      </c>
      <c r="B23" s="14">
        <v>1300000</v>
      </c>
      <c r="C23" s="14">
        <v>1400000</v>
      </c>
      <c r="D23" s="14">
        <v>1600000</v>
      </c>
      <c r="E23" s="14">
        <v>1700000</v>
      </c>
    </row>
    <row r="24" spans="1:5" x14ac:dyDescent="0.2">
      <c r="A24" s="14" t="s">
        <v>59</v>
      </c>
      <c r="B24" s="14">
        <v>1600000</v>
      </c>
      <c r="C24" s="14">
        <v>1800000</v>
      </c>
      <c r="D24" s="14">
        <v>2200000</v>
      </c>
      <c r="E24" s="14">
        <v>2300000</v>
      </c>
    </row>
    <row r="25" spans="1:5" x14ac:dyDescent="0.2">
      <c r="A25" s="14" t="s">
        <v>60</v>
      </c>
      <c r="B25" s="14">
        <v>1200000</v>
      </c>
      <c r="C25" s="14">
        <v>1300000</v>
      </c>
      <c r="D25" s="14">
        <v>1800000</v>
      </c>
      <c r="E25" s="14">
        <v>1900000</v>
      </c>
    </row>
    <row r="26" spans="1:5" x14ac:dyDescent="0.2">
      <c r="A26" s="14" t="s">
        <v>61</v>
      </c>
      <c r="B26" s="14">
        <v>600000</v>
      </c>
      <c r="C26" s="14">
        <v>800000</v>
      </c>
      <c r="D26" s="14">
        <v>1200000</v>
      </c>
      <c r="E26" s="14">
        <v>1300000</v>
      </c>
    </row>
    <row r="27" spans="1:5" x14ac:dyDescent="0.2">
      <c r="A27" s="14" t="s">
        <v>62</v>
      </c>
      <c r="B27" s="14">
        <v>400000</v>
      </c>
      <c r="C27" s="14">
        <v>500000</v>
      </c>
      <c r="D27" s="14">
        <v>800000</v>
      </c>
      <c r="E27" s="14">
        <v>900000</v>
      </c>
    </row>
    <row r="28" spans="1:5" x14ac:dyDescent="0.2">
      <c r="A28" s="14" t="s">
        <v>63</v>
      </c>
      <c r="B28" s="14">
        <v>1400000</v>
      </c>
      <c r="C28" s="14">
        <v>1500000</v>
      </c>
      <c r="D28" s="14">
        <v>2700000</v>
      </c>
      <c r="E28" s="14">
        <v>2800000</v>
      </c>
    </row>
    <row r="29" spans="1:5" x14ac:dyDescent="0.2">
      <c r="A29" s="14" t="s">
        <v>64</v>
      </c>
      <c r="B29" s="14">
        <v>900000</v>
      </c>
      <c r="C29" s="14">
        <v>1000000</v>
      </c>
      <c r="D29" s="14">
        <v>1500000</v>
      </c>
      <c r="E29" s="14">
        <v>1600000</v>
      </c>
    </row>
    <row r="30" spans="1:5" x14ac:dyDescent="0.2">
      <c r="A30" s="14" t="s">
        <v>65</v>
      </c>
      <c r="B30" s="14">
        <v>1300000</v>
      </c>
      <c r="C30" s="14">
        <v>1400000</v>
      </c>
      <c r="D30" s="14">
        <v>1800000</v>
      </c>
      <c r="E30" s="14">
        <v>1900000</v>
      </c>
    </row>
    <row r="31" spans="1:5" x14ac:dyDescent="0.2">
      <c r="A31" s="14" t="s">
        <v>66</v>
      </c>
      <c r="B31" s="14">
        <v>300000</v>
      </c>
      <c r="C31" s="14">
        <v>400000</v>
      </c>
      <c r="D31" s="14">
        <v>600000</v>
      </c>
      <c r="E31" s="14">
        <v>700000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N2906"/>
  <sheetViews>
    <sheetView topLeftCell="G1" workbookViewId="0">
      <selection activeCell="Z1" sqref="Z1"/>
    </sheetView>
  </sheetViews>
  <sheetFormatPr baseColWidth="10" defaultColWidth="11.42578125" defaultRowHeight="15" x14ac:dyDescent="0.25"/>
  <cols>
    <col min="2" max="2" width="39.5703125" customWidth="1"/>
    <col min="3" max="3" width="55.7109375" customWidth="1"/>
    <col min="4" max="4" width="54.7109375" customWidth="1"/>
    <col min="6" max="6" width="22.140625" customWidth="1"/>
    <col min="7" max="7" width="36.7109375" customWidth="1"/>
    <col min="9" max="14" width="11.42578125" customWidth="1"/>
  </cols>
  <sheetData>
    <row r="1" spans="1:14" x14ac:dyDescent="0.25">
      <c r="A1" t="s">
        <v>71</v>
      </c>
      <c r="B1" t="s">
        <v>72</v>
      </c>
      <c r="C1" t="s">
        <v>73</v>
      </c>
      <c r="D1" t="s">
        <v>74</v>
      </c>
      <c r="E1" t="s">
        <v>75</v>
      </c>
      <c r="F1" t="s">
        <v>70</v>
      </c>
      <c r="G1" t="s">
        <v>76</v>
      </c>
      <c r="H1" t="s">
        <v>77</v>
      </c>
      <c r="I1" t="s">
        <v>78</v>
      </c>
      <c r="J1" t="s">
        <v>79</v>
      </c>
      <c r="K1" t="s">
        <v>80</v>
      </c>
      <c r="L1" t="s">
        <v>81</v>
      </c>
      <c r="M1" t="s">
        <v>82</v>
      </c>
      <c r="N1" t="s">
        <v>83</v>
      </c>
    </row>
    <row r="2" spans="1:14" x14ac:dyDescent="0.25">
      <c r="A2">
        <v>8583891</v>
      </c>
      <c r="B2" t="s">
        <v>84</v>
      </c>
      <c r="C2" t="s">
        <v>85</v>
      </c>
      <c r="D2" t="s">
        <v>86</v>
      </c>
      <c r="E2" t="s">
        <v>87</v>
      </c>
      <c r="F2" t="s">
        <v>88</v>
      </c>
      <c r="G2">
        <v>5621</v>
      </c>
      <c r="H2" t="s">
        <v>88</v>
      </c>
      <c r="I2" t="s">
        <v>89</v>
      </c>
      <c r="K2">
        <v>2529929.7185800001</v>
      </c>
      <c r="L2">
        <v>1157463.9782499999</v>
      </c>
      <c r="M2">
        <v>406</v>
      </c>
      <c r="N2" t="s">
        <v>90</v>
      </c>
    </row>
    <row r="3" spans="1:14" x14ac:dyDescent="0.25">
      <c r="A3">
        <v>8570093</v>
      </c>
      <c r="B3" t="s">
        <v>91</v>
      </c>
      <c r="C3" t="s">
        <v>85</v>
      </c>
      <c r="D3" t="s">
        <v>86</v>
      </c>
      <c r="E3" t="s">
        <v>87</v>
      </c>
      <c r="F3" t="s">
        <v>88</v>
      </c>
      <c r="G3">
        <v>5621</v>
      </c>
      <c r="H3" t="s">
        <v>88</v>
      </c>
      <c r="I3" t="s">
        <v>89</v>
      </c>
      <c r="K3">
        <v>2528825</v>
      </c>
      <c r="L3">
        <v>1157750</v>
      </c>
      <c r="M3">
        <v>450</v>
      </c>
      <c r="N3" t="s">
        <v>92</v>
      </c>
    </row>
    <row r="4" spans="1:14" x14ac:dyDescent="0.25">
      <c r="A4">
        <v>8507650</v>
      </c>
      <c r="B4" t="s">
        <v>93</v>
      </c>
      <c r="C4" t="s">
        <v>94</v>
      </c>
      <c r="D4" t="s">
        <v>86</v>
      </c>
      <c r="E4" t="s">
        <v>87</v>
      </c>
      <c r="F4" t="s">
        <v>95</v>
      </c>
      <c r="G4">
        <v>5742</v>
      </c>
      <c r="H4" t="s">
        <v>95</v>
      </c>
      <c r="I4" t="s">
        <v>96</v>
      </c>
      <c r="K4">
        <v>2529106</v>
      </c>
      <c r="L4">
        <v>1174641</v>
      </c>
      <c r="M4">
        <v>507</v>
      </c>
      <c r="N4" t="s">
        <v>97</v>
      </c>
    </row>
    <row r="5" spans="1:14" x14ac:dyDescent="0.25">
      <c r="A5">
        <v>8570235</v>
      </c>
      <c r="B5" t="s">
        <v>98</v>
      </c>
      <c r="C5" t="s">
        <v>94</v>
      </c>
      <c r="D5" t="s">
        <v>86</v>
      </c>
      <c r="E5" t="s">
        <v>87</v>
      </c>
      <c r="F5" t="s">
        <v>95</v>
      </c>
      <c r="G5">
        <v>5742</v>
      </c>
      <c r="H5" t="s">
        <v>95</v>
      </c>
      <c r="I5" t="s">
        <v>96</v>
      </c>
      <c r="K5">
        <v>2528837</v>
      </c>
      <c r="L5">
        <v>1174270</v>
      </c>
      <c r="M5">
        <v>523</v>
      </c>
      <c r="N5" t="s">
        <v>99</v>
      </c>
    </row>
    <row r="6" spans="1:14" x14ac:dyDescent="0.25">
      <c r="A6">
        <v>8504425</v>
      </c>
      <c r="B6" t="s">
        <v>100</v>
      </c>
      <c r="C6" t="s">
        <v>101</v>
      </c>
      <c r="D6" t="s">
        <v>86</v>
      </c>
      <c r="E6" t="s">
        <v>87</v>
      </c>
      <c r="F6" t="s">
        <v>102</v>
      </c>
      <c r="G6">
        <v>5401</v>
      </c>
      <c r="H6" t="s">
        <v>102</v>
      </c>
      <c r="I6" t="s">
        <v>103</v>
      </c>
      <c r="K6">
        <v>2562250</v>
      </c>
      <c r="L6">
        <v>1127697</v>
      </c>
      <c r="M6">
        <v>386</v>
      </c>
      <c r="N6" t="s">
        <v>104</v>
      </c>
    </row>
    <row r="7" spans="1:14" x14ac:dyDescent="0.25">
      <c r="A7">
        <v>8505193</v>
      </c>
      <c r="B7" t="s">
        <v>105</v>
      </c>
      <c r="C7" t="s">
        <v>101</v>
      </c>
      <c r="D7" t="s">
        <v>86</v>
      </c>
      <c r="E7" t="s">
        <v>87</v>
      </c>
      <c r="F7" t="s">
        <v>102</v>
      </c>
      <c r="G7">
        <v>5401</v>
      </c>
      <c r="H7" t="s">
        <v>102</v>
      </c>
      <c r="I7" t="s">
        <v>103</v>
      </c>
      <c r="K7">
        <v>2561991</v>
      </c>
      <c r="L7">
        <v>1128843</v>
      </c>
      <c r="M7">
        <v>384</v>
      </c>
      <c r="N7" t="s">
        <v>106</v>
      </c>
    </row>
    <row r="8" spans="1:14" x14ac:dyDescent="0.25">
      <c r="A8">
        <v>8581845</v>
      </c>
      <c r="B8" t="s">
        <v>107</v>
      </c>
      <c r="C8" t="s">
        <v>101</v>
      </c>
      <c r="D8" t="s">
        <v>86</v>
      </c>
      <c r="E8" t="s">
        <v>87</v>
      </c>
      <c r="F8" t="s">
        <v>102</v>
      </c>
      <c r="G8">
        <v>5401</v>
      </c>
      <c r="H8" t="s">
        <v>102</v>
      </c>
      <c r="I8" t="s">
        <v>103</v>
      </c>
      <c r="J8" t="s">
        <v>108</v>
      </c>
      <c r="K8">
        <v>2562877</v>
      </c>
      <c r="L8">
        <v>1129904</v>
      </c>
      <c r="M8">
        <v>396</v>
      </c>
      <c r="N8" t="s">
        <v>109</v>
      </c>
    </row>
    <row r="9" spans="1:14" x14ac:dyDescent="0.25">
      <c r="A9">
        <v>8517484</v>
      </c>
      <c r="B9" t="s">
        <v>110</v>
      </c>
      <c r="C9" t="s">
        <v>111</v>
      </c>
      <c r="D9" t="s">
        <v>112</v>
      </c>
      <c r="E9" t="s">
        <v>87</v>
      </c>
      <c r="F9" t="s">
        <v>102</v>
      </c>
      <c r="G9">
        <v>5401</v>
      </c>
      <c r="H9" t="s">
        <v>102</v>
      </c>
      <c r="I9" t="s">
        <v>113</v>
      </c>
      <c r="K9">
        <v>2565151.159</v>
      </c>
      <c r="L9">
        <v>1129423.007</v>
      </c>
      <c r="M9">
        <v>488.1</v>
      </c>
      <c r="N9" t="s">
        <v>114</v>
      </c>
    </row>
    <row r="10" spans="1:14" x14ac:dyDescent="0.25">
      <c r="A10">
        <v>8581047</v>
      </c>
      <c r="B10" t="s">
        <v>115</v>
      </c>
      <c r="C10" t="s">
        <v>101</v>
      </c>
      <c r="D10" t="s">
        <v>86</v>
      </c>
      <c r="E10" t="s">
        <v>87</v>
      </c>
      <c r="F10" t="s">
        <v>102</v>
      </c>
      <c r="G10">
        <v>5401</v>
      </c>
      <c r="H10" t="s">
        <v>102</v>
      </c>
      <c r="I10" t="s">
        <v>103</v>
      </c>
      <c r="K10">
        <v>2562697</v>
      </c>
      <c r="L10">
        <v>1129618</v>
      </c>
      <c r="M10">
        <v>393</v>
      </c>
      <c r="N10" t="s">
        <v>116</v>
      </c>
    </row>
    <row r="11" spans="1:14" x14ac:dyDescent="0.25">
      <c r="A11">
        <v>8593763</v>
      </c>
      <c r="B11" t="s">
        <v>117</v>
      </c>
      <c r="C11" t="s">
        <v>101</v>
      </c>
      <c r="D11" t="s">
        <v>86</v>
      </c>
      <c r="E11" t="s">
        <v>87</v>
      </c>
      <c r="F11" t="s">
        <v>102</v>
      </c>
      <c r="G11">
        <v>5401</v>
      </c>
      <c r="H11" t="s">
        <v>102</v>
      </c>
      <c r="I11" t="s">
        <v>103</v>
      </c>
      <c r="K11">
        <v>2563515</v>
      </c>
      <c r="L11">
        <v>1129751</v>
      </c>
      <c r="M11">
        <v>406</v>
      </c>
      <c r="N11" t="s">
        <v>118</v>
      </c>
    </row>
    <row r="12" spans="1:14" x14ac:dyDescent="0.25">
      <c r="A12">
        <v>8511106</v>
      </c>
      <c r="B12" t="s">
        <v>119</v>
      </c>
      <c r="C12" t="s">
        <v>101</v>
      </c>
      <c r="D12" t="s">
        <v>86</v>
      </c>
      <c r="E12" t="s">
        <v>87</v>
      </c>
      <c r="F12" t="s">
        <v>102</v>
      </c>
      <c r="G12">
        <v>5401</v>
      </c>
      <c r="H12" t="s">
        <v>102</v>
      </c>
      <c r="I12" t="s">
        <v>103</v>
      </c>
      <c r="K12">
        <v>2564331</v>
      </c>
      <c r="L12">
        <v>1129735</v>
      </c>
      <c r="M12">
        <v>428</v>
      </c>
      <c r="N12" t="s">
        <v>120</v>
      </c>
    </row>
    <row r="13" spans="1:14" x14ac:dyDescent="0.25">
      <c r="A13">
        <v>8512177</v>
      </c>
      <c r="B13" t="s">
        <v>121</v>
      </c>
      <c r="C13" t="s">
        <v>101</v>
      </c>
      <c r="D13" t="s">
        <v>86</v>
      </c>
      <c r="E13" t="s">
        <v>87</v>
      </c>
      <c r="F13" t="s">
        <v>102</v>
      </c>
      <c r="G13">
        <v>5401</v>
      </c>
      <c r="H13" t="s">
        <v>102</v>
      </c>
      <c r="I13" t="s">
        <v>103</v>
      </c>
      <c r="K13">
        <v>2565332.57626</v>
      </c>
      <c r="L13">
        <v>1129785.53391</v>
      </c>
      <c r="M13">
        <v>532.5</v>
      </c>
      <c r="N13" t="s">
        <v>122</v>
      </c>
    </row>
    <row r="14" spans="1:14" x14ac:dyDescent="0.25">
      <c r="A14">
        <v>8593766</v>
      </c>
      <c r="B14" t="s">
        <v>123</v>
      </c>
      <c r="C14" t="s">
        <v>101</v>
      </c>
      <c r="D14" t="s">
        <v>86</v>
      </c>
      <c r="E14" t="s">
        <v>87</v>
      </c>
      <c r="F14" t="s">
        <v>102</v>
      </c>
      <c r="G14">
        <v>5401</v>
      </c>
      <c r="H14" t="s">
        <v>102</v>
      </c>
      <c r="I14" t="s">
        <v>103</v>
      </c>
      <c r="K14">
        <v>2563046</v>
      </c>
      <c r="L14">
        <v>1129261</v>
      </c>
      <c r="M14">
        <v>396</v>
      </c>
      <c r="N14" t="s">
        <v>124</v>
      </c>
    </row>
    <row r="15" spans="1:14" x14ac:dyDescent="0.25">
      <c r="A15">
        <v>8593765</v>
      </c>
      <c r="B15" t="s">
        <v>125</v>
      </c>
      <c r="C15" t="s">
        <v>101</v>
      </c>
      <c r="D15" t="s">
        <v>86</v>
      </c>
      <c r="E15" t="s">
        <v>87</v>
      </c>
      <c r="F15" t="s">
        <v>102</v>
      </c>
      <c r="G15">
        <v>5401</v>
      </c>
      <c r="H15" t="s">
        <v>102</v>
      </c>
      <c r="I15" t="s">
        <v>103</v>
      </c>
      <c r="K15">
        <v>2561857</v>
      </c>
      <c r="L15">
        <v>1129051</v>
      </c>
      <c r="M15">
        <v>383</v>
      </c>
      <c r="N15" t="s">
        <v>126</v>
      </c>
    </row>
    <row r="16" spans="1:14" x14ac:dyDescent="0.25">
      <c r="A16">
        <v>8593764</v>
      </c>
      <c r="B16" t="s">
        <v>127</v>
      </c>
      <c r="C16" t="s">
        <v>101</v>
      </c>
      <c r="D16" t="s">
        <v>86</v>
      </c>
      <c r="E16" t="s">
        <v>87</v>
      </c>
      <c r="F16" t="s">
        <v>102</v>
      </c>
      <c r="G16">
        <v>5401</v>
      </c>
      <c r="H16" t="s">
        <v>102</v>
      </c>
      <c r="I16" t="s">
        <v>103</v>
      </c>
      <c r="K16">
        <v>2563147</v>
      </c>
      <c r="L16">
        <v>1129978</v>
      </c>
      <c r="M16">
        <v>401</v>
      </c>
      <c r="N16" t="s">
        <v>128</v>
      </c>
    </row>
    <row r="17" spans="1:14" x14ac:dyDescent="0.25">
      <c r="A17">
        <v>8517500</v>
      </c>
      <c r="B17" t="s">
        <v>129</v>
      </c>
      <c r="C17" t="s">
        <v>111</v>
      </c>
      <c r="E17" t="s">
        <v>87</v>
      </c>
      <c r="F17" t="s">
        <v>102</v>
      </c>
      <c r="G17">
        <v>5401</v>
      </c>
      <c r="H17" t="s">
        <v>102</v>
      </c>
      <c r="I17" t="s">
        <v>113</v>
      </c>
      <c r="J17" t="s">
        <v>130</v>
      </c>
      <c r="K17">
        <v>2563889.6269999999</v>
      </c>
      <c r="L17">
        <v>1129584.956</v>
      </c>
      <c r="M17">
        <v>415.3</v>
      </c>
      <c r="N17" t="s">
        <v>131</v>
      </c>
    </row>
    <row r="18" spans="1:14" x14ac:dyDescent="0.25">
      <c r="A18">
        <v>8501400</v>
      </c>
      <c r="B18" t="s">
        <v>102</v>
      </c>
      <c r="C18" t="s">
        <v>132</v>
      </c>
      <c r="D18" t="s">
        <v>112</v>
      </c>
      <c r="E18" t="s">
        <v>87</v>
      </c>
      <c r="F18" t="s">
        <v>102</v>
      </c>
      <c r="G18">
        <v>5401</v>
      </c>
      <c r="H18" t="s">
        <v>102</v>
      </c>
      <c r="I18" t="s">
        <v>133</v>
      </c>
      <c r="K18">
        <v>2563416.2880000002</v>
      </c>
      <c r="L18">
        <v>1129606.2</v>
      </c>
      <c r="M18">
        <v>403.90800000000002</v>
      </c>
      <c r="N18" t="s">
        <v>134</v>
      </c>
    </row>
    <row r="19" spans="1:14" x14ac:dyDescent="0.25">
      <c r="A19">
        <v>8501468</v>
      </c>
      <c r="B19" t="s">
        <v>135</v>
      </c>
      <c r="C19" t="s">
        <v>111</v>
      </c>
      <c r="D19" t="s">
        <v>112</v>
      </c>
      <c r="E19" t="s">
        <v>87</v>
      </c>
      <c r="F19" t="s">
        <v>102</v>
      </c>
      <c r="G19">
        <v>5401</v>
      </c>
      <c r="H19" t="s">
        <v>102</v>
      </c>
      <c r="I19" t="s">
        <v>113</v>
      </c>
      <c r="K19">
        <v>2564590</v>
      </c>
      <c r="L19">
        <v>1129601</v>
      </c>
      <c r="M19">
        <v>433</v>
      </c>
      <c r="N19" t="s">
        <v>136</v>
      </c>
    </row>
    <row r="20" spans="1:14" x14ac:dyDescent="0.25">
      <c r="A20">
        <v>8501554</v>
      </c>
      <c r="B20" t="s">
        <v>137</v>
      </c>
      <c r="C20" t="s">
        <v>111</v>
      </c>
      <c r="D20" t="s">
        <v>112</v>
      </c>
      <c r="E20" t="s">
        <v>87</v>
      </c>
      <c r="F20" t="s">
        <v>102</v>
      </c>
      <c r="G20">
        <v>5401</v>
      </c>
      <c r="H20" t="s">
        <v>102</v>
      </c>
      <c r="I20" t="s">
        <v>113</v>
      </c>
      <c r="K20">
        <v>2563929.2749999999</v>
      </c>
      <c r="L20">
        <v>1129645.8600000001</v>
      </c>
      <c r="M20">
        <v>416.7</v>
      </c>
      <c r="N20" t="s">
        <v>138</v>
      </c>
    </row>
    <row r="21" spans="1:14" x14ac:dyDescent="0.25">
      <c r="A21">
        <v>8509014</v>
      </c>
      <c r="B21" t="s">
        <v>139</v>
      </c>
      <c r="C21" t="s">
        <v>101</v>
      </c>
      <c r="D21" t="s">
        <v>86</v>
      </c>
      <c r="E21" t="s">
        <v>87</v>
      </c>
      <c r="F21" t="s">
        <v>102</v>
      </c>
      <c r="G21">
        <v>5401</v>
      </c>
      <c r="H21" t="s">
        <v>102</v>
      </c>
      <c r="I21" t="s">
        <v>103</v>
      </c>
      <c r="K21">
        <v>2561952</v>
      </c>
      <c r="L21">
        <v>1127942</v>
      </c>
      <c r="M21">
        <v>385</v>
      </c>
      <c r="N21" t="s">
        <v>140</v>
      </c>
    </row>
    <row r="22" spans="1:14" x14ac:dyDescent="0.25">
      <c r="A22">
        <v>8570600</v>
      </c>
      <c r="B22" t="s">
        <v>141</v>
      </c>
      <c r="C22" t="s">
        <v>101</v>
      </c>
      <c r="D22" t="s">
        <v>86</v>
      </c>
      <c r="E22" t="s">
        <v>87</v>
      </c>
      <c r="F22" t="s">
        <v>102</v>
      </c>
      <c r="G22">
        <v>5401</v>
      </c>
      <c r="H22" t="s">
        <v>102</v>
      </c>
      <c r="I22" t="s">
        <v>103</v>
      </c>
      <c r="K22">
        <v>2563487</v>
      </c>
      <c r="L22">
        <v>1129528</v>
      </c>
      <c r="M22">
        <v>406</v>
      </c>
      <c r="N22" t="s">
        <v>142</v>
      </c>
    </row>
    <row r="23" spans="1:14" x14ac:dyDescent="0.25">
      <c r="A23">
        <v>8570601</v>
      </c>
      <c r="B23" t="s">
        <v>143</v>
      </c>
      <c r="C23" t="s">
        <v>101</v>
      </c>
      <c r="D23" t="s">
        <v>86</v>
      </c>
      <c r="E23" t="s">
        <v>87</v>
      </c>
      <c r="F23" t="s">
        <v>102</v>
      </c>
      <c r="G23">
        <v>5401</v>
      </c>
      <c r="H23" t="s">
        <v>102</v>
      </c>
      <c r="I23" t="s">
        <v>103</v>
      </c>
      <c r="K23">
        <v>2563920</v>
      </c>
      <c r="L23">
        <v>1129661</v>
      </c>
      <c r="M23">
        <v>417</v>
      </c>
      <c r="N23" t="s">
        <v>144</v>
      </c>
    </row>
    <row r="24" spans="1:14" x14ac:dyDescent="0.25">
      <c r="A24">
        <v>8501179</v>
      </c>
      <c r="B24" t="s">
        <v>145</v>
      </c>
      <c r="C24" t="s">
        <v>111</v>
      </c>
      <c r="D24" t="s">
        <v>112</v>
      </c>
      <c r="E24" t="s">
        <v>87</v>
      </c>
      <c r="F24" t="s">
        <v>102</v>
      </c>
      <c r="G24">
        <v>5401</v>
      </c>
      <c r="H24" t="s">
        <v>102</v>
      </c>
      <c r="I24" t="s">
        <v>113</v>
      </c>
      <c r="K24">
        <v>2565177.1970000002</v>
      </c>
      <c r="L24">
        <v>1129929.7779999999</v>
      </c>
      <c r="M24">
        <v>613.70000000000005</v>
      </c>
      <c r="N24" t="s">
        <v>146</v>
      </c>
    </row>
    <row r="25" spans="1:14" x14ac:dyDescent="0.25">
      <c r="A25">
        <v>8501485</v>
      </c>
      <c r="B25" t="s">
        <v>147</v>
      </c>
      <c r="C25" t="s">
        <v>111</v>
      </c>
      <c r="D25" t="s">
        <v>112</v>
      </c>
      <c r="E25" t="s">
        <v>87</v>
      </c>
      <c r="F25" t="s">
        <v>102</v>
      </c>
      <c r="G25">
        <v>5401</v>
      </c>
      <c r="H25" t="s">
        <v>102</v>
      </c>
      <c r="I25" t="s">
        <v>113</v>
      </c>
      <c r="K25">
        <v>2564851.1749999998</v>
      </c>
      <c r="L25">
        <v>1129760.473</v>
      </c>
      <c r="M25">
        <v>548.79999999999995</v>
      </c>
      <c r="N25" t="s">
        <v>148</v>
      </c>
    </row>
    <row r="26" spans="1:14" x14ac:dyDescent="0.25">
      <c r="A26">
        <v>8504407</v>
      </c>
      <c r="B26" t="s">
        <v>149</v>
      </c>
      <c r="C26" t="s">
        <v>101</v>
      </c>
      <c r="D26" t="s">
        <v>86</v>
      </c>
      <c r="E26" t="s">
        <v>87</v>
      </c>
      <c r="F26" t="s">
        <v>102</v>
      </c>
      <c r="G26">
        <v>5401</v>
      </c>
      <c r="H26" t="s">
        <v>102</v>
      </c>
      <c r="I26" t="s">
        <v>103</v>
      </c>
      <c r="K26">
        <v>2561407</v>
      </c>
      <c r="L26">
        <v>1129616</v>
      </c>
      <c r="M26">
        <v>383</v>
      </c>
      <c r="N26" t="s">
        <v>150</v>
      </c>
    </row>
    <row r="27" spans="1:14" x14ac:dyDescent="0.25">
      <c r="A27">
        <v>8504421</v>
      </c>
      <c r="B27" t="s">
        <v>151</v>
      </c>
      <c r="C27" t="s">
        <v>101</v>
      </c>
      <c r="D27" t="s">
        <v>86</v>
      </c>
      <c r="E27" t="s">
        <v>87</v>
      </c>
      <c r="F27" t="s">
        <v>102</v>
      </c>
      <c r="G27">
        <v>5401</v>
      </c>
      <c r="H27" t="s">
        <v>102</v>
      </c>
      <c r="I27" t="s">
        <v>103</v>
      </c>
      <c r="K27">
        <v>2563107</v>
      </c>
      <c r="L27">
        <v>1129587</v>
      </c>
      <c r="M27">
        <v>399</v>
      </c>
      <c r="N27" t="s">
        <v>152</v>
      </c>
    </row>
    <row r="28" spans="1:14" x14ac:dyDescent="0.25">
      <c r="A28">
        <v>8511997</v>
      </c>
      <c r="B28" t="s">
        <v>153</v>
      </c>
      <c r="C28" t="s">
        <v>132</v>
      </c>
      <c r="E28" t="s">
        <v>87</v>
      </c>
      <c r="F28" t="s">
        <v>102</v>
      </c>
      <c r="G28">
        <v>5401</v>
      </c>
      <c r="H28" t="s">
        <v>102</v>
      </c>
      <c r="I28" t="s">
        <v>133</v>
      </c>
      <c r="K28">
        <v>2563339.5419999999</v>
      </c>
      <c r="L28">
        <v>1130262.183</v>
      </c>
      <c r="M28">
        <v>405.9</v>
      </c>
      <c r="N28" t="s">
        <v>154</v>
      </c>
    </row>
    <row r="29" spans="1:14" x14ac:dyDescent="0.25">
      <c r="A29">
        <v>8593770</v>
      </c>
      <c r="B29" t="s">
        <v>155</v>
      </c>
      <c r="C29" t="s">
        <v>101</v>
      </c>
      <c r="D29" t="s">
        <v>86</v>
      </c>
      <c r="E29" t="s">
        <v>87</v>
      </c>
      <c r="F29" t="s">
        <v>102</v>
      </c>
      <c r="G29">
        <v>5401</v>
      </c>
      <c r="H29" t="s">
        <v>102</v>
      </c>
      <c r="I29" t="s">
        <v>103</v>
      </c>
      <c r="K29">
        <v>2562865</v>
      </c>
      <c r="L29">
        <v>1130145</v>
      </c>
      <c r="M29">
        <v>397</v>
      </c>
      <c r="N29" t="s">
        <v>156</v>
      </c>
    </row>
    <row r="30" spans="1:14" x14ac:dyDescent="0.25">
      <c r="A30">
        <v>8593769</v>
      </c>
      <c r="B30" t="s">
        <v>157</v>
      </c>
      <c r="C30" t="s">
        <v>101</v>
      </c>
      <c r="D30" t="s">
        <v>86</v>
      </c>
      <c r="E30" t="s">
        <v>87</v>
      </c>
      <c r="F30" t="s">
        <v>102</v>
      </c>
      <c r="G30">
        <v>5401</v>
      </c>
      <c r="H30" t="s">
        <v>102</v>
      </c>
      <c r="I30" t="s">
        <v>103</v>
      </c>
      <c r="K30">
        <v>2563342</v>
      </c>
      <c r="L30">
        <v>1129352</v>
      </c>
      <c r="M30">
        <v>403</v>
      </c>
      <c r="N30" t="s">
        <v>158</v>
      </c>
    </row>
    <row r="31" spans="1:14" x14ac:dyDescent="0.25">
      <c r="A31">
        <v>8593768</v>
      </c>
      <c r="B31" t="s">
        <v>159</v>
      </c>
      <c r="C31" t="s">
        <v>101</v>
      </c>
      <c r="D31" t="s">
        <v>86</v>
      </c>
      <c r="E31" t="s">
        <v>87</v>
      </c>
      <c r="F31" t="s">
        <v>102</v>
      </c>
      <c r="G31">
        <v>5401</v>
      </c>
      <c r="H31" t="s">
        <v>102</v>
      </c>
      <c r="I31" t="s">
        <v>103</v>
      </c>
      <c r="J31" t="s">
        <v>160</v>
      </c>
      <c r="K31">
        <v>2563407</v>
      </c>
      <c r="L31">
        <v>1129066</v>
      </c>
      <c r="M31">
        <v>401</v>
      </c>
      <c r="N31" t="s">
        <v>161</v>
      </c>
    </row>
    <row r="32" spans="1:14" x14ac:dyDescent="0.25">
      <c r="A32">
        <v>8581046</v>
      </c>
      <c r="B32" t="s">
        <v>162</v>
      </c>
      <c r="C32" t="s">
        <v>101</v>
      </c>
      <c r="D32" t="s">
        <v>86</v>
      </c>
      <c r="E32" t="s">
        <v>87</v>
      </c>
      <c r="F32" t="s">
        <v>102</v>
      </c>
      <c r="G32">
        <v>5401</v>
      </c>
      <c r="H32" t="s">
        <v>102</v>
      </c>
      <c r="I32" t="s">
        <v>103</v>
      </c>
      <c r="K32">
        <v>2563043</v>
      </c>
      <c r="L32">
        <v>1129759</v>
      </c>
      <c r="M32">
        <v>399</v>
      </c>
      <c r="N32" t="s">
        <v>163</v>
      </c>
    </row>
    <row r="33" spans="1:14" x14ac:dyDescent="0.25">
      <c r="A33">
        <v>8581050</v>
      </c>
      <c r="B33" t="s">
        <v>164</v>
      </c>
      <c r="C33" t="s">
        <v>94</v>
      </c>
      <c r="D33" t="s">
        <v>86</v>
      </c>
      <c r="E33" t="s">
        <v>87</v>
      </c>
      <c r="F33" t="s">
        <v>102</v>
      </c>
      <c r="G33">
        <v>5401</v>
      </c>
      <c r="H33" t="s">
        <v>102</v>
      </c>
      <c r="I33" t="s">
        <v>96</v>
      </c>
      <c r="K33">
        <v>2561446</v>
      </c>
      <c r="L33">
        <v>1129765</v>
      </c>
      <c r="M33">
        <v>385</v>
      </c>
      <c r="N33" t="s">
        <v>165</v>
      </c>
    </row>
    <row r="34" spans="1:14" x14ac:dyDescent="0.25">
      <c r="A34">
        <v>8511103</v>
      </c>
      <c r="B34" t="s">
        <v>166</v>
      </c>
      <c r="C34" t="s">
        <v>101</v>
      </c>
      <c r="D34" t="s">
        <v>86</v>
      </c>
      <c r="E34" t="s">
        <v>87</v>
      </c>
      <c r="F34" t="s">
        <v>102</v>
      </c>
      <c r="G34">
        <v>5401</v>
      </c>
      <c r="H34" t="s">
        <v>102</v>
      </c>
      <c r="I34" t="s">
        <v>103</v>
      </c>
      <c r="K34">
        <v>2563701</v>
      </c>
      <c r="L34">
        <v>1128915</v>
      </c>
      <c r="M34">
        <v>404</v>
      </c>
      <c r="N34" t="s">
        <v>167</v>
      </c>
    </row>
    <row r="35" spans="1:14" x14ac:dyDescent="0.25">
      <c r="A35">
        <v>8519338</v>
      </c>
      <c r="B35" t="s">
        <v>168</v>
      </c>
      <c r="C35" t="s">
        <v>111</v>
      </c>
      <c r="E35" t="s">
        <v>87</v>
      </c>
      <c r="F35" t="s">
        <v>102</v>
      </c>
      <c r="G35">
        <v>5401</v>
      </c>
      <c r="H35" t="s">
        <v>102</v>
      </c>
      <c r="I35" t="s">
        <v>113</v>
      </c>
      <c r="J35" t="s">
        <v>130</v>
      </c>
      <c r="K35">
        <v>2563448</v>
      </c>
      <c r="L35">
        <v>1129549</v>
      </c>
      <c r="M35">
        <v>404</v>
      </c>
      <c r="N35" t="s">
        <v>169</v>
      </c>
    </row>
    <row r="36" spans="1:14" x14ac:dyDescent="0.25">
      <c r="A36">
        <v>8581048</v>
      </c>
      <c r="B36" t="s">
        <v>170</v>
      </c>
      <c r="C36" t="s">
        <v>101</v>
      </c>
      <c r="D36" t="s">
        <v>86</v>
      </c>
      <c r="E36" t="s">
        <v>87</v>
      </c>
      <c r="F36" t="s">
        <v>102</v>
      </c>
      <c r="G36">
        <v>5401</v>
      </c>
      <c r="H36" t="s">
        <v>102</v>
      </c>
      <c r="I36" t="s">
        <v>103</v>
      </c>
      <c r="K36">
        <v>2562291</v>
      </c>
      <c r="L36">
        <v>1129451</v>
      </c>
      <c r="M36">
        <v>388</v>
      </c>
      <c r="N36" t="s">
        <v>171</v>
      </c>
    </row>
    <row r="37" spans="1:14" x14ac:dyDescent="0.25">
      <c r="A37">
        <v>8501484</v>
      </c>
      <c r="B37" t="s">
        <v>172</v>
      </c>
      <c r="C37" t="s">
        <v>111</v>
      </c>
      <c r="D37" t="s">
        <v>112</v>
      </c>
      <c r="E37" t="s">
        <v>87</v>
      </c>
      <c r="F37" t="s">
        <v>102</v>
      </c>
      <c r="G37">
        <v>5401</v>
      </c>
      <c r="H37" t="s">
        <v>102</v>
      </c>
      <c r="I37" t="s">
        <v>113</v>
      </c>
      <c r="K37">
        <v>2564317.3939999999</v>
      </c>
      <c r="L37">
        <v>1129760.2749999999</v>
      </c>
      <c r="M37">
        <v>427.6</v>
      </c>
      <c r="N37" t="s">
        <v>173</v>
      </c>
    </row>
    <row r="38" spans="1:14" x14ac:dyDescent="0.25">
      <c r="A38">
        <v>8596090</v>
      </c>
      <c r="B38" t="s">
        <v>174</v>
      </c>
      <c r="C38" t="s">
        <v>101</v>
      </c>
      <c r="D38" t="s">
        <v>86</v>
      </c>
      <c r="E38" t="s">
        <v>87</v>
      </c>
      <c r="F38" t="s">
        <v>102</v>
      </c>
      <c r="G38">
        <v>5401</v>
      </c>
      <c r="H38" t="s">
        <v>102</v>
      </c>
      <c r="I38" t="s">
        <v>103</v>
      </c>
      <c r="J38" t="s">
        <v>175</v>
      </c>
      <c r="K38">
        <v>2563730</v>
      </c>
      <c r="L38">
        <v>1130027</v>
      </c>
      <c r="M38">
        <v>412</v>
      </c>
      <c r="N38" t="s">
        <v>176</v>
      </c>
    </row>
    <row r="39" spans="1:14" x14ac:dyDescent="0.25">
      <c r="A39">
        <v>8501471</v>
      </c>
      <c r="B39" t="s">
        <v>177</v>
      </c>
      <c r="C39" t="s">
        <v>111</v>
      </c>
      <c r="D39" t="s">
        <v>112</v>
      </c>
      <c r="E39" t="s">
        <v>87</v>
      </c>
      <c r="F39" t="s">
        <v>102</v>
      </c>
      <c r="G39">
        <v>5401</v>
      </c>
      <c r="H39" t="s">
        <v>102</v>
      </c>
      <c r="I39" t="s">
        <v>113</v>
      </c>
      <c r="K39">
        <v>2568066.0019999999</v>
      </c>
      <c r="L39">
        <v>1130746.4129999999</v>
      </c>
      <c r="M39">
        <v>801.4</v>
      </c>
      <c r="N39" t="s">
        <v>178</v>
      </c>
    </row>
    <row r="40" spans="1:14" x14ac:dyDescent="0.25">
      <c r="A40">
        <v>8504408</v>
      </c>
      <c r="B40" t="s">
        <v>179</v>
      </c>
      <c r="C40" t="s">
        <v>101</v>
      </c>
      <c r="D40" t="s">
        <v>86</v>
      </c>
      <c r="E40" t="s">
        <v>87</v>
      </c>
      <c r="F40" t="s">
        <v>102</v>
      </c>
      <c r="G40">
        <v>5401</v>
      </c>
      <c r="H40" t="s">
        <v>102</v>
      </c>
      <c r="I40" t="s">
        <v>103</v>
      </c>
      <c r="K40">
        <v>2563338</v>
      </c>
      <c r="L40">
        <v>1130162</v>
      </c>
      <c r="M40">
        <v>404</v>
      </c>
      <c r="N40" t="s">
        <v>180</v>
      </c>
    </row>
    <row r="41" spans="1:14" x14ac:dyDescent="0.25">
      <c r="A41">
        <v>8504418</v>
      </c>
      <c r="B41" t="s">
        <v>181</v>
      </c>
      <c r="C41" t="s">
        <v>101</v>
      </c>
      <c r="D41" t="s">
        <v>86</v>
      </c>
      <c r="E41" t="s">
        <v>87</v>
      </c>
      <c r="F41" t="s">
        <v>102</v>
      </c>
      <c r="G41">
        <v>5401</v>
      </c>
      <c r="H41" t="s">
        <v>102</v>
      </c>
      <c r="I41" t="s">
        <v>103</v>
      </c>
      <c r="K41">
        <v>2563697</v>
      </c>
      <c r="L41">
        <v>1129155</v>
      </c>
      <c r="M41">
        <v>408</v>
      </c>
      <c r="N41" t="s">
        <v>182</v>
      </c>
    </row>
    <row r="42" spans="1:14" x14ac:dyDescent="0.25">
      <c r="A42">
        <v>8517482</v>
      </c>
      <c r="B42" t="s">
        <v>183</v>
      </c>
      <c r="C42" t="s">
        <v>111</v>
      </c>
      <c r="E42" t="s">
        <v>87</v>
      </c>
      <c r="F42" t="s">
        <v>102</v>
      </c>
      <c r="G42">
        <v>5401</v>
      </c>
      <c r="H42" t="s">
        <v>102</v>
      </c>
      <c r="I42" t="s">
        <v>113</v>
      </c>
      <c r="J42" t="s">
        <v>130</v>
      </c>
      <c r="K42">
        <v>2563820.9147999999</v>
      </c>
      <c r="L42">
        <v>1128156.1195</v>
      </c>
      <c r="M42">
        <v>393.4</v>
      </c>
      <c r="N42" t="s">
        <v>184</v>
      </c>
    </row>
    <row r="43" spans="1:14" x14ac:dyDescent="0.25">
      <c r="A43">
        <v>8512152</v>
      </c>
      <c r="B43" t="s">
        <v>185</v>
      </c>
      <c r="C43" t="s">
        <v>101</v>
      </c>
      <c r="D43" t="s">
        <v>86</v>
      </c>
      <c r="E43" t="s">
        <v>87</v>
      </c>
      <c r="F43" t="s">
        <v>102</v>
      </c>
      <c r="G43">
        <v>5401</v>
      </c>
      <c r="H43" t="s">
        <v>102</v>
      </c>
      <c r="I43" t="s">
        <v>103</v>
      </c>
      <c r="K43">
        <v>2563721.49529</v>
      </c>
      <c r="L43">
        <v>1128604.4962299999</v>
      </c>
      <c r="M43">
        <v>400.3</v>
      </c>
      <c r="N43" t="s">
        <v>186</v>
      </c>
    </row>
    <row r="44" spans="1:14" x14ac:dyDescent="0.25">
      <c r="A44">
        <v>8504409</v>
      </c>
      <c r="B44" t="s">
        <v>187</v>
      </c>
      <c r="C44" t="s">
        <v>101</v>
      </c>
      <c r="D44" t="s">
        <v>86</v>
      </c>
      <c r="E44" t="s">
        <v>87</v>
      </c>
      <c r="F44" t="s">
        <v>102</v>
      </c>
      <c r="G44">
        <v>5401</v>
      </c>
      <c r="H44" t="s">
        <v>102</v>
      </c>
      <c r="I44" t="s">
        <v>103</v>
      </c>
      <c r="K44">
        <v>2563506</v>
      </c>
      <c r="L44">
        <v>1129892</v>
      </c>
      <c r="M44">
        <v>406</v>
      </c>
      <c r="N44" t="s">
        <v>188</v>
      </c>
    </row>
    <row r="45" spans="1:14" x14ac:dyDescent="0.25">
      <c r="A45">
        <v>8504420</v>
      </c>
      <c r="B45" t="s">
        <v>189</v>
      </c>
      <c r="C45" t="s">
        <v>101</v>
      </c>
      <c r="D45" t="s">
        <v>86</v>
      </c>
      <c r="E45" t="s">
        <v>87</v>
      </c>
      <c r="F45" t="s">
        <v>102</v>
      </c>
      <c r="G45">
        <v>5401</v>
      </c>
      <c r="H45" t="s">
        <v>102</v>
      </c>
      <c r="I45" t="s">
        <v>103</v>
      </c>
      <c r="K45">
        <v>2563427</v>
      </c>
      <c r="L45">
        <v>1128858</v>
      </c>
      <c r="M45">
        <v>399</v>
      </c>
      <c r="N45" t="s">
        <v>190</v>
      </c>
    </row>
    <row r="46" spans="1:14" x14ac:dyDescent="0.25">
      <c r="A46">
        <v>8504422</v>
      </c>
      <c r="B46" t="s">
        <v>191</v>
      </c>
      <c r="C46" t="s">
        <v>101</v>
      </c>
      <c r="D46" t="s">
        <v>86</v>
      </c>
      <c r="E46" t="s">
        <v>87</v>
      </c>
      <c r="F46" t="s">
        <v>102</v>
      </c>
      <c r="G46">
        <v>5401</v>
      </c>
      <c r="H46" t="s">
        <v>102</v>
      </c>
      <c r="I46" t="s">
        <v>103</v>
      </c>
      <c r="K46">
        <v>2561437</v>
      </c>
      <c r="L46">
        <v>1128934</v>
      </c>
      <c r="M46">
        <v>383</v>
      </c>
      <c r="N46" t="s">
        <v>192</v>
      </c>
    </row>
    <row r="47" spans="1:14" x14ac:dyDescent="0.25">
      <c r="A47">
        <v>8504424</v>
      </c>
      <c r="B47" t="s">
        <v>193</v>
      </c>
      <c r="C47" t="s">
        <v>101</v>
      </c>
      <c r="D47" t="s">
        <v>86</v>
      </c>
      <c r="E47" t="s">
        <v>87</v>
      </c>
      <c r="F47" t="s">
        <v>102</v>
      </c>
      <c r="G47">
        <v>5401</v>
      </c>
      <c r="H47" t="s">
        <v>102</v>
      </c>
      <c r="I47" t="s">
        <v>103</v>
      </c>
      <c r="K47">
        <v>2561731</v>
      </c>
      <c r="L47">
        <v>1128118</v>
      </c>
      <c r="M47">
        <v>386</v>
      </c>
      <c r="N47" t="s">
        <v>194</v>
      </c>
    </row>
    <row r="48" spans="1:14" x14ac:dyDescent="0.25">
      <c r="A48">
        <v>8505195</v>
      </c>
      <c r="B48" t="s">
        <v>195</v>
      </c>
      <c r="C48" t="s">
        <v>101</v>
      </c>
      <c r="D48" t="s">
        <v>86</v>
      </c>
      <c r="E48" t="s">
        <v>87</v>
      </c>
      <c r="F48" t="s">
        <v>102</v>
      </c>
      <c r="G48">
        <v>5401</v>
      </c>
      <c r="H48" t="s">
        <v>102</v>
      </c>
      <c r="I48" t="s">
        <v>103</v>
      </c>
      <c r="K48">
        <v>2561542</v>
      </c>
      <c r="L48">
        <v>1129384</v>
      </c>
      <c r="M48">
        <v>383</v>
      </c>
      <c r="N48" t="s">
        <v>196</v>
      </c>
    </row>
    <row r="49" spans="1:14" x14ac:dyDescent="0.25">
      <c r="A49">
        <v>8506403</v>
      </c>
      <c r="B49" t="s">
        <v>197</v>
      </c>
      <c r="C49" t="s">
        <v>85</v>
      </c>
      <c r="D49" t="s">
        <v>86</v>
      </c>
      <c r="E49" t="s">
        <v>87</v>
      </c>
      <c r="F49" t="s">
        <v>198</v>
      </c>
      <c r="G49">
        <v>5851</v>
      </c>
      <c r="H49" t="s">
        <v>198</v>
      </c>
      <c r="I49" t="s">
        <v>89</v>
      </c>
      <c r="K49">
        <v>2519979.7957899999</v>
      </c>
      <c r="L49">
        <v>1147218.2831900001</v>
      </c>
      <c r="M49">
        <v>412.3</v>
      </c>
      <c r="N49" t="s">
        <v>199</v>
      </c>
    </row>
    <row r="50" spans="1:14" x14ac:dyDescent="0.25">
      <c r="A50">
        <v>8579079</v>
      </c>
      <c r="B50" t="s">
        <v>200</v>
      </c>
      <c r="C50" t="s">
        <v>94</v>
      </c>
      <c r="D50" t="s">
        <v>86</v>
      </c>
      <c r="E50" t="s">
        <v>87</v>
      </c>
      <c r="F50" t="s">
        <v>198</v>
      </c>
      <c r="G50">
        <v>5851</v>
      </c>
      <c r="H50" t="s">
        <v>198</v>
      </c>
      <c r="I50" t="s">
        <v>96</v>
      </c>
      <c r="K50">
        <v>2520208</v>
      </c>
      <c r="L50">
        <v>1147702</v>
      </c>
      <c r="M50">
        <v>422</v>
      </c>
      <c r="N50" t="s">
        <v>201</v>
      </c>
    </row>
    <row r="51" spans="1:14" x14ac:dyDescent="0.25">
      <c r="A51">
        <v>8506405</v>
      </c>
      <c r="B51" t="s">
        <v>202</v>
      </c>
      <c r="C51" t="s">
        <v>85</v>
      </c>
      <c r="D51" t="s">
        <v>86</v>
      </c>
      <c r="E51" t="s">
        <v>87</v>
      </c>
      <c r="F51" t="s">
        <v>198</v>
      </c>
      <c r="G51">
        <v>5851</v>
      </c>
      <c r="H51" t="s">
        <v>198</v>
      </c>
      <c r="I51" t="s">
        <v>89</v>
      </c>
      <c r="K51">
        <v>2519948</v>
      </c>
      <c r="L51">
        <v>1147024</v>
      </c>
      <c r="M51">
        <v>400</v>
      </c>
      <c r="N51" t="s">
        <v>203</v>
      </c>
    </row>
    <row r="52" spans="1:14" x14ac:dyDescent="0.25">
      <c r="A52">
        <v>8501035</v>
      </c>
      <c r="B52" t="s">
        <v>198</v>
      </c>
      <c r="C52" t="s">
        <v>132</v>
      </c>
      <c r="D52" t="s">
        <v>112</v>
      </c>
      <c r="E52" t="s">
        <v>87</v>
      </c>
      <c r="F52" t="s">
        <v>198</v>
      </c>
      <c r="G52">
        <v>5851</v>
      </c>
      <c r="H52" t="s">
        <v>198</v>
      </c>
      <c r="I52" t="s">
        <v>133</v>
      </c>
      <c r="K52">
        <v>2520211.5290000001</v>
      </c>
      <c r="L52">
        <v>1147688.5079999999</v>
      </c>
      <c r="M52">
        <v>421.86799999999999</v>
      </c>
      <c r="N52" t="s">
        <v>204</v>
      </c>
    </row>
    <row r="53" spans="1:14" x14ac:dyDescent="0.25">
      <c r="A53">
        <v>8593870</v>
      </c>
      <c r="B53" t="s">
        <v>205</v>
      </c>
      <c r="C53" t="s">
        <v>206</v>
      </c>
      <c r="D53" t="s">
        <v>86</v>
      </c>
      <c r="E53" t="s">
        <v>87</v>
      </c>
      <c r="F53" t="s">
        <v>207</v>
      </c>
      <c r="G53">
        <v>5701</v>
      </c>
      <c r="H53" t="s">
        <v>207</v>
      </c>
      <c r="I53" t="s">
        <v>208</v>
      </c>
      <c r="K53">
        <v>2503482</v>
      </c>
      <c r="L53">
        <v>1137049</v>
      </c>
      <c r="M53">
        <v>464</v>
      </c>
      <c r="N53" t="s">
        <v>209</v>
      </c>
    </row>
    <row r="54" spans="1:14" x14ac:dyDescent="0.25">
      <c r="A54">
        <v>8579310</v>
      </c>
      <c r="B54" t="s">
        <v>207</v>
      </c>
      <c r="C54" t="s">
        <v>206</v>
      </c>
      <c r="D54" t="s">
        <v>86</v>
      </c>
      <c r="E54" t="s">
        <v>87</v>
      </c>
      <c r="F54" t="s">
        <v>207</v>
      </c>
      <c r="G54">
        <v>5701</v>
      </c>
      <c r="H54" t="s">
        <v>207</v>
      </c>
      <c r="I54" t="s">
        <v>208</v>
      </c>
      <c r="K54">
        <v>2504188</v>
      </c>
      <c r="L54">
        <v>1136690</v>
      </c>
      <c r="M54">
        <v>458</v>
      </c>
      <c r="N54" t="s">
        <v>210</v>
      </c>
    </row>
    <row r="55" spans="1:14" x14ac:dyDescent="0.25">
      <c r="A55">
        <v>8579106</v>
      </c>
      <c r="B55" t="s">
        <v>211</v>
      </c>
      <c r="C55" t="s">
        <v>94</v>
      </c>
      <c r="D55" t="s">
        <v>86</v>
      </c>
      <c r="E55" t="s">
        <v>87</v>
      </c>
      <c r="F55" t="s">
        <v>212</v>
      </c>
      <c r="G55">
        <v>5743</v>
      </c>
      <c r="H55" t="s">
        <v>212</v>
      </c>
      <c r="I55" t="s">
        <v>96</v>
      </c>
      <c r="K55">
        <v>2529674</v>
      </c>
      <c r="L55">
        <v>1172281</v>
      </c>
      <c r="M55">
        <v>552</v>
      </c>
      <c r="N55" t="s">
        <v>213</v>
      </c>
    </row>
    <row r="56" spans="1:14" x14ac:dyDescent="0.25">
      <c r="A56">
        <v>8576379</v>
      </c>
      <c r="B56" t="s">
        <v>214</v>
      </c>
      <c r="C56" t="s">
        <v>94</v>
      </c>
      <c r="D56" t="s">
        <v>86</v>
      </c>
      <c r="E56" t="s">
        <v>87</v>
      </c>
      <c r="F56" t="s">
        <v>212</v>
      </c>
      <c r="G56">
        <v>5743</v>
      </c>
      <c r="H56" t="s">
        <v>212</v>
      </c>
      <c r="I56" t="s">
        <v>96</v>
      </c>
      <c r="K56">
        <v>2529665</v>
      </c>
      <c r="L56">
        <v>1171927</v>
      </c>
      <c r="M56">
        <v>545</v>
      </c>
      <c r="N56" t="s">
        <v>215</v>
      </c>
    </row>
    <row r="57" spans="1:14" x14ac:dyDescent="0.25">
      <c r="A57">
        <v>8501107</v>
      </c>
      <c r="B57" t="s">
        <v>216</v>
      </c>
      <c r="C57" t="s">
        <v>132</v>
      </c>
      <c r="D57" t="s">
        <v>112</v>
      </c>
      <c r="E57" t="s">
        <v>87</v>
      </c>
      <c r="F57" t="s">
        <v>212</v>
      </c>
      <c r="G57">
        <v>5743</v>
      </c>
      <c r="H57" t="s">
        <v>212</v>
      </c>
      <c r="I57" t="s">
        <v>133</v>
      </c>
      <c r="K57">
        <v>2529656.3530000001</v>
      </c>
      <c r="L57">
        <v>1172287.2069999999</v>
      </c>
      <c r="M57">
        <v>552.42999999999995</v>
      </c>
      <c r="N57" t="s">
        <v>217</v>
      </c>
    </row>
    <row r="58" spans="1:14" x14ac:dyDescent="0.25">
      <c r="A58">
        <v>8582136</v>
      </c>
      <c r="B58" t="s">
        <v>218</v>
      </c>
      <c r="C58" t="s">
        <v>94</v>
      </c>
      <c r="D58" t="s">
        <v>86</v>
      </c>
      <c r="E58" t="s">
        <v>87</v>
      </c>
      <c r="F58" t="s">
        <v>219</v>
      </c>
      <c r="G58">
        <v>5702</v>
      </c>
      <c r="H58" t="s">
        <v>219</v>
      </c>
      <c r="I58" t="s">
        <v>96</v>
      </c>
      <c r="J58" t="s">
        <v>220</v>
      </c>
      <c r="K58">
        <v>2506599</v>
      </c>
      <c r="L58">
        <v>1146212</v>
      </c>
      <c r="M58">
        <v>749</v>
      </c>
      <c r="N58" t="s">
        <v>221</v>
      </c>
    </row>
    <row r="59" spans="1:14" x14ac:dyDescent="0.25">
      <c r="A59">
        <v>8510725</v>
      </c>
      <c r="B59" t="s">
        <v>222</v>
      </c>
      <c r="C59" t="s">
        <v>223</v>
      </c>
      <c r="D59" t="s">
        <v>86</v>
      </c>
      <c r="E59" t="s">
        <v>87</v>
      </c>
      <c r="F59" t="s">
        <v>219</v>
      </c>
      <c r="G59">
        <v>5702</v>
      </c>
      <c r="H59" t="s">
        <v>219</v>
      </c>
      <c r="I59" t="s">
        <v>224</v>
      </c>
      <c r="K59">
        <v>2505684.65606</v>
      </c>
      <c r="L59">
        <v>1146019.9873800001</v>
      </c>
      <c r="M59">
        <v>844.5</v>
      </c>
      <c r="N59" t="s">
        <v>225</v>
      </c>
    </row>
    <row r="60" spans="1:14" x14ac:dyDescent="0.25">
      <c r="A60">
        <v>8501065</v>
      </c>
      <c r="B60" t="s">
        <v>226</v>
      </c>
      <c r="C60" t="s">
        <v>227</v>
      </c>
      <c r="D60" t="s">
        <v>112</v>
      </c>
      <c r="E60" t="s">
        <v>87</v>
      </c>
      <c r="F60" t="s">
        <v>219</v>
      </c>
      <c r="G60">
        <v>5702</v>
      </c>
      <c r="H60" t="s">
        <v>219</v>
      </c>
      <c r="I60" t="s">
        <v>228</v>
      </c>
      <c r="K60">
        <v>2506024.0780000002</v>
      </c>
      <c r="L60">
        <v>1145508.2350000001</v>
      </c>
      <c r="M60">
        <v>712.2</v>
      </c>
      <c r="N60" t="s">
        <v>229</v>
      </c>
    </row>
    <row r="61" spans="1:14" x14ac:dyDescent="0.25">
      <c r="A61">
        <v>8501057</v>
      </c>
      <c r="B61" t="s">
        <v>230</v>
      </c>
      <c r="C61" t="s">
        <v>227</v>
      </c>
      <c r="D61" t="s">
        <v>112</v>
      </c>
      <c r="E61" t="s">
        <v>87</v>
      </c>
      <c r="F61" t="s">
        <v>219</v>
      </c>
      <c r="G61">
        <v>5702</v>
      </c>
      <c r="H61" t="s">
        <v>219</v>
      </c>
      <c r="I61" t="s">
        <v>228</v>
      </c>
      <c r="K61">
        <v>2503561.5974900001</v>
      </c>
      <c r="L61">
        <v>1144900.1271500001</v>
      </c>
      <c r="M61">
        <v>972.3</v>
      </c>
      <c r="N61" t="s">
        <v>231</v>
      </c>
    </row>
    <row r="62" spans="1:14" x14ac:dyDescent="0.25">
      <c r="A62">
        <v>8510732</v>
      </c>
      <c r="B62" t="s">
        <v>232</v>
      </c>
      <c r="C62" t="s">
        <v>223</v>
      </c>
      <c r="D62" t="s">
        <v>86</v>
      </c>
      <c r="E62" t="s">
        <v>87</v>
      </c>
      <c r="F62" t="s">
        <v>219</v>
      </c>
      <c r="G62">
        <v>5702</v>
      </c>
      <c r="H62" t="s">
        <v>219</v>
      </c>
      <c r="I62" t="s">
        <v>224</v>
      </c>
      <c r="K62">
        <v>2506274.4546599998</v>
      </c>
      <c r="L62">
        <v>1145558.6775799999</v>
      </c>
      <c r="M62">
        <v>696</v>
      </c>
      <c r="N62" t="s">
        <v>233</v>
      </c>
    </row>
    <row r="63" spans="1:14" x14ac:dyDescent="0.25">
      <c r="A63">
        <v>8501064</v>
      </c>
      <c r="B63" t="s">
        <v>234</v>
      </c>
      <c r="C63" t="s">
        <v>227</v>
      </c>
      <c r="D63" t="s">
        <v>112</v>
      </c>
      <c r="E63" t="s">
        <v>87</v>
      </c>
      <c r="F63" t="s">
        <v>219</v>
      </c>
      <c r="G63">
        <v>5702</v>
      </c>
      <c r="H63" t="s">
        <v>219</v>
      </c>
      <c r="I63" t="s">
        <v>228</v>
      </c>
      <c r="K63">
        <v>2506563.4279999998</v>
      </c>
      <c r="L63">
        <v>1146196.9269999999</v>
      </c>
      <c r="M63">
        <v>753.2</v>
      </c>
      <c r="N63" t="s">
        <v>235</v>
      </c>
    </row>
    <row r="64" spans="1:14" x14ac:dyDescent="0.25">
      <c r="A64">
        <v>8501063</v>
      </c>
      <c r="B64" t="s">
        <v>236</v>
      </c>
      <c r="C64" t="s">
        <v>227</v>
      </c>
      <c r="D64" t="s">
        <v>112</v>
      </c>
      <c r="E64" t="s">
        <v>87</v>
      </c>
      <c r="F64" t="s">
        <v>219</v>
      </c>
      <c r="G64">
        <v>5702</v>
      </c>
      <c r="H64" t="s">
        <v>219</v>
      </c>
      <c r="I64" t="s">
        <v>228</v>
      </c>
      <c r="K64">
        <v>2505741.2510000002</v>
      </c>
      <c r="L64">
        <v>1145995.1740000001</v>
      </c>
      <c r="M64">
        <v>839</v>
      </c>
      <c r="N64" t="s">
        <v>237</v>
      </c>
    </row>
    <row r="65" spans="1:14" x14ac:dyDescent="0.25">
      <c r="A65">
        <v>8501172</v>
      </c>
      <c r="B65" t="s">
        <v>28</v>
      </c>
      <c r="C65" t="s">
        <v>238</v>
      </c>
      <c r="D65" t="s">
        <v>112</v>
      </c>
      <c r="E65" t="s">
        <v>87</v>
      </c>
      <c r="F65" t="s">
        <v>28</v>
      </c>
      <c r="G65">
        <v>5511</v>
      </c>
      <c r="H65" t="s">
        <v>28</v>
      </c>
      <c r="I65" t="s">
        <v>239</v>
      </c>
      <c r="K65">
        <v>2537329.841</v>
      </c>
      <c r="L65">
        <v>1162760.382</v>
      </c>
      <c r="M65">
        <v>622.20000000000005</v>
      </c>
      <c r="N65" t="s">
        <v>240</v>
      </c>
    </row>
    <row r="66" spans="1:14" x14ac:dyDescent="0.25">
      <c r="A66">
        <v>8507624</v>
      </c>
      <c r="B66" t="s">
        <v>241</v>
      </c>
      <c r="C66" t="s">
        <v>242</v>
      </c>
      <c r="D66" t="s">
        <v>86</v>
      </c>
      <c r="E66" t="s">
        <v>87</v>
      </c>
      <c r="F66" t="s">
        <v>28</v>
      </c>
      <c r="G66">
        <v>5511</v>
      </c>
      <c r="H66" t="s">
        <v>28</v>
      </c>
      <c r="I66" t="s">
        <v>243</v>
      </c>
      <c r="K66">
        <v>2537353</v>
      </c>
      <c r="L66">
        <v>1162776</v>
      </c>
      <c r="M66">
        <v>624.1</v>
      </c>
      <c r="N66" t="s">
        <v>244</v>
      </c>
    </row>
    <row r="67" spans="1:14" x14ac:dyDescent="0.25">
      <c r="A67">
        <v>8507655</v>
      </c>
      <c r="B67" t="s">
        <v>245</v>
      </c>
      <c r="C67" t="s">
        <v>94</v>
      </c>
      <c r="D67" t="s">
        <v>86</v>
      </c>
      <c r="E67" t="s">
        <v>87</v>
      </c>
      <c r="F67" t="s">
        <v>28</v>
      </c>
      <c r="G67">
        <v>5511</v>
      </c>
      <c r="H67" t="s">
        <v>246</v>
      </c>
      <c r="I67" t="s">
        <v>96</v>
      </c>
      <c r="K67">
        <v>2535557</v>
      </c>
      <c r="L67">
        <v>1163718</v>
      </c>
      <c r="M67">
        <v>608</v>
      </c>
      <c r="N67" t="s">
        <v>247</v>
      </c>
    </row>
    <row r="68" spans="1:14" x14ac:dyDescent="0.25">
      <c r="A68">
        <v>8501871</v>
      </c>
      <c r="B68" t="s">
        <v>248</v>
      </c>
      <c r="C68" t="s">
        <v>94</v>
      </c>
      <c r="D68" t="s">
        <v>86</v>
      </c>
      <c r="E68" t="s">
        <v>87</v>
      </c>
      <c r="F68" t="s">
        <v>249</v>
      </c>
      <c r="G68">
        <v>5422</v>
      </c>
      <c r="H68" t="s">
        <v>250</v>
      </c>
      <c r="I68" t="s">
        <v>96</v>
      </c>
      <c r="K68">
        <v>2517674</v>
      </c>
      <c r="L68">
        <v>1150284</v>
      </c>
      <c r="M68">
        <v>591</v>
      </c>
      <c r="N68" t="s">
        <v>251</v>
      </c>
    </row>
    <row r="69" spans="1:14" x14ac:dyDescent="0.25">
      <c r="A69">
        <v>8579082</v>
      </c>
      <c r="B69" t="s">
        <v>252</v>
      </c>
      <c r="C69" t="s">
        <v>94</v>
      </c>
      <c r="D69" t="s">
        <v>86</v>
      </c>
      <c r="E69" t="s">
        <v>87</v>
      </c>
      <c r="F69" t="s">
        <v>249</v>
      </c>
      <c r="G69">
        <v>5422</v>
      </c>
      <c r="H69" t="s">
        <v>250</v>
      </c>
      <c r="I69" t="s">
        <v>96</v>
      </c>
      <c r="K69">
        <v>2518059</v>
      </c>
      <c r="L69">
        <v>1150264</v>
      </c>
      <c r="M69">
        <v>585</v>
      </c>
      <c r="N69" t="s">
        <v>253</v>
      </c>
    </row>
    <row r="70" spans="1:14" x14ac:dyDescent="0.25">
      <c r="A70">
        <v>8583896</v>
      </c>
      <c r="B70" t="s">
        <v>254</v>
      </c>
      <c r="C70" t="s">
        <v>94</v>
      </c>
      <c r="D70" t="s">
        <v>86</v>
      </c>
      <c r="E70" t="s">
        <v>87</v>
      </c>
      <c r="F70" t="s">
        <v>249</v>
      </c>
      <c r="G70">
        <v>5422</v>
      </c>
      <c r="H70" t="s">
        <v>255</v>
      </c>
      <c r="I70" t="s">
        <v>96</v>
      </c>
      <c r="K70">
        <v>2516812</v>
      </c>
      <c r="L70">
        <v>1149527</v>
      </c>
      <c r="M70">
        <v>644</v>
      </c>
      <c r="N70" t="s">
        <v>256</v>
      </c>
    </row>
    <row r="71" spans="1:14" x14ac:dyDescent="0.25">
      <c r="A71">
        <v>8570046</v>
      </c>
      <c r="B71" t="s">
        <v>257</v>
      </c>
      <c r="C71" t="s">
        <v>94</v>
      </c>
      <c r="D71" t="s">
        <v>86</v>
      </c>
      <c r="E71" t="s">
        <v>87</v>
      </c>
      <c r="F71" t="s">
        <v>249</v>
      </c>
      <c r="G71">
        <v>5422</v>
      </c>
      <c r="H71" t="s">
        <v>249</v>
      </c>
      <c r="I71" t="s">
        <v>96</v>
      </c>
      <c r="K71">
        <v>2519457</v>
      </c>
      <c r="L71">
        <v>1149580</v>
      </c>
      <c r="M71">
        <v>513</v>
      </c>
      <c r="N71" t="s">
        <v>258</v>
      </c>
    </row>
    <row r="72" spans="1:14" x14ac:dyDescent="0.25">
      <c r="A72">
        <v>8570045</v>
      </c>
      <c r="B72" t="s">
        <v>259</v>
      </c>
      <c r="C72" t="s">
        <v>94</v>
      </c>
      <c r="D72" t="s">
        <v>86</v>
      </c>
      <c r="E72" t="s">
        <v>87</v>
      </c>
      <c r="F72" t="s">
        <v>249</v>
      </c>
      <c r="G72">
        <v>5422</v>
      </c>
      <c r="H72" t="s">
        <v>249</v>
      </c>
      <c r="I72" t="s">
        <v>96</v>
      </c>
      <c r="K72">
        <v>2518644</v>
      </c>
      <c r="L72">
        <v>1149309</v>
      </c>
      <c r="M72">
        <v>542</v>
      </c>
      <c r="N72" t="s">
        <v>260</v>
      </c>
    </row>
    <row r="73" spans="1:14" x14ac:dyDescent="0.25">
      <c r="A73">
        <v>8579083</v>
      </c>
      <c r="B73" t="s">
        <v>261</v>
      </c>
      <c r="C73" t="s">
        <v>94</v>
      </c>
      <c r="D73" t="s">
        <v>86</v>
      </c>
      <c r="E73" t="s">
        <v>87</v>
      </c>
      <c r="F73" t="s">
        <v>249</v>
      </c>
      <c r="G73">
        <v>5422</v>
      </c>
      <c r="H73" t="s">
        <v>250</v>
      </c>
      <c r="I73" t="s">
        <v>96</v>
      </c>
      <c r="K73">
        <v>2515569</v>
      </c>
      <c r="L73">
        <v>1150520</v>
      </c>
      <c r="M73">
        <v>674</v>
      </c>
      <c r="N73" t="s">
        <v>262</v>
      </c>
    </row>
    <row r="74" spans="1:14" x14ac:dyDescent="0.25">
      <c r="A74">
        <v>8579081</v>
      </c>
      <c r="B74" t="s">
        <v>263</v>
      </c>
      <c r="C74" t="s">
        <v>94</v>
      </c>
      <c r="D74" t="s">
        <v>86</v>
      </c>
      <c r="E74" t="s">
        <v>87</v>
      </c>
      <c r="F74" t="s">
        <v>249</v>
      </c>
      <c r="G74">
        <v>5422</v>
      </c>
      <c r="H74" t="s">
        <v>249</v>
      </c>
      <c r="I74" t="s">
        <v>96</v>
      </c>
      <c r="K74">
        <v>2519943</v>
      </c>
      <c r="L74">
        <v>1149452</v>
      </c>
      <c r="M74">
        <v>480</v>
      </c>
      <c r="N74" t="s">
        <v>264</v>
      </c>
    </row>
    <row r="75" spans="1:14" x14ac:dyDescent="0.25">
      <c r="A75">
        <v>8579080</v>
      </c>
      <c r="B75" t="s">
        <v>265</v>
      </c>
      <c r="C75" t="s">
        <v>94</v>
      </c>
      <c r="D75" t="s">
        <v>86</v>
      </c>
      <c r="E75" t="s">
        <v>87</v>
      </c>
      <c r="F75" t="s">
        <v>249</v>
      </c>
      <c r="G75">
        <v>5422</v>
      </c>
      <c r="H75" t="s">
        <v>249</v>
      </c>
      <c r="I75" t="s">
        <v>96</v>
      </c>
      <c r="K75">
        <v>2520323</v>
      </c>
      <c r="L75">
        <v>1148299</v>
      </c>
      <c r="M75">
        <v>438</v>
      </c>
      <c r="N75" t="s">
        <v>266</v>
      </c>
    </row>
    <row r="76" spans="1:14" x14ac:dyDescent="0.25">
      <c r="A76">
        <v>8501865</v>
      </c>
      <c r="B76" t="s">
        <v>267</v>
      </c>
      <c r="C76" t="s">
        <v>94</v>
      </c>
      <c r="D76" t="s">
        <v>86</v>
      </c>
      <c r="E76" t="s">
        <v>87</v>
      </c>
      <c r="F76" t="s">
        <v>249</v>
      </c>
      <c r="G76">
        <v>5422</v>
      </c>
      <c r="H76" t="s">
        <v>249</v>
      </c>
      <c r="I76" t="s">
        <v>96</v>
      </c>
      <c r="K76">
        <v>2519116</v>
      </c>
      <c r="L76">
        <v>1149675</v>
      </c>
      <c r="M76">
        <v>534</v>
      </c>
      <c r="N76" t="s">
        <v>268</v>
      </c>
    </row>
    <row r="77" spans="1:14" x14ac:dyDescent="0.25">
      <c r="A77">
        <v>8501862</v>
      </c>
      <c r="B77" t="s">
        <v>269</v>
      </c>
      <c r="C77" t="s">
        <v>94</v>
      </c>
      <c r="D77" t="s">
        <v>86</v>
      </c>
      <c r="E77" t="s">
        <v>87</v>
      </c>
      <c r="F77" t="s">
        <v>249</v>
      </c>
      <c r="G77">
        <v>5422</v>
      </c>
      <c r="H77" t="s">
        <v>270</v>
      </c>
      <c r="I77" t="s">
        <v>96</v>
      </c>
      <c r="K77">
        <v>2516799</v>
      </c>
      <c r="L77">
        <v>1148781</v>
      </c>
      <c r="M77">
        <v>698</v>
      </c>
      <c r="N77" t="s">
        <v>271</v>
      </c>
    </row>
    <row r="78" spans="1:14" x14ac:dyDescent="0.25">
      <c r="A78">
        <v>8501867</v>
      </c>
      <c r="B78" t="s">
        <v>272</v>
      </c>
      <c r="C78" t="s">
        <v>94</v>
      </c>
      <c r="D78" t="s">
        <v>86</v>
      </c>
      <c r="E78" t="s">
        <v>87</v>
      </c>
      <c r="F78" t="s">
        <v>249</v>
      </c>
      <c r="G78">
        <v>5422</v>
      </c>
      <c r="H78" t="s">
        <v>249</v>
      </c>
      <c r="I78" t="s">
        <v>96</v>
      </c>
      <c r="K78">
        <v>2520204</v>
      </c>
      <c r="L78">
        <v>1149142</v>
      </c>
      <c r="M78">
        <v>457</v>
      </c>
      <c r="N78" t="s">
        <v>273</v>
      </c>
    </row>
    <row r="79" spans="1:14" x14ac:dyDescent="0.25">
      <c r="A79">
        <v>8501870</v>
      </c>
      <c r="B79" t="s">
        <v>274</v>
      </c>
      <c r="C79" t="s">
        <v>94</v>
      </c>
      <c r="D79" t="s">
        <v>86</v>
      </c>
      <c r="E79" t="s">
        <v>87</v>
      </c>
      <c r="F79" t="s">
        <v>249</v>
      </c>
      <c r="G79">
        <v>5422</v>
      </c>
      <c r="H79" t="s">
        <v>249</v>
      </c>
      <c r="I79" t="s">
        <v>96</v>
      </c>
      <c r="K79">
        <v>2519720</v>
      </c>
      <c r="L79">
        <v>1149706</v>
      </c>
      <c r="M79">
        <v>500</v>
      </c>
      <c r="N79" t="s">
        <v>275</v>
      </c>
    </row>
    <row r="80" spans="1:14" x14ac:dyDescent="0.25">
      <c r="A80">
        <v>8583458</v>
      </c>
      <c r="B80" t="s">
        <v>276</v>
      </c>
      <c r="C80" t="s">
        <v>94</v>
      </c>
      <c r="D80" t="s">
        <v>86</v>
      </c>
      <c r="E80" t="s">
        <v>87</v>
      </c>
      <c r="F80" t="s">
        <v>249</v>
      </c>
      <c r="G80">
        <v>5422</v>
      </c>
      <c r="H80" t="s">
        <v>249</v>
      </c>
      <c r="I80" t="s">
        <v>96</v>
      </c>
      <c r="J80" t="s">
        <v>277</v>
      </c>
      <c r="K80">
        <v>2517891</v>
      </c>
      <c r="L80">
        <v>1149939</v>
      </c>
      <c r="M80">
        <v>578</v>
      </c>
      <c r="N80" t="s">
        <v>278</v>
      </c>
    </row>
    <row r="81" spans="1:14" x14ac:dyDescent="0.25">
      <c r="A81">
        <v>8501868</v>
      </c>
      <c r="B81" t="s">
        <v>279</v>
      </c>
      <c r="C81" t="s">
        <v>94</v>
      </c>
      <c r="D81" t="s">
        <v>86</v>
      </c>
      <c r="E81" t="s">
        <v>87</v>
      </c>
      <c r="F81" t="s">
        <v>249</v>
      </c>
      <c r="G81">
        <v>5422</v>
      </c>
      <c r="H81" t="s">
        <v>249</v>
      </c>
      <c r="I81" t="s">
        <v>96</v>
      </c>
      <c r="K81">
        <v>2520285</v>
      </c>
      <c r="L81">
        <v>1148725</v>
      </c>
      <c r="M81">
        <v>450</v>
      </c>
      <c r="N81" t="s">
        <v>280</v>
      </c>
    </row>
    <row r="82" spans="1:14" x14ac:dyDescent="0.25">
      <c r="A82">
        <v>8504781</v>
      </c>
      <c r="B82" t="s">
        <v>281</v>
      </c>
      <c r="C82" t="s">
        <v>94</v>
      </c>
      <c r="D82" t="s">
        <v>86</v>
      </c>
      <c r="E82" t="s">
        <v>87</v>
      </c>
      <c r="F82" t="s">
        <v>282</v>
      </c>
      <c r="G82">
        <v>5451</v>
      </c>
      <c r="H82" t="s">
        <v>282</v>
      </c>
      <c r="I82" t="s">
        <v>96</v>
      </c>
      <c r="J82" t="s">
        <v>283</v>
      </c>
      <c r="K82">
        <v>2569587</v>
      </c>
      <c r="L82">
        <v>1192279</v>
      </c>
      <c r="M82">
        <v>469</v>
      </c>
      <c r="N82" t="s">
        <v>284</v>
      </c>
    </row>
    <row r="83" spans="1:14" x14ac:dyDescent="0.25">
      <c r="A83">
        <v>8580759</v>
      </c>
      <c r="B83" t="s">
        <v>285</v>
      </c>
      <c r="C83" t="s">
        <v>94</v>
      </c>
      <c r="D83" t="s">
        <v>86</v>
      </c>
      <c r="E83" t="s">
        <v>87</v>
      </c>
      <c r="F83" t="s">
        <v>282</v>
      </c>
      <c r="G83">
        <v>5451</v>
      </c>
      <c r="H83" t="s">
        <v>282</v>
      </c>
      <c r="I83" t="s">
        <v>96</v>
      </c>
      <c r="K83">
        <v>2569974</v>
      </c>
      <c r="L83">
        <v>1194631</v>
      </c>
      <c r="M83">
        <v>434</v>
      </c>
      <c r="N83" t="s">
        <v>286</v>
      </c>
    </row>
    <row r="84" spans="1:14" x14ac:dyDescent="0.25">
      <c r="A84">
        <v>8583514</v>
      </c>
      <c r="B84" t="s">
        <v>287</v>
      </c>
      <c r="C84" t="s">
        <v>94</v>
      </c>
      <c r="D84" t="s">
        <v>86</v>
      </c>
      <c r="E84" t="s">
        <v>87</v>
      </c>
      <c r="F84" t="s">
        <v>282</v>
      </c>
      <c r="G84">
        <v>5451</v>
      </c>
      <c r="H84" t="s">
        <v>282</v>
      </c>
      <c r="I84" t="s">
        <v>96</v>
      </c>
      <c r="K84">
        <v>2569533</v>
      </c>
      <c r="L84">
        <v>1191808</v>
      </c>
      <c r="M84">
        <v>455</v>
      </c>
      <c r="N84" t="s">
        <v>288</v>
      </c>
    </row>
    <row r="85" spans="1:14" x14ac:dyDescent="0.25">
      <c r="A85">
        <v>8583516</v>
      </c>
      <c r="B85" t="s">
        <v>289</v>
      </c>
      <c r="C85" t="s">
        <v>94</v>
      </c>
      <c r="D85" t="s">
        <v>86</v>
      </c>
      <c r="E85" t="s">
        <v>87</v>
      </c>
      <c r="F85" t="s">
        <v>282</v>
      </c>
      <c r="G85">
        <v>5451</v>
      </c>
      <c r="H85" t="s">
        <v>282</v>
      </c>
      <c r="I85" t="s">
        <v>96</v>
      </c>
      <c r="K85">
        <v>2568987</v>
      </c>
      <c r="L85">
        <v>1191812</v>
      </c>
      <c r="M85">
        <v>443</v>
      </c>
      <c r="N85" t="s">
        <v>290</v>
      </c>
    </row>
    <row r="86" spans="1:14" x14ac:dyDescent="0.25">
      <c r="A86">
        <v>8583894</v>
      </c>
      <c r="B86" t="s">
        <v>291</v>
      </c>
      <c r="C86" t="s">
        <v>94</v>
      </c>
      <c r="D86" t="s">
        <v>86</v>
      </c>
      <c r="E86" t="s">
        <v>87</v>
      </c>
      <c r="F86" t="s">
        <v>282</v>
      </c>
      <c r="G86">
        <v>5451</v>
      </c>
      <c r="H86" t="s">
        <v>282</v>
      </c>
      <c r="I86" t="s">
        <v>96</v>
      </c>
      <c r="K86">
        <v>2569651</v>
      </c>
      <c r="L86">
        <v>1192165</v>
      </c>
      <c r="M86">
        <v>479</v>
      </c>
      <c r="N86" t="s">
        <v>292</v>
      </c>
    </row>
    <row r="87" spans="1:14" x14ac:dyDescent="0.25">
      <c r="A87">
        <v>8583726</v>
      </c>
      <c r="B87" t="s">
        <v>293</v>
      </c>
      <c r="C87" t="s">
        <v>94</v>
      </c>
      <c r="D87" t="s">
        <v>86</v>
      </c>
      <c r="E87" t="s">
        <v>87</v>
      </c>
      <c r="F87" t="s">
        <v>282</v>
      </c>
      <c r="G87">
        <v>5451</v>
      </c>
      <c r="H87" t="s">
        <v>294</v>
      </c>
      <c r="I87" t="s">
        <v>96</v>
      </c>
      <c r="K87">
        <v>2569387</v>
      </c>
      <c r="L87">
        <v>1189447</v>
      </c>
      <c r="M87">
        <v>551</v>
      </c>
      <c r="N87" t="s">
        <v>295</v>
      </c>
    </row>
    <row r="88" spans="1:14" x14ac:dyDescent="0.25">
      <c r="A88">
        <v>8577825</v>
      </c>
      <c r="B88" t="s">
        <v>296</v>
      </c>
      <c r="C88" t="s">
        <v>297</v>
      </c>
      <c r="D88" t="s">
        <v>86</v>
      </c>
      <c r="E88" t="s">
        <v>87</v>
      </c>
      <c r="F88" t="s">
        <v>282</v>
      </c>
      <c r="G88">
        <v>5451</v>
      </c>
      <c r="H88" t="s">
        <v>282</v>
      </c>
      <c r="I88" t="s">
        <v>298</v>
      </c>
      <c r="K88">
        <v>2569788</v>
      </c>
      <c r="L88">
        <v>1191968</v>
      </c>
      <c r="M88">
        <v>459</v>
      </c>
      <c r="N88" t="s">
        <v>299</v>
      </c>
    </row>
    <row r="89" spans="1:14" x14ac:dyDescent="0.25">
      <c r="A89">
        <v>8504570</v>
      </c>
      <c r="B89" t="s">
        <v>300</v>
      </c>
      <c r="C89" t="s">
        <v>301</v>
      </c>
      <c r="D89" t="s">
        <v>302</v>
      </c>
      <c r="E89" t="s">
        <v>87</v>
      </c>
      <c r="F89" t="s">
        <v>282</v>
      </c>
      <c r="G89">
        <v>5451</v>
      </c>
      <c r="H89" t="s">
        <v>282</v>
      </c>
      <c r="I89" t="s">
        <v>303</v>
      </c>
      <c r="J89" t="s">
        <v>304</v>
      </c>
      <c r="K89">
        <v>2570285.7118799998</v>
      </c>
      <c r="L89">
        <v>1195028.04333</v>
      </c>
      <c r="M89">
        <v>429</v>
      </c>
      <c r="N89" t="s">
        <v>305</v>
      </c>
    </row>
    <row r="90" spans="1:14" x14ac:dyDescent="0.25">
      <c r="A90">
        <v>8504126</v>
      </c>
      <c r="B90" t="s">
        <v>282</v>
      </c>
      <c r="C90" t="s">
        <v>132</v>
      </c>
      <c r="D90" t="s">
        <v>112</v>
      </c>
      <c r="E90" t="s">
        <v>87</v>
      </c>
      <c r="F90" t="s">
        <v>282</v>
      </c>
      <c r="G90">
        <v>5451</v>
      </c>
      <c r="H90" t="s">
        <v>282</v>
      </c>
      <c r="I90" t="s">
        <v>133</v>
      </c>
      <c r="K90">
        <v>2569686.7089999998</v>
      </c>
      <c r="L90">
        <v>1192686.53</v>
      </c>
      <c r="M90">
        <v>437.75</v>
      </c>
      <c r="N90" t="s">
        <v>306</v>
      </c>
    </row>
    <row r="91" spans="1:14" x14ac:dyDescent="0.25">
      <c r="A91">
        <v>8583895</v>
      </c>
      <c r="B91" t="s">
        <v>307</v>
      </c>
      <c r="C91" t="s">
        <v>94</v>
      </c>
      <c r="D91" t="s">
        <v>86</v>
      </c>
      <c r="E91" t="s">
        <v>87</v>
      </c>
      <c r="F91" t="s">
        <v>282</v>
      </c>
      <c r="G91">
        <v>5451</v>
      </c>
      <c r="H91" t="s">
        <v>282</v>
      </c>
      <c r="I91" t="s">
        <v>96</v>
      </c>
      <c r="K91">
        <v>2569930</v>
      </c>
      <c r="L91">
        <v>1192346</v>
      </c>
      <c r="M91">
        <v>459</v>
      </c>
      <c r="N91" t="s">
        <v>308</v>
      </c>
    </row>
    <row r="92" spans="1:14" x14ac:dyDescent="0.25">
      <c r="A92">
        <v>8583723</v>
      </c>
      <c r="B92" t="s">
        <v>309</v>
      </c>
      <c r="C92" t="s">
        <v>94</v>
      </c>
      <c r="D92" t="s">
        <v>86</v>
      </c>
      <c r="E92" t="s">
        <v>87</v>
      </c>
      <c r="F92" t="s">
        <v>282</v>
      </c>
      <c r="G92">
        <v>5451</v>
      </c>
      <c r="H92" t="s">
        <v>282</v>
      </c>
      <c r="I92" t="s">
        <v>96</v>
      </c>
      <c r="K92">
        <v>2569119</v>
      </c>
      <c r="L92">
        <v>1191803</v>
      </c>
      <c r="M92">
        <v>445</v>
      </c>
      <c r="N92" t="s">
        <v>310</v>
      </c>
    </row>
    <row r="93" spans="1:14" x14ac:dyDescent="0.25">
      <c r="A93">
        <v>8579799</v>
      </c>
      <c r="B93" t="s">
        <v>311</v>
      </c>
      <c r="C93" t="s">
        <v>94</v>
      </c>
      <c r="D93" t="s">
        <v>86</v>
      </c>
      <c r="E93" t="s">
        <v>87</v>
      </c>
      <c r="F93" t="s">
        <v>282</v>
      </c>
      <c r="G93">
        <v>5451</v>
      </c>
      <c r="H93" t="s">
        <v>282</v>
      </c>
      <c r="I93" t="s">
        <v>96</v>
      </c>
      <c r="K93">
        <v>2569399</v>
      </c>
      <c r="L93">
        <v>1192116</v>
      </c>
      <c r="M93">
        <v>455</v>
      </c>
      <c r="N93" t="s">
        <v>312</v>
      </c>
    </row>
    <row r="94" spans="1:14" x14ac:dyDescent="0.25">
      <c r="A94">
        <v>8583520</v>
      </c>
      <c r="B94" t="s">
        <v>313</v>
      </c>
      <c r="C94" t="s">
        <v>94</v>
      </c>
      <c r="D94" t="s">
        <v>86</v>
      </c>
      <c r="E94" t="s">
        <v>87</v>
      </c>
      <c r="F94" t="s">
        <v>282</v>
      </c>
      <c r="G94">
        <v>5451</v>
      </c>
      <c r="H94" t="s">
        <v>282</v>
      </c>
      <c r="I94" t="s">
        <v>96</v>
      </c>
      <c r="K94">
        <v>2570575</v>
      </c>
      <c r="L94">
        <v>1193829</v>
      </c>
      <c r="M94">
        <v>435</v>
      </c>
      <c r="N94" t="s">
        <v>314</v>
      </c>
    </row>
    <row r="95" spans="1:14" x14ac:dyDescent="0.25">
      <c r="A95">
        <v>8583515</v>
      </c>
      <c r="B95" t="s">
        <v>315</v>
      </c>
      <c r="C95" t="s">
        <v>94</v>
      </c>
      <c r="D95" t="s">
        <v>86</v>
      </c>
      <c r="E95" t="s">
        <v>87</v>
      </c>
      <c r="F95" t="s">
        <v>282</v>
      </c>
      <c r="G95">
        <v>5451</v>
      </c>
      <c r="H95" t="s">
        <v>282</v>
      </c>
      <c r="I95" t="s">
        <v>96</v>
      </c>
      <c r="K95">
        <v>2570225</v>
      </c>
      <c r="L95">
        <v>1194523</v>
      </c>
      <c r="M95">
        <v>434</v>
      </c>
      <c r="N95" t="s">
        <v>316</v>
      </c>
    </row>
    <row r="96" spans="1:14" x14ac:dyDescent="0.25">
      <c r="A96">
        <v>8583519</v>
      </c>
      <c r="B96" t="s">
        <v>317</v>
      </c>
      <c r="C96" t="s">
        <v>94</v>
      </c>
      <c r="D96" t="s">
        <v>86</v>
      </c>
      <c r="E96" t="s">
        <v>87</v>
      </c>
      <c r="F96" t="s">
        <v>282</v>
      </c>
      <c r="G96">
        <v>5451</v>
      </c>
      <c r="H96" t="s">
        <v>282</v>
      </c>
      <c r="I96" t="s">
        <v>96</v>
      </c>
      <c r="K96">
        <v>2570085</v>
      </c>
      <c r="L96">
        <v>1192826</v>
      </c>
      <c r="M96">
        <v>441</v>
      </c>
      <c r="N96" t="s">
        <v>318</v>
      </c>
    </row>
    <row r="97" spans="1:14" x14ac:dyDescent="0.25">
      <c r="A97">
        <v>8583517</v>
      </c>
      <c r="B97" t="s">
        <v>319</v>
      </c>
      <c r="C97" t="s">
        <v>94</v>
      </c>
      <c r="D97" t="s">
        <v>86</v>
      </c>
      <c r="E97" t="s">
        <v>87</v>
      </c>
      <c r="F97" t="s">
        <v>282</v>
      </c>
      <c r="G97">
        <v>5451</v>
      </c>
      <c r="H97" t="s">
        <v>282</v>
      </c>
      <c r="I97" t="s">
        <v>96</v>
      </c>
      <c r="K97">
        <v>2569782</v>
      </c>
      <c r="L97">
        <v>1191743</v>
      </c>
      <c r="M97">
        <v>462</v>
      </c>
      <c r="N97" t="s">
        <v>320</v>
      </c>
    </row>
    <row r="98" spans="1:14" x14ac:dyDescent="0.25">
      <c r="A98">
        <v>8510877</v>
      </c>
      <c r="B98" t="s">
        <v>321</v>
      </c>
      <c r="C98" t="s">
        <v>94</v>
      </c>
      <c r="D98" t="s">
        <v>86</v>
      </c>
      <c r="E98" t="s">
        <v>87</v>
      </c>
      <c r="F98" t="s">
        <v>282</v>
      </c>
      <c r="G98">
        <v>5451</v>
      </c>
      <c r="H98" t="s">
        <v>282</v>
      </c>
      <c r="I98" t="s">
        <v>96</v>
      </c>
      <c r="K98">
        <v>2569854</v>
      </c>
      <c r="L98">
        <v>1190789</v>
      </c>
      <c r="M98">
        <v>518</v>
      </c>
      <c r="N98" t="s">
        <v>322</v>
      </c>
    </row>
    <row r="99" spans="1:14" x14ac:dyDescent="0.25">
      <c r="A99">
        <v>8504886</v>
      </c>
      <c r="B99" t="s">
        <v>323</v>
      </c>
      <c r="C99" t="s">
        <v>297</v>
      </c>
      <c r="D99" t="s">
        <v>86</v>
      </c>
      <c r="E99" t="s">
        <v>87</v>
      </c>
      <c r="F99" t="s">
        <v>282</v>
      </c>
      <c r="G99">
        <v>5451</v>
      </c>
      <c r="H99" t="s">
        <v>324</v>
      </c>
      <c r="I99" t="s">
        <v>298</v>
      </c>
      <c r="K99">
        <v>2570998.7165799998</v>
      </c>
      <c r="L99">
        <v>1191663.21841</v>
      </c>
      <c r="M99">
        <v>505.1</v>
      </c>
      <c r="N99" t="s">
        <v>325</v>
      </c>
    </row>
    <row r="100" spans="1:14" x14ac:dyDescent="0.25">
      <c r="A100">
        <v>8583518</v>
      </c>
      <c r="B100" t="s">
        <v>326</v>
      </c>
      <c r="C100" t="s">
        <v>94</v>
      </c>
      <c r="D100" t="s">
        <v>86</v>
      </c>
      <c r="E100" t="s">
        <v>87</v>
      </c>
      <c r="F100" t="s">
        <v>282</v>
      </c>
      <c r="G100">
        <v>5451</v>
      </c>
      <c r="H100" t="s">
        <v>282</v>
      </c>
      <c r="I100" t="s">
        <v>96</v>
      </c>
      <c r="K100">
        <v>2569531</v>
      </c>
      <c r="L100">
        <v>1192050</v>
      </c>
      <c r="M100">
        <v>469</v>
      </c>
      <c r="N100" t="s">
        <v>327</v>
      </c>
    </row>
    <row r="101" spans="1:14" x14ac:dyDescent="0.25">
      <c r="A101">
        <v>8570514</v>
      </c>
      <c r="B101" t="s">
        <v>328</v>
      </c>
      <c r="C101" t="s">
        <v>94</v>
      </c>
      <c r="D101" t="s">
        <v>86</v>
      </c>
      <c r="E101" t="s">
        <v>87</v>
      </c>
      <c r="F101" t="s">
        <v>282</v>
      </c>
      <c r="G101">
        <v>5451</v>
      </c>
      <c r="H101" t="s">
        <v>282</v>
      </c>
      <c r="I101" t="s">
        <v>96</v>
      </c>
      <c r="K101">
        <v>2569711</v>
      </c>
      <c r="L101">
        <v>1192691</v>
      </c>
      <c r="M101">
        <v>438</v>
      </c>
      <c r="N101" t="s">
        <v>329</v>
      </c>
    </row>
    <row r="102" spans="1:14" x14ac:dyDescent="0.25">
      <c r="A102">
        <v>8570515</v>
      </c>
      <c r="B102" t="s">
        <v>330</v>
      </c>
      <c r="C102" t="s">
        <v>94</v>
      </c>
      <c r="D102" t="s">
        <v>86</v>
      </c>
      <c r="E102" t="s">
        <v>87</v>
      </c>
      <c r="F102" t="s">
        <v>282</v>
      </c>
      <c r="G102">
        <v>5451</v>
      </c>
      <c r="H102" t="s">
        <v>282</v>
      </c>
      <c r="I102" t="s">
        <v>96</v>
      </c>
      <c r="K102">
        <v>2568101</v>
      </c>
      <c r="L102">
        <v>1192865</v>
      </c>
      <c r="M102">
        <v>435</v>
      </c>
      <c r="N102" t="s">
        <v>331</v>
      </c>
    </row>
    <row r="103" spans="1:14" x14ac:dyDescent="0.25">
      <c r="A103">
        <v>8583521</v>
      </c>
      <c r="B103" t="s">
        <v>332</v>
      </c>
      <c r="C103" t="s">
        <v>94</v>
      </c>
      <c r="D103" t="s">
        <v>86</v>
      </c>
      <c r="E103" t="s">
        <v>87</v>
      </c>
      <c r="F103" t="s">
        <v>282</v>
      </c>
      <c r="G103">
        <v>5451</v>
      </c>
      <c r="H103" t="s">
        <v>294</v>
      </c>
      <c r="I103" t="s">
        <v>96</v>
      </c>
      <c r="K103">
        <v>2569516</v>
      </c>
      <c r="L103">
        <v>1189199</v>
      </c>
      <c r="M103">
        <v>550</v>
      </c>
      <c r="N103" t="s">
        <v>333</v>
      </c>
    </row>
    <row r="104" spans="1:14" x14ac:dyDescent="0.25">
      <c r="A104">
        <v>8596073</v>
      </c>
      <c r="B104" t="s">
        <v>334</v>
      </c>
      <c r="C104" t="s">
        <v>297</v>
      </c>
      <c r="D104" t="s">
        <v>86</v>
      </c>
      <c r="E104" t="s">
        <v>87</v>
      </c>
      <c r="F104" t="s">
        <v>282</v>
      </c>
      <c r="G104">
        <v>5451</v>
      </c>
      <c r="H104" t="s">
        <v>324</v>
      </c>
      <c r="I104" t="s">
        <v>298</v>
      </c>
      <c r="J104" t="s">
        <v>335</v>
      </c>
      <c r="K104">
        <v>2571028.0629500002</v>
      </c>
      <c r="L104">
        <v>1191856.9484900001</v>
      </c>
      <c r="M104">
        <v>506.1</v>
      </c>
      <c r="N104" t="s">
        <v>336</v>
      </c>
    </row>
    <row r="105" spans="1:14" x14ac:dyDescent="0.25">
      <c r="A105">
        <v>8579907</v>
      </c>
      <c r="B105" t="s">
        <v>337</v>
      </c>
      <c r="C105" t="s">
        <v>338</v>
      </c>
      <c r="D105" t="s">
        <v>86</v>
      </c>
      <c r="E105" t="s">
        <v>87</v>
      </c>
      <c r="F105" t="s">
        <v>339</v>
      </c>
      <c r="G105">
        <v>5744</v>
      </c>
      <c r="H105" t="s">
        <v>339</v>
      </c>
      <c r="I105" t="s">
        <v>340</v>
      </c>
      <c r="K105">
        <v>2521428.8819200001</v>
      </c>
      <c r="L105">
        <v>1175837.1612499999</v>
      </c>
      <c r="M105">
        <v>870</v>
      </c>
      <c r="N105" t="s">
        <v>341</v>
      </c>
    </row>
    <row r="106" spans="1:14" x14ac:dyDescent="0.25">
      <c r="A106">
        <v>8579095</v>
      </c>
      <c r="B106" t="s">
        <v>342</v>
      </c>
      <c r="C106" t="s">
        <v>338</v>
      </c>
      <c r="D106" t="s">
        <v>86</v>
      </c>
      <c r="E106" t="s">
        <v>87</v>
      </c>
      <c r="F106" t="s">
        <v>339</v>
      </c>
      <c r="G106">
        <v>5744</v>
      </c>
      <c r="H106" t="s">
        <v>339</v>
      </c>
      <c r="I106" t="s">
        <v>340</v>
      </c>
      <c r="K106">
        <v>2521664</v>
      </c>
      <c r="L106">
        <v>1175838.0009999999</v>
      </c>
      <c r="M106">
        <v>865</v>
      </c>
      <c r="N106" t="s">
        <v>343</v>
      </c>
    </row>
    <row r="107" spans="1:14" x14ac:dyDescent="0.25">
      <c r="A107">
        <v>8579096</v>
      </c>
      <c r="B107" t="s">
        <v>344</v>
      </c>
      <c r="C107" t="s">
        <v>338</v>
      </c>
      <c r="D107" t="s">
        <v>86</v>
      </c>
      <c r="E107" t="s">
        <v>87</v>
      </c>
      <c r="F107" t="s">
        <v>339</v>
      </c>
      <c r="G107">
        <v>5744</v>
      </c>
      <c r="H107" t="s">
        <v>339</v>
      </c>
      <c r="I107" t="s">
        <v>340</v>
      </c>
      <c r="K107">
        <v>2522804.8396899998</v>
      </c>
      <c r="L107">
        <v>1176242.9953300001</v>
      </c>
      <c r="M107">
        <v>830</v>
      </c>
      <c r="N107" t="s">
        <v>345</v>
      </c>
    </row>
    <row r="108" spans="1:14" x14ac:dyDescent="0.25">
      <c r="A108">
        <v>8579094</v>
      </c>
      <c r="B108" t="s">
        <v>346</v>
      </c>
      <c r="C108" t="s">
        <v>338</v>
      </c>
      <c r="D108" t="s">
        <v>86</v>
      </c>
      <c r="E108" t="s">
        <v>87</v>
      </c>
      <c r="F108" t="s">
        <v>339</v>
      </c>
      <c r="G108">
        <v>5744</v>
      </c>
      <c r="H108" t="s">
        <v>339</v>
      </c>
      <c r="I108" t="s">
        <v>340</v>
      </c>
      <c r="K108">
        <v>2521167</v>
      </c>
      <c r="L108">
        <v>1175799.0009999999</v>
      </c>
      <c r="M108">
        <v>869</v>
      </c>
      <c r="N108" t="s">
        <v>347</v>
      </c>
    </row>
    <row r="109" spans="1:14" x14ac:dyDescent="0.25">
      <c r="A109">
        <v>8579908</v>
      </c>
      <c r="B109" t="s">
        <v>348</v>
      </c>
      <c r="C109" t="s">
        <v>338</v>
      </c>
      <c r="D109" t="s">
        <v>86</v>
      </c>
      <c r="E109" t="s">
        <v>87</v>
      </c>
      <c r="F109" t="s">
        <v>339</v>
      </c>
      <c r="G109">
        <v>5744</v>
      </c>
      <c r="H109" t="s">
        <v>339</v>
      </c>
      <c r="I109" t="s">
        <v>340</v>
      </c>
      <c r="K109">
        <v>2521769</v>
      </c>
      <c r="L109">
        <v>1175971.0009999999</v>
      </c>
      <c r="M109">
        <v>880</v>
      </c>
      <c r="N109" t="s">
        <v>349</v>
      </c>
    </row>
    <row r="110" spans="1:14" x14ac:dyDescent="0.25">
      <c r="A110">
        <v>8579906</v>
      </c>
      <c r="B110" t="s">
        <v>350</v>
      </c>
      <c r="C110" t="s">
        <v>338</v>
      </c>
      <c r="D110" t="s">
        <v>86</v>
      </c>
      <c r="E110" t="s">
        <v>87</v>
      </c>
      <c r="F110" t="s">
        <v>339</v>
      </c>
      <c r="G110">
        <v>5744</v>
      </c>
      <c r="H110" t="s">
        <v>339</v>
      </c>
      <c r="I110" t="s">
        <v>340</v>
      </c>
      <c r="K110">
        <v>2521979.3016599999</v>
      </c>
      <c r="L110">
        <v>1175863.50716</v>
      </c>
      <c r="M110">
        <v>863</v>
      </c>
      <c r="N110" t="s">
        <v>351</v>
      </c>
    </row>
    <row r="111" spans="1:14" x14ac:dyDescent="0.25">
      <c r="A111">
        <v>8501095</v>
      </c>
      <c r="B111" t="s">
        <v>352</v>
      </c>
      <c r="C111" t="s">
        <v>353</v>
      </c>
      <c r="D111" t="s">
        <v>112</v>
      </c>
      <c r="E111" t="s">
        <v>87</v>
      </c>
      <c r="F111" t="s">
        <v>352</v>
      </c>
      <c r="G111">
        <v>5423</v>
      </c>
      <c r="H111" t="s">
        <v>352</v>
      </c>
      <c r="I111" t="s">
        <v>354</v>
      </c>
      <c r="K111">
        <v>2518389.0350000001</v>
      </c>
      <c r="L111">
        <v>1156218.6159999999</v>
      </c>
      <c r="M111">
        <v>710.3</v>
      </c>
      <c r="N111" t="s">
        <v>355</v>
      </c>
    </row>
    <row r="112" spans="1:14" x14ac:dyDescent="0.25">
      <c r="A112">
        <v>8510991</v>
      </c>
      <c r="B112" t="s">
        <v>356</v>
      </c>
      <c r="C112" t="s">
        <v>85</v>
      </c>
      <c r="D112" t="s">
        <v>86</v>
      </c>
      <c r="E112" t="s">
        <v>87</v>
      </c>
      <c r="F112" t="s">
        <v>352</v>
      </c>
      <c r="G112">
        <v>5423</v>
      </c>
      <c r="H112" t="s">
        <v>352</v>
      </c>
      <c r="I112" t="s">
        <v>89</v>
      </c>
      <c r="K112">
        <v>2519293.4808999998</v>
      </c>
      <c r="L112">
        <v>1156236.4173699999</v>
      </c>
      <c r="M112">
        <v>686</v>
      </c>
      <c r="N112" t="s">
        <v>357</v>
      </c>
    </row>
    <row r="113" spans="1:14" x14ac:dyDescent="0.25">
      <c r="A113">
        <v>8510990</v>
      </c>
      <c r="B113" t="s">
        <v>358</v>
      </c>
      <c r="C113" t="s">
        <v>85</v>
      </c>
      <c r="D113" t="s">
        <v>86</v>
      </c>
      <c r="E113" t="s">
        <v>87</v>
      </c>
      <c r="F113" t="s">
        <v>352</v>
      </c>
      <c r="G113">
        <v>5423</v>
      </c>
      <c r="H113" t="s">
        <v>352</v>
      </c>
      <c r="I113" t="s">
        <v>89</v>
      </c>
      <c r="K113">
        <v>2518482.5688999998</v>
      </c>
      <c r="L113">
        <v>1156441.7289799999</v>
      </c>
      <c r="M113">
        <v>706</v>
      </c>
      <c r="N113" t="s">
        <v>359</v>
      </c>
    </row>
    <row r="114" spans="1:14" x14ac:dyDescent="0.25">
      <c r="A114">
        <v>8501085</v>
      </c>
      <c r="B114" t="s">
        <v>360</v>
      </c>
      <c r="C114" t="s">
        <v>353</v>
      </c>
      <c r="D114" t="s">
        <v>112</v>
      </c>
      <c r="E114" t="s">
        <v>87</v>
      </c>
      <c r="F114" t="s">
        <v>352</v>
      </c>
      <c r="G114">
        <v>5423</v>
      </c>
      <c r="H114" t="s">
        <v>352</v>
      </c>
      <c r="I114" t="s">
        <v>354</v>
      </c>
      <c r="K114">
        <v>2519594.4810000001</v>
      </c>
      <c r="L114">
        <v>1155913.3030000001</v>
      </c>
      <c r="M114">
        <v>680</v>
      </c>
      <c r="N114" t="s">
        <v>361</v>
      </c>
    </row>
    <row r="115" spans="1:14" x14ac:dyDescent="0.25">
      <c r="A115">
        <v>8582137</v>
      </c>
      <c r="B115" t="s">
        <v>362</v>
      </c>
      <c r="C115" t="s">
        <v>94</v>
      </c>
      <c r="D115" t="s">
        <v>86</v>
      </c>
      <c r="E115" t="s">
        <v>87</v>
      </c>
      <c r="F115" t="s">
        <v>234</v>
      </c>
      <c r="G115">
        <v>5703</v>
      </c>
      <c r="H115" t="s">
        <v>234</v>
      </c>
      <c r="I115" t="s">
        <v>96</v>
      </c>
      <c r="K115">
        <v>2507383</v>
      </c>
      <c r="L115">
        <v>1146894</v>
      </c>
      <c r="M115">
        <v>768</v>
      </c>
      <c r="N115" t="s">
        <v>363</v>
      </c>
    </row>
    <row r="116" spans="1:14" x14ac:dyDescent="0.25">
      <c r="A116">
        <v>8570015</v>
      </c>
      <c r="B116" t="s">
        <v>364</v>
      </c>
      <c r="C116" t="s">
        <v>94</v>
      </c>
      <c r="D116" t="s">
        <v>86</v>
      </c>
      <c r="E116" t="s">
        <v>87</v>
      </c>
      <c r="F116" t="s">
        <v>234</v>
      </c>
      <c r="G116">
        <v>5703</v>
      </c>
      <c r="H116" t="s">
        <v>234</v>
      </c>
      <c r="I116" t="s">
        <v>96</v>
      </c>
      <c r="K116">
        <v>2507341</v>
      </c>
      <c r="L116">
        <v>1144605</v>
      </c>
      <c r="M116">
        <v>559</v>
      </c>
      <c r="N116" t="s">
        <v>365</v>
      </c>
    </row>
    <row r="117" spans="1:14" x14ac:dyDescent="0.25">
      <c r="A117">
        <v>8501850</v>
      </c>
      <c r="B117" t="s">
        <v>366</v>
      </c>
      <c r="C117" t="s">
        <v>94</v>
      </c>
      <c r="D117" t="s">
        <v>86</v>
      </c>
      <c r="E117" t="s">
        <v>87</v>
      </c>
      <c r="F117" t="s">
        <v>234</v>
      </c>
      <c r="G117">
        <v>5703</v>
      </c>
      <c r="H117" t="s">
        <v>234</v>
      </c>
      <c r="I117" t="s">
        <v>96</v>
      </c>
      <c r="K117">
        <v>2507311</v>
      </c>
      <c r="L117">
        <v>1146471</v>
      </c>
      <c r="M117">
        <v>746</v>
      </c>
      <c r="N117" t="s">
        <v>367</v>
      </c>
    </row>
    <row r="118" spans="1:14" x14ac:dyDescent="0.25">
      <c r="A118">
        <v>8579110</v>
      </c>
      <c r="B118" t="s">
        <v>368</v>
      </c>
      <c r="C118" t="s">
        <v>338</v>
      </c>
      <c r="D118" t="s">
        <v>86</v>
      </c>
      <c r="E118" t="s">
        <v>87</v>
      </c>
      <c r="F118" t="s">
        <v>369</v>
      </c>
      <c r="G118">
        <v>5745</v>
      </c>
      <c r="H118" t="s">
        <v>369</v>
      </c>
      <c r="I118" t="s">
        <v>340</v>
      </c>
      <c r="K118">
        <v>2530166.0907700001</v>
      </c>
      <c r="L118">
        <v>1182364.7474100001</v>
      </c>
      <c r="M118">
        <v>631</v>
      </c>
      <c r="N118" t="s">
        <v>370</v>
      </c>
    </row>
    <row r="119" spans="1:14" x14ac:dyDescent="0.25">
      <c r="A119">
        <v>8504296</v>
      </c>
      <c r="B119" t="s">
        <v>371</v>
      </c>
      <c r="C119" t="s">
        <v>338</v>
      </c>
      <c r="D119" t="s">
        <v>112</v>
      </c>
      <c r="E119" t="s">
        <v>87</v>
      </c>
      <c r="F119" t="s">
        <v>369</v>
      </c>
      <c r="G119">
        <v>5745</v>
      </c>
      <c r="H119" t="s">
        <v>369</v>
      </c>
      <c r="I119" t="s">
        <v>372</v>
      </c>
      <c r="K119">
        <v>2528217.7436000002</v>
      </c>
      <c r="L119">
        <v>1180769.9061</v>
      </c>
      <c r="M119">
        <v>705.1</v>
      </c>
      <c r="N119" t="s">
        <v>373</v>
      </c>
    </row>
    <row r="120" spans="1:14" x14ac:dyDescent="0.25">
      <c r="A120">
        <v>8584515</v>
      </c>
      <c r="B120" t="s">
        <v>374</v>
      </c>
      <c r="C120" t="s">
        <v>338</v>
      </c>
      <c r="D120" t="s">
        <v>86</v>
      </c>
      <c r="E120" t="s">
        <v>87</v>
      </c>
      <c r="F120" t="s">
        <v>369</v>
      </c>
      <c r="G120">
        <v>5745</v>
      </c>
      <c r="H120" t="s">
        <v>369</v>
      </c>
      <c r="I120" t="s">
        <v>340</v>
      </c>
      <c r="K120">
        <v>2528777</v>
      </c>
      <c r="L120">
        <v>1180417</v>
      </c>
      <c r="M120">
        <v>630</v>
      </c>
      <c r="N120" t="s">
        <v>375</v>
      </c>
    </row>
    <row r="121" spans="1:14" x14ac:dyDescent="0.25">
      <c r="A121">
        <v>8579109</v>
      </c>
      <c r="B121" t="s">
        <v>376</v>
      </c>
      <c r="C121" t="s">
        <v>338</v>
      </c>
      <c r="D121" t="s">
        <v>86</v>
      </c>
      <c r="E121" t="s">
        <v>87</v>
      </c>
      <c r="F121" t="s">
        <v>369</v>
      </c>
      <c r="G121">
        <v>5745</v>
      </c>
      <c r="H121" t="s">
        <v>369</v>
      </c>
      <c r="I121" t="s">
        <v>340</v>
      </c>
      <c r="K121">
        <v>2530035</v>
      </c>
      <c r="L121">
        <v>1182479.0009999999</v>
      </c>
      <c r="M121">
        <v>645</v>
      </c>
      <c r="N121" t="s">
        <v>377</v>
      </c>
    </row>
    <row r="122" spans="1:14" x14ac:dyDescent="0.25">
      <c r="A122">
        <v>8504297</v>
      </c>
      <c r="B122" t="s">
        <v>378</v>
      </c>
      <c r="C122" t="s">
        <v>338</v>
      </c>
      <c r="E122" t="s">
        <v>87</v>
      </c>
      <c r="F122" t="s">
        <v>369</v>
      </c>
      <c r="G122">
        <v>5745</v>
      </c>
      <c r="H122" t="s">
        <v>369</v>
      </c>
      <c r="I122" t="s">
        <v>372</v>
      </c>
      <c r="K122">
        <v>2530841.9989</v>
      </c>
      <c r="L122">
        <v>1183706.3228</v>
      </c>
      <c r="M122">
        <v>906.5</v>
      </c>
      <c r="N122" t="s">
        <v>379</v>
      </c>
    </row>
    <row r="123" spans="1:14" x14ac:dyDescent="0.25">
      <c r="A123">
        <v>8504295</v>
      </c>
      <c r="B123" t="s">
        <v>369</v>
      </c>
      <c r="C123" t="s">
        <v>338</v>
      </c>
      <c r="D123" t="s">
        <v>112</v>
      </c>
      <c r="E123" t="s">
        <v>87</v>
      </c>
      <c r="F123" t="s">
        <v>369</v>
      </c>
      <c r="G123">
        <v>5745</v>
      </c>
      <c r="H123" t="s">
        <v>369</v>
      </c>
      <c r="I123" t="s">
        <v>372</v>
      </c>
      <c r="K123">
        <v>2530185.0696</v>
      </c>
      <c r="L123">
        <v>1182361.3746</v>
      </c>
      <c r="M123">
        <v>631.20000000000005</v>
      </c>
      <c r="N123" t="s">
        <v>380</v>
      </c>
    </row>
    <row r="124" spans="1:14" x14ac:dyDescent="0.25">
      <c r="A124">
        <v>8511343</v>
      </c>
      <c r="B124" t="s">
        <v>381</v>
      </c>
      <c r="C124" t="s">
        <v>382</v>
      </c>
      <c r="D124" t="s">
        <v>86</v>
      </c>
      <c r="E124" t="s">
        <v>87</v>
      </c>
      <c r="F124" t="s">
        <v>383</v>
      </c>
      <c r="G124">
        <v>5746</v>
      </c>
      <c r="H124" t="s">
        <v>383</v>
      </c>
      <c r="I124" t="s">
        <v>384</v>
      </c>
      <c r="K124">
        <v>2532903.5079899998</v>
      </c>
      <c r="L124">
        <v>1171010.6561499999</v>
      </c>
      <c r="M124">
        <v>442</v>
      </c>
      <c r="N124" t="s">
        <v>385</v>
      </c>
    </row>
    <row r="125" spans="1:14" x14ac:dyDescent="0.25">
      <c r="A125">
        <v>8501113</v>
      </c>
      <c r="B125" t="s">
        <v>383</v>
      </c>
      <c r="C125" t="s">
        <v>132</v>
      </c>
      <c r="D125" t="s">
        <v>112</v>
      </c>
      <c r="E125" t="s">
        <v>87</v>
      </c>
      <c r="F125" t="s">
        <v>383</v>
      </c>
      <c r="G125">
        <v>5746</v>
      </c>
      <c r="H125" t="s">
        <v>383</v>
      </c>
      <c r="I125" t="s">
        <v>133</v>
      </c>
      <c r="K125">
        <v>2532735.2719999999</v>
      </c>
      <c r="L125">
        <v>1171095.8840000001</v>
      </c>
      <c r="M125">
        <v>441.6</v>
      </c>
      <c r="N125" t="s">
        <v>386</v>
      </c>
    </row>
    <row r="126" spans="1:14" x14ac:dyDescent="0.25">
      <c r="A126">
        <v>8581113</v>
      </c>
      <c r="B126" t="s">
        <v>387</v>
      </c>
      <c r="C126" t="s">
        <v>94</v>
      </c>
      <c r="D126" t="s">
        <v>86</v>
      </c>
      <c r="E126" t="s">
        <v>87</v>
      </c>
      <c r="F126" t="s">
        <v>388</v>
      </c>
      <c r="G126">
        <v>5704</v>
      </c>
      <c r="H126" t="s">
        <v>388</v>
      </c>
      <c r="I126" t="s">
        <v>96</v>
      </c>
      <c r="K126">
        <v>2508971</v>
      </c>
      <c r="L126">
        <v>1145333</v>
      </c>
      <c r="M126">
        <v>682</v>
      </c>
      <c r="N126" t="s">
        <v>389</v>
      </c>
    </row>
    <row r="127" spans="1:14" x14ac:dyDescent="0.25">
      <c r="A127">
        <v>8570026</v>
      </c>
      <c r="B127" t="s">
        <v>390</v>
      </c>
      <c r="C127" t="s">
        <v>94</v>
      </c>
      <c r="D127" t="s">
        <v>86</v>
      </c>
      <c r="E127" t="s">
        <v>87</v>
      </c>
      <c r="F127" t="s">
        <v>388</v>
      </c>
      <c r="G127">
        <v>5704</v>
      </c>
      <c r="H127" t="s">
        <v>388</v>
      </c>
      <c r="I127" t="s">
        <v>96</v>
      </c>
      <c r="K127">
        <v>2508304</v>
      </c>
      <c r="L127">
        <v>1144403</v>
      </c>
      <c r="M127">
        <v>597</v>
      </c>
      <c r="N127" t="s">
        <v>391</v>
      </c>
    </row>
    <row r="128" spans="1:14" x14ac:dyDescent="0.25">
      <c r="A128">
        <v>8570025</v>
      </c>
      <c r="B128" t="s">
        <v>392</v>
      </c>
      <c r="C128" t="s">
        <v>94</v>
      </c>
      <c r="D128" t="s">
        <v>86</v>
      </c>
      <c r="E128" t="s">
        <v>87</v>
      </c>
      <c r="F128" t="s">
        <v>388</v>
      </c>
      <c r="G128">
        <v>5704</v>
      </c>
      <c r="H128" t="s">
        <v>388</v>
      </c>
      <c r="I128" t="s">
        <v>96</v>
      </c>
      <c r="K128">
        <v>2508373</v>
      </c>
      <c r="L128">
        <v>1144207</v>
      </c>
      <c r="M128">
        <v>571</v>
      </c>
      <c r="N128" t="s">
        <v>393</v>
      </c>
    </row>
    <row r="129" spans="1:14" x14ac:dyDescent="0.25">
      <c r="A129">
        <v>8570027</v>
      </c>
      <c r="B129" t="s">
        <v>394</v>
      </c>
      <c r="C129" t="s">
        <v>94</v>
      </c>
      <c r="D129" t="s">
        <v>86</v>
      </c>
      <c r="E129" t="s">
        <v>87</v>
      </c>
      <c r="F129" t="s">
        <v>388</v>
      </c>
      <c r="G129">
        <v>5704</v>
      </c>
      <c r="H129" t="s">
        <v>388</v>
      </c>
      <c r="I129" t="s">
        <v>96</v>
      </c>
      <c r="K129">
        <v>2508428</v>
      </c>
      <c r="L129">
        <v>1144853</v>
      </c>
      <c r="M129">
        <v>650</v>
      </c>
      <c r="N129" t="s">
        <v>395</v>
      </c>
    </row>
    <row r="130" spans="1:14" x14ac:dyDescent="0.25">
      <c r="A130">
        <v>8570014</v>
      </c>
      <c r="B130" t="s">
        <v>396</v>
      </c>
      <c r="C130" t="s">
        <v>94</v>
      </c>
      <c r="D130" t="s">
        <v>86</v>
      </c>
      <c r="E130" t="s">
        <v>87</v>
      </c>
      <c r="F130" t="s">
        <v>388</v>
      </c>
      <c r="G130">
        <v>5704</v>
      </c>
      <c r="H130" t="s">
        <v>388</v>
      </c>
      <c r="I130" t="s">
        <v>96</v>
      </c>
      <c r="K130">
        <v>2507825</v>
      </c>
      <c r="L130">
        <v>1144286</v>
      </c>
      <c r="M130">
        <v>522</v>
      </c>
      <c r="N130" t="s">
        <v>397</v>
      </c>
    </row>
    <row r="131" spans="1:14" x14ac:dyDescent="0.25">
      <c r="A131">
        <v>8501851</v>
      </c>
      <c r="B131" t="s">
        <v>398</v>
      </c>
      <c r="C131" t="s">
        <v>94</v>
      </c>
      <c r="D131" t="s">
        <v>86</v>
      </c>
      <c r="E131" t="s">
        <v>87</v>
      </c>
      <c r="F131" t="s">
        <v>388</v>
      </c>
      <c r="G131">
        <v>5704</v>
      </c>
      <c r="H131" t="s">
        <v>388</v>
      </c>
      <c r="I131" t="s">
        <v>96</v>
      </c>
      <c r="K131">
        <v>2508480</v>
      </c>
      <c r="L131">
        <v>1143905</v>
      </c>
      <c r="M131">
        <v>538</v>
      </c>
      <c r="N131" t="s">
        <v>399</v>
      </c>
    </row>
    <row r="132" spans="1:14" x14ac:dyDescent="0.25">
      <c r="A132">
        <v>8570028</v>
      </c>
      <c r="B132" t="s">
        <v>400</v>
      </c>
      <c r="C132" t="s">
        <v>94</v>
      </c>
      <c r="D132" t="s">
        <v>86</v>
      </c>
      <c r="E132" t="s">
        <v>87</v>
      </c>
      <c r="F132" t="s">
        <v>388</v>
      </c>
      <c r="G132">
        <v>5704</v>
      </c>
      <c r="H132" t="s">
        <v>388</v>
      </c>
      <c r="I132" t="s">
        <v>96</v>
      </c>
      <c r="K132">
        <v>2509223</v>
      </c>
      <c r="L132">
        <v>1145873</v>
      </c>
      <c r="M132">
        <v>707</v>
      </c>
      <c r="N132" t="s">
        <v>401</v>
      </c>
    </row>
    <row r="133" spans="1:14" x14ac:dyDescent="0.25">
      <c r="A133">
        <v>8570013</v>
      </c>
      <c r="B133" t="s">
        <v>402</v>
      </c>
      <c r="C133" t="s">
        <v>94</v>
      </c>
      <c r="D133" t="s">
        <v>86</v>
      </c>
      <c r="E133" t="s">
        <v>87</v>
      </c>
      <c r="F133" t="s">
        <v>388</v>
      </c>
      <c r="G133">
        <v>5704</v>
      </c>
      <c r="H133" t="s">
        <v>388</v>
      </c>
      <c r="I133" t="s">
        <v>96</v>
      </c>
      <c r="K133">
        <v>2508629</v>
      </c>
      <c r="L133">
        <v>1143591</v>
      </c>
      <c r="M133">
        <v>507</v>
      </c>
      <c r="N133" t="s">
        <v>403</v>
      </c>
    </row>
    <row r="134" spans="1:14" x14ac:dyDescent="0.25">
      <c r="A134">
        <v>8593801</v>
      </c>
      <c r="B134" t="s">
        <v>404</v>
      </c>
      <c r="C134" t="s">
        <v>242</v>
      </c>
      <c r="D134" t="s">
        <v>86</v>
      </c>
      <c r="E134" t="s">
        <v>87</v>
      </c>
      <c r="F134" t="s">
        <v>32</v>
      </c>
      <c r="G134">
        <v>5581</v>
      </c>
      <c r="H134" t="s">
        <v>32</v>
      </c>
      <c r="I134" t="s">
        <v>243</v>
      </c>
      <c r="J134" t="s">
        <v>405</v>
      </c>
      <c r="K134">
        <v>2541690</v>
      </c>
      <c r="L134">
        <v>1151962</v>
      </c>
      <c r="M134">
        <v>545</v>
      </c>
      <c r="N134" t="s">
        <v>406</v>
      </c>
    </row>
    <row r="135" spans="1:14" x14ac:dyDescent="0.25">
      <c r="A135">
        <v>8593795</v>
      </c>
      <c r="B135" t="s">
        <v>407</v>
      </c>
      <c r="C135" t="s">
        <v>242</v>
      </c>
      <c r="D135" t="s">
        <v>86</v>
      </c>
      <c r="E135" t="s">
        <v>87</v>
      </c>
      <c r="F135" t="s">
        <v>32</v>
      </c>
      <c r="G135">
        <v>5581</v>
      </c>
      <c r="H135" t="s">
        <v>32</v>
      </c>
      <c r="I135" t="s">
        <v>243</v>
      </c>
      <c r="K135">
        <v>2541288</v>
      </c>
      <c r="L135">
        <v>1151711</v>
      </c>
      <c r="M135">
        <v>447</v>
      </c>
      <c r="N135" t="s">
        <v>408</v>
      </c>
    </row>
    <row r="136" spans="1:14" x14ac:dyDescent="0.25">
      <c r="A136">
        <v>8593805</v>
      </c>
      <c r="B136" t="s">
        <v>409</v>
      </c>
      <c r="C136" t="s">
        <v>242</v>
      </c>
      <c r="D136" t="s">
        <v>86</v>
      </c>
      <c r="E136" t="s">
        <v>87</v>
      </c>
      <c r="F136" t="s">
        <v>32</v>
      </c>
      <c r="G136">
        <v>5581</v>
      </c>
      <c r="H136" t="s">
        <v>32</v>
      </c>
      <c r="I136" t="s">
        <v>243</v>
      </c>
      <c r="J136" t="s">
        <v>405</v>
      </c>
      <c r="K136">
        <v>2541558</v>
      </c>
      <c r="L136">
        <v>1151825</v>
      </c>
      <c r="M136">
        <v>509</v>
      </c>
      <c r="N136" t="s">
        <v>410</v>
      </c>
    </row>
    <row r="137" spans="1:14" x14ac:dyDescent="0.25">
      <c r="A137">
        <v>8593794</v>
      </c>
      <c r="B137" t="s">
        <v>411</v>
      </c>
      <c r="C137" t="s">
        <v>242</v>
      </c>
      <c r="D137" t="s">
        <v>86</v>
      </c>
      <c r="E137" t="s">
        <v>87</v>
      </c>
      <c r="F137" t="s">
        <v>32</v>
      </c>
      <c r="G137">
        <v>5581</v>
      </c>
      <c r="H137" t="s">
        <v>32</v>
      </c>
      <c r="I137" t="s">
        <v>243</v>
      </c>
      <c r="J137" t="s">
        <v>405</v>
      </c>
      <c r="K137">
        <v>2542427</v>
      </c>
      <c r="L137">
        <v>1153066</v>
      </c>
      <c r="M137">
        <v>766</v>
      </c>
      <c r="N137" t="s">
        <v>412</v>
      </c>
    </row>
    <row r="138" spans="1:14" x14ac:dyDescent="0.25">
      <c r="A138">
        <v>8593793</v>
      </c>
      <c r="B138" t="s">
        <v>413</v>
      </c>
      <c r="C138" t="s">
        <v>242</v>
      </c>
      <c r="D138" t="s">
        <v>86</v>
      </c>
      <c r="E138" t="s">
        <v>87</v>
      </c>
      <c r="F138" t="s">
        <v>32</v>
      </c>
      <c r="G138">
        <v>5581</v>
      </c>
      <c r="H138" t="s">
        <v>32</v>
      </c>
      <c r="I138" t="s">
        <v>243</v>
      </c>
      <c r="J138" t="s">
        <v>405</v>
      </c>
      <c r="K138">
        <v>2542449</v>
      </c>
      <c r="L138">
        <v>1152851</v>
      </c>
      <c r="M138">
        <v>723</v>
      </c>
      <c r="N138" t="s">
        <v>414</v>
      </c>
    </row>
    <row r="139" spans="1:14" x14ac:dyDescent="0.25">
      <c r="A139">
        <v>8593803</v>
      </c>
      <c r="B139" t="s">
        <v>415</v>
      </c>
      <c r="C139" t="s">
        <v>242</v>
      </c>
      <c r="D139" t="s">
        <v>86</v>
      </c>
      <c r="E139" t="s">
        <v>87</v>
      </c>
      <c r="F139" t="s">
        <v>32</v>
      </c>
      <c r="G139">
        <v>5581</v>
      </c>
      <c r="H139" t="s">
        <v>32</v>
      </c>
      <c r="I139" t="s">
        <v>243</v>
      </c>
      <c r="J139" t="s">
        <v>405</v>
      </c>
      <c r="K139">
        <v>2542649</v>
      </c>
      <c r="L139">
        <v>1152890</v>
      </c>
      <c r="M139">
        <v>754</v>
      </c>
      <c r="N139" t="s">
        <v>416</v>
      </c>
    </row>
    <row r="140" spans="1:14" x14ac:dyDescent="0.25">
      <c r="A140">
        <v>8593807</v>
      </c>
      <c r="B140" t="s">
        <v>417</v>
      </c>
      <c r="C140" t="s">
        <v>242</v>
      </c>
      <c r="D140" t="s">
        <v>86</v>
      </c>
      <c r="E140" t="s">
        <v>87</v>
      </c>
      <c r="F140" t="s">
        <v>32</v>
      </c>
      <c r="G140">
        <v>5581</v>
      </c>
      <c r="H140" t="s">
        <v>32</v>
      </c>
      <c r="I140" t="s">
        <v>243</v>
      </c>
      <c r="J140" t="s">
        <v>405</v>
      </c>
      <c r="K140">
        <v>2542935</v>
      </c>
      <c r="L140">
        <v>1153741</v>
      </c>
      <c r="M140">
        <v>790</v>
      </c>
      <c r="N140" t="s">
        <v>418</v>
      </c>
    </row>
    <row r="141" spans="1:14" x14ac:dyDescent="0.25">
      <c r="A141">
        <v>8593806</v>
      </c>
      <c r="B141" t="s">
        <v>419</v>
      </c>
      <c r="C141" t="s">
        <v>242</v>
      </c>
      <c r="D141" t="s">
        <v>86</v>
      </c>
      <c r="E141" t="s">
        <v>87</v>
      </c>
      <c r="F141" t="s">
        <v>32</v>
      </c>
      <c r="G141">
        <v>5581</v>
      </c>
      <c r="H141" t="s">
        <v>32</v>
      </c>
      <c r="I141" t="s">
        <v>243</v>
      </c>
      <c r="K141">
        <v>2541386</v>
      </c>
      <c r="L141">
        <v>1152519</v>
      </c>
      <c r="M141">
        <v>560</v>
      </c>
      <c r="N141" t="s">
        <v>420</v>
      </c>
    </row>
    <row r="142" spans="1:14" x14ac:dyDescent="0.25">
      <c r="A142">
        <v>8593808</v>
      </c>
      <c r="B142" t="s">
        <v>421</v>
      </c>
      <c r="C142" t="s">
        <v>242</v>
      </c>
      <c r="D142" t="s">
        <v>86</v>
      </c>
      <c r="E142" t="s">
        <v>87</v>
      </c>
      <c r="F142" t="s">
        <v>32</v>
      </c>
      <c r="G142">
        <v>5581</v>
      </c>
      <c r="H142" t="s">
        <v>32</v>
      </c>
      <c r="I142" t="s">
        <v>243</v>
      </c>
      <c r="J142" t="s">
        <v>405</v>
      </c>
      <c r="K142">
        <v>2542004</v>
      </c>
      <c r="L142">
        <v>1152579</v>
      </c>
      <c r="M142">
        <v>679</v>
      </c>
      <c r="N142" t="s">
        <v>422</v>
      </c>
    </row>
    <row r="143" spans="1:14" x14ac:dyDescent="0.25">
      <c r="A143">
        <v>8512167</v>
      </c>
      <c r="B143" t="s">
        <v>423</v>
      </c>
      <c r="C143" t="s">
        <v>242</v>
      </c>
      <c r="D143" t="s">
        <v>86</v>
      </c>
      <c r="E143" t="s">
        <v>87</v>
      </c>
      <c r="F143" t="s">
        <v>32</v>
      </c>
      <c r="G143">
        <v>5581</v>
      </c>
      <c r="H143" t="s">
        <v>32</v>
      </c>
      <c r="I143" t="s">
        <v>243</v>
      </c>
      <c r="K143">
        <v>2541787.6623499999</v>
      </c>
      <c r="L143">
        <v>1152343.19939</v>
      </c>
      <c r="M143">
        <v>635.9</v>
      </c>
      <c r="N143" t="s">
        <v>424</v>
      </c>
    </row>
    <row r="144" spans="1:14" x14ac:dyDescent="0.25">
      <c r="A144">
        <v>8593790</v>
      </c>
      <c r="B144" t="s">
        <v>425</v>
      </c>
      <c r="C144" t="s">
        <v>242</v>
      </c>
      <c r="D144" t="s">
        <v>86</v>
      </c>
      <c r="E144" t="s">
        <v>87</v>
      </c>
      <c r="F144" t="s">
        <v>32</v>
      </c>
      <c r="G144">
        <v>5581</v>
      </c>
      <c r="H144" t="s">
        <v>32</v>
      </c>
      <c r="I144" t="s">
        <v>243</v>
      </c>
      <c r="J144" t="s">
        <v>405</v>
      </c>
      <c r="K144">
        <v>2542206</v>
      </c>
      <c r="L144">
        <v>1152652</v>
      </c>
      <c r="M144">
        <v>691</v>
      </c>
      <c r="N144" t="s">
        <v>426</v>
      </c>
    </row>
    <row r="145" spans="1:14" x14ac:dyDescent="0.25">
      <c r="A145">
        <v>8595190</v>
      </c>
      <c r="B145" t="s">
        <v>427</v>
      </c>
      <c r="C145" t="s">
        <v>242</v>
      </c>
      <c r="D145" t="s">
        <v>86</v>
      </c>
      <c r="E145" t="s">
        <v>87</v>
      </c>
      <c r="F145" t="s">
        <v>32</v>
      </c>
      <c r="G145">
        <v>5581</v>
      </c>
      <c r="H145" t="s">
        <v>32</v>
      </c>
      <c r="I145" t="s">
        <v>243</v>
      </c>
      <c r="K145">
        <v>2541506</v>
      </c>
      <c r="L145">
        <v>1152430</v>
      </c>
      <c r="M145">
        <v>588</v>
      </c>
      <c r="N145" t="s">
        <v>428</v>
      </c>
    </row>
    <row r="146" spans="1:14" x14ac:dyDescent="0.25">
      <c r="A146">
        <v>8593804</v>
      </c>
      <c r="B146" t="s">
        <v>429</v>
      </c>
      <c r="C146" t="s">
        <v>242</v>
      </c>
      <c r="D146" t="s">
        <v>86</v>
      </c>
      <c r="E146" t="s">
        <v>87</v>
      </c>
      <c r="F146" t="s">
        <v>32</v>
      </c>
      <c r="G146">
        <v>5581</v>
      </c>
      <c r="H146" t="s">
        <v>32</v>
      </c>
      <c r="I146" t="s">
        <v>243</v>
      </c>
      <c r="J146" t="s">
        <v>405</v>
      </c>
      <c r="K146">
        <v>2541925</v>
      </c>
      <c r="L146">
        <v>1152943</v>
      </c>
      <c r="M146">
        <v>647</v>
      </c>
      <c r="N146" t="s">
        <v>430</v>
      </c>
    </row>
    <row r="147" spans="1:14" x14ac:dyDescent="0.25">
      <c r="A147">
        <v>8593792</v>
      </c>
      <c r="B147" t="s">
        <v>431</v>
      </c>
      <c r="C147" t="s">
        <v>242</v>
      </c>
      <c r="D147" t="s">
        <v>86</v>
      </c>
      <c r="E147" t="s">
        <v>87</v>
      </c>
      <c r="F147" t="s">
        <v>32</v>
      </c>
      <c r="G147">
        <v>5581</v>
      </c>
      <c r="H147" t="s">
        <v>32</v>
      </c>
      <c r="I147" t="s">
        <v>243</v>
      </c>
      <c r="J147" t="s">
        <v>405</v>
      </c>
      <c r="K147">
        <v>2541826</v>
      </c>
      <c r="L147">
        <v>1152603</v>
      </c>
      <c r="M147">
        <v>643</v>
      </c>
      <c r="N147" t="s">
        <v>432</v>
      </c>
    </row>
    <row r="148" spans="1:14" x14ac:dyDescent="0.25">
      <c r="A148">
        <v>8593799</v>
      </c>
      <c r="B148" t="s">
        <v>433</v>
      </c>
      <c r="C148" t="s">
        <v>242</v>
      </c>
      <c r="D148" t="s">
        <v>86</v>
      </c>
      <c r="E148" t="s">
        <v>87</v>
      </c>
      <c r="F148" t="s">
        <v>32</v>
      </c>
      <c r="G148">
        <v>5581</v>
      </c>
      <c r="H148" t="s">
        <v>32</v>
      </c>
      <c r="I148" t="s">
        <v>243</v>
      </c>
      <c r="J148" t="s">
        <v>405</v>
      </c>
      <c r="K148">
        <v>2541538</v>
      </c>
      <c r="L148">
        <v>1152060</v>
      </c>
      <c r="M148">
        <v>585</v>
      </c>
      <c r="N148" t="s">
        <v>434</v>
      </c>
    </row>
    <row r="149" spans="1:14" x14ac:dyDescent="0.25">
      <c r="A149">
        <v>8593798</v>
      </c>
      <c r="B149" t="s">
        <v>435</v>
      </c>
      <c r="C149" t="s">
        <v>242</v>
      </c>
      <c r="D149" t="s">
        <v>86</v>
      </c>
      <c r="E149" t="s">
        <v>87</v>
      </c>
      <c r="F149" t="s">
        <v>32</v>
      </c>
      <c r="G149">
        <v>5581</v>
      </c>
      <c r="H149" t="s">
        <v>32</v>
      </c>
      <c r="I149" t="s">
        <v>243</v>
      </c>
      <c r="K149">
        <v>2541214</v>
      </c>
      <c r="L149">
        <v>1152498</v>
      </c>
      <c r="M149">
        <v>522</v>
      </c>
      <c r="N149" t="s">
        <v>436</v>
      </c>
    </row>
    <row r="150" spans="1:14" x14ac:dyDescent="0.25">
      <c r="A150">
        <v>8593796</v>
      </c>
      <c r="B150" t="s">
        <v>437</v>
      </c>
      <c r="C150" t="s">
        <v>242</v>
      </c>
      <c r="D150" t="s">
        <v>86</v>
      </c>
      <c r="E150" t="s">
        <v>87</v>
      </c>
      <c r="F150" t="s">
        <v>32</v>
      </c>
      <c r="G150">
        <v>5581</v>
      </c>
      <c r="H150" t="s">
        <v>32</v>
      </c>
      <c r="I150" t="s">
        <v>243</v>
      </c>
      <c r="J150" t="s">
        <v>405</v>
      </c>
      <c r="K150">
        <v>2541644</v>
      </c>
      <c r="L150">
        <v>1152701</v>
      </c>
      <c r="M150">
        <v>610</v>
      </c>
      <c r="N150" t="s">
        <v>438</v>
      </c>
    </row>
    <row r="151" spans="1:14" x14ac:dyDescent="0.25">
      <c r="A151">
        <v>8593802</v>
      </c>
      <c r="B151" t="s">
        <v>439</v>
      </c>
      <c r="C151" t="s">
        <v>242</v>
      </c>
      <c r="D151" t="s">
        <v>86</v>
      </c>
      <c r="E151" t="s">
        <v>87</v>
      </c>
      <c r="F151" t="s">
        <v>32</v>
      </c>
      <c r="G151">
        <v>5581</v>
      </c>
      <c r="H151" t="s">
        <v>32</v>
      </c>
      <c r="I151" t="s">
        <v>243</v>
      </c>
      <c r="J151" t="s">
        <v>405</v>
      </c>
      <c r="K151">
        <v>2542145</v>
      </c>
      <c r="L151">
        <v>1152420</v>
      </c>
      <c r="M151">
        <v>638</v>
      </c>
      <c r="N151" t="s">
        <v>440</v>
      </c>
    </row>
    <row r="152" spans="1:14" x14ac:dyDescent="0.25">
      <c r="A152">
        <v>8579257</v>
      </c>
      <c r="B152" t="s">
        <v>441</v>
      </c>
      <c r="C152" t="s">
        <v>242</v>
      </c>
      <c r="D152" t="s">
        <v>86</v>
      </c>
      <c r="E152" t="s">
        <v>87</v>
      </c>
      <c r="F152" t="s">
        <v>32</v>
      </c>
      <c r="G152">
        <v>5581</v>
      </c>
      <c r="H152" t="s">
        <v>32</v>
      </c>
      <c r="I152" t="s">
        <v>243</v>
      </c>
      <c r="K152">
        <v>2541665</v>
      </c>
      <c r="L152">
        <v>1152317</v>
      </c>
      <c r="M152">
        <v>616</v>
      </c>
      <c r="N152" t="s">
        <v>442</v>
      </c>
    </row>
    <row r="153" spans="1:14" x14ac:dyDescent="0.25">
      <c r="A153">
        <v>8593791</v>
      </c>
      <c r="B153" t="s">
        <v>443</v>
      </c>
      <c r="C153" t="s">
        <v>242</v>
      </c>
      <c r="D153" t="s">
        <v>86</v>
      </c>
      <c r="E153" t="s">
        <v>87</v>
      </c>
      <c r="F153" t="s">
        <v>32</v>
      </c>
      <c r="G153">
        <v>5581</v>
      </c>
      <c r="H153" t="s">
        <v>32</v>
      </c>
      <c r="I153" t="s">
        <v>243</v>
      </c>
      <c r="J153" t="s">
        <v>405</v>
      </c>
      <c r="K153">
        <v>2542147</v>
      </c>
      <c r="L153">
        <v>1153256</v>
      </c>
      <c r="M153">
        <v>684</v>
      </c>
      <c r="N153" t="s">
        <v>444</v>
      </c>
    </row>
    <row r="154" spans="1:14" x14ac:dyDescent="0.25">
      <c r="A154">
        <v>8579258</v>
      </c>
      <c r="B154" t="s">
        <v>445</v>
      </c>
      <c r="C154" t="s">
        <v>242</v>
      </c>
      <c r="D154" t="s">
        <v>86</v>
      </c>
      <c r="E154" t="s">
        <v>87</v>
      </c>
      <c r="F154" t="s">
        <v>32</v>
      </c>
      <c r="G154">
        <v>5581</v>
      </c>
      <c r="H154" t="s">
        <v>32</v>
      </c>
      <c r="I154" t="s">
        <v>243</v>
      </c>
      <c r="K154">
        <v>2542087</v>
      </c>
      <c r="L154">
        <v>1152303</v>
      </c>
      <c r="M154">
        <v>619</v>
      </c>
      <c r="N154" t="s">
        <v>446</v>
      </c>
    </row>
    <row r="155" spans="1:14" x14ac:dyDescent="0.25">
      <c r="A155">
        <v>8588436</v>
      </c>
      <c r="B155" t="s">
        <v>447</v>
      </c>
      <c r="C155" t="s">
        <v>242</v>
      </c>
      <c r="D155" t="s">
        <v>86</v>
      </c>
      <c r="E155" t="s">
        <v>87</v>
      </c>
      <c r="F155" t="s">
        <v>32</v>
      </c>
      <c r="G155">
        <v>5581</v>
      </c>
      <c r="H155" t="s">
        <v>32</v>
      </c>
      <c r="I155" t="s">
        <v>243</v>
      </c>
      <c r="K155">
        <v>2541580</v>
      </c>
      <c r="L155">
        <v>1152630</v>
      </c>
      <c r="M155">
        <v>600</v>
      </c>
      <c r="N155" t="s">
        <v>448</v>
      </c>
    </row>
    <row r="156" spans="1:14" x14ac:dyDescent="0.25">
      <c r="A156">
        <v>8593800</v>
      </c>
      <c r="B156" t="s">
        <v>449</v>
      </c>
      <c r="C156" t="s">
        <v>242</v>
      </c>
      <c r="D156" t="s">
        <v>86</v>
      </c>
      <c r="E156" t="s">
        <v>87</v>
      </c>
      <c r="F156" t="s">
        <v>32</v>
      </c>
      <c r="G156">
        <v>5581</v>
      </c>
      <c r="H156" t="s">
        <v>32</v>
      </c>
      <c r="I156" t="s">
        <v>243</v>
      </c>
      <c r="J156" t="s">
        <v>405</v>
      </c>
      <c r="K156">
        <v>2541835</v>
      </c>
      <c r="L156">
        <v>1152179</v>
      </c>
      <c r="M156">
        <v>589</v>
      </c>
      <c r="N156" t="s">
        <v>450</v>
      </c>
    </row>
    <row r="157" spans="1:14" x14ac:dyDescent="0.25">
      <c r="A157">
        <v>8593797</v>
      </c>
      <c r="B157" t="s">
        <v>451</v>
      </c>
      <c r="C157" t="s">
        <v>242</v>
      </c>
      <c r="D157" t="s">
        <v>86</v>
      </c>
      <c r="E157" t="s">
        <v>87</v>
      </c>
      <c r="F157" t="s">
        <v>32</v>
      </c>
      <c r="G157">
        <v>5581</v>
      </c>
      <c r="H157" t="s">
        <v>32</v>
      </c>
      <c r="I157" t="s">
        <v>243</v>
      </c>
      <c r="J157" t="s">
        <v>405</v>
      </c>
      <c r="K157">
        <v>2542226</v>
      </c>
      <c r="L157">
        <v>1152852</v>
      </c>
      <c r="M157">
        <v>741</v>
      </c>
      <c r="N157" t="s">
        <v>452</v>
      </c>
    </row>
    <row r="158" spans="1:14" x14ac:dyDescent="0.25">
      <c r="A158">
        <v>8593789</v>
      </c>
      <c r="B158" t="s">
        <v>453</v>
      </c>
      <c r="C158" t="s">
        <v>242</v>
      </c>
      <c r="D158" t="s">
        <v>86</v>
      </c>
      <c r="E158" t="s">
        <v>87</v>
      </c>
      <c r="F158" t="s">
        <v>32</v>
      </c>
      <c r="G158">
        <v>5581</v>
      </c>
      <c r="H158" t="s">
        <v>32</v>
      </c>
      <c r="I158" t="s">
        <v>243</v>
      </c>
      <c r="J158" t="s">
        <v>405</v>
      </c>
      <c r="K158">
        <v>2542486</v>
      </c>
      <c r="L158">
        <v>1153462</v>
      </c>
      <c r="M158">
        <v>743</v>
      </c>
      <c r="N158" t="s">
        <v>454</v>
      </c>
    </row>
    <row r="159" spans="1:14" x14ac:dyDescent="0.25">
      <c r="A159">
        <v>8595625</v>
      </c>
      <c r="B159" t="s">
        <v>455</v>
      </c>
      <c r="C159" t="s">
        <v>242</v>
      </c>
      <c r="D159" t="s">
        <v>86</v>
      </c>
      <c r="E159" t="s">
        <v>87</v>
      </c>
      <c r="F159" t="s">
        <v>32</v>
      </c>
      <c r="G159">
        <v>5581</v>
      </c>
      <c r="H159" t="s">
        <v>32</v>
      </c>
      <c r="I159" t="s">
        <v>243</v>
      </c>
      <c r="K159">
        <v>2541568.5</v>
      </c>
      <c r="L159">
        <v>1152386.7</v>
      </c>
      <c r="M159">
        <v>609</v>
      </c>
      <c r="N159" t="s">
        <v>456</v>
      </c>
    </row>
    <row r="160" spans="1:14" x14ac:dyDescent="0.25">
      <c r="A160">
        <v>8507653</v>
      </c>
      <c r="B160" t="s">
        <v>457</v>
      </c>
      <c r="C160" t="s">
        <v>94</v>
      </c>
      <c r="D160" t="s">
        <v>86</v>
      </c>
      <c r="E160" t="s">
        <v>87</v>
      </c>
      <c r="F160" t="s">
        <v>458</v>
      </c>
      <c r="G160">
        <v>5902</v>
      </c>
      <c r="H160" t="s">
        <v>458</v>
      </c>
      <c r="I160" t="s">
        <v>96</v>
      </c>
      <c r="K160">
        <v>2537927</v>
      </c>
      <c r="L160">
        <v>1177429</v>
      </c>
      <c r="M160">
        <v>533</v>
      </c>
      <c r="N160" t="s">
        <v>459</v>
      </c>
    </row>
    <row r="161" spans="1:14" x14ac:dyDescent="0.25">
      <c r="A161">
        <v>8570291</v>
      </c>
      <c r="B161" t="s">
        <v>460</v>
      </c>
      <c r="C161" t="s">
        <v>94</v>
      </c>
      <c r="D161" t="s">
        <v>86</v>
      </c>
      <c r="E161" t="s">
        <v>87</v>
      </c>
      <c r="F161" t="s">
        <v>458</v>
      </c>
      <c r="G161">
        <v>5902</v>
      </c>
      <c r="H161" t="s">
        <v>458</v>
      </c>
      <c r="I161" t="s">
        <v>96</v>
      </c>
      <c r="K161">
        <v>2537569</v>
      </c>
      <c r="L161">
        <v>1176893</v>
      </c>
      <c r="M161">
        <v>541</v>
      </c>
      <c r="N161" t="s">
        <v>461</v>
      </c>
    </row>
    <row r="162" spans="1:14" x14ac:dyDescent="0.25">
      <c r="A162">
        <v>8580578</v>
      </c>
      <c r="B162" t="s">
        <v>462</v>
      </c>
      <c r="C162" t="s">
        <v>94</v>
      </c>
      <c r="D162" t="s">
        <v>86</v>
      </c>
      <c r="E162" t="s">
        <v>87</v>
      </c>
      <c r="F162" t="s">
        <v>463</v>
      </c>
      <c r="G162">
        <v>5512</v>
      </c>
      <c r="H162" t="s">
        <v>463</v>
      </c>
      <c r="I162" t="s">
        <v>96</v>
      </c>
      <c r="K162">
        <v>2544496</v>
      </c>
      <c r="L162">
        <v>1171800</v>
      </c>
      <c r="M162">
        <v>636</v>
      </c>
      <c r="N162" t="s">
        <v>464</v>
      </c>
    </row>
    <row r="163" spans="1:14" x14ac:dyDescent="0.25">
      <c r="A163">
        <v>8501177</v>
      </c>
      <c r="B163" t="s">
        <v>463</v>
      </c>
      <c r="C163" t="s">
        <v>238</v>
      </c>
      <c r="D163" t="s">
        <v>112</v>
      </c>
      <c r="E163" t="s">
        <v>87</v>
      </c>
      <c r="F163" t="s">
        <v>463</v>
      </c>
      <c r="G163">
        <v>5512</v>
      </c>
      <c r="H163" t="s">
        <v>463</v>
      </c>
      <c r="I163" t="s">
        <v>239</v>
      </c>
      <c r="K163">
        <v>2543780.14</v>
      </c>
      <c r="L163">
        <v>1171560.1499999999</v>
      </c>
      <c r="M163">
        <v>625.70000000000005</v>
      </c>
      <c r="N163" t="s">
        <v>465</v>
      </c>
    </row>
    <row r="164" spans="1:14" x14ac:dyDescent="0.25">
      <c r="A164">
        <v>8570395</v>
      </c>
      <c r="B164" t="s">
        <v>466</v>
      </c>
      <c r="C164" t="s">
        <v>94</v>
      </c>
      <c r="D164" t="s">
        <v>86</v>
      </c>
      <c r="E164" t="s">
        <v>87</v>
      </c>
      <c r="F164" t="s">
        <v>463</v>
      </c>
      <c r="G164">
        <v>5512</v>
      </c>
      <c r="H164" t="s">
        <v>463</v>
      </c>
      <c r="I164" t="s">
        <v>96</v>
      </c>
      <c r="K164">
        <v>2544396</v>
      </c>
      <c r="L164">
        <v>1171489</v>
      </c>
      <c r="M164">
        <v>629</v>
      </c>
      <c r="N164" t="s">
        <v>467</v>
      </c>
    </row>
    <row r="165" spans="1:14" x14ac:dyDescent="0.25">
      <c r="A165">
        <v>8582403</v>
      </c>
      <c r="B165" t="s">
        <v>468</v>
      </c>
      <c r="C165" t="s">
        <v>94</v>
      </c>
      <c r="D165" t="s">
        <v>86</v>
      </c>
      <c r="E165" t="s">
        <v>87</v>
      </c>
      <c r="F165" t="s">
        <v>463</v>
      </c>
      <c r="G165">
        <v>5512</v>
      </c>
      <c r="H165" t="s">
        <v>463</v>
      </c>
      <c r="I165" t="s">
        <v>96</v>
      </c>
      <c r="K165">
        <v>2543986</v>
      </c>
      <c r="L165">
        <v>1171271</v>
      </c>
      <c r="M165">
        <v>636</v>
      </c>
      <c r="N165" t="s">
        <v>469</v>
      </c>
    </row>
    <row r="166" spans="1:14" x14ac:dyDescent="0.25">
      <c r="A166">
        <v>8580462</v>
      </c>
      <c r="B166" t="s">
        <v>470</v>
      </c>
      <c r="C166" t="s">
        <v>94</v>
      </c>
      <c r="D166" t="s">
        <v>86</v>
      </c>
      <c r="E166" t="s">
        <v>87</v>
      </c>
      <c r="F166" t="s">
        <v>463</v>
      </c>
      <c r="G166">
        <v>5512</v>
      </c>
      <c r="H166" t="s">
        <v>463</v>
      </c>
      <c r="I166" t="s">
        <v>96</v>
      </c>
      <c r="K166">
        <v>2544121</v>
      </c>
      <c r="L166">
        <v>1171489</v>
      </c>
      <c r="M166">
        <v>638</v>
      </c>
      <c r="N166" t="s">
        <v>471</v>
      </c>
    </row>
    <row r="167" spans="1:14" x14ac:dyDescent="0.25">
      <c r="A167">
        <v>8570307</v>
      </c>
      <c r="B167" t="s">
        <v>472</v>
      </c>
      <c r="C167" t="s">
        <v>94</v>
      </c>
      <c r="D167" t="s">
        <v>86</v>
      </c>
      <c r="E167" t="s">
        <v>87</v>
      </c>
      <c r="F167" t="s">
        <v>463</v>
      </c>
      <c r="G167">
        <v>5512</v>
      </c>
      <c r="H167" t="s">
        <v>463</v>
      </c>
      <c r="I167" t="s">
        <v>96</v>
      </c>
      <c r="K167">
        <v>2543769</v>
      </c>
      <c r="L167">
        <v>1171515</v>
      </c>
      <c r="M167">
        <v>624</v>
      </c>
      <c r="N167" t="s">
        <v>473</v>
      </c>
    </row>
    <row r="168" spans="1:14" x14ac:dyDescent="0.25">
      <c r="A168">
        <v>8501892</v>
      </c>
      <c r="B168" t="s">
        <v>474</v>
      </c>
      <c r="C168" t="s">
        <v>85</v>
      </c>
      <c r="D168" t="s">
        <v>86</v>
      </c>
      <c r="E168" t="s">
        <v>87</v>
      </c>
      <c r="F168" t="s">
        <v>475</v>
      </c>
      <c r="G168">
        <v>5424</v>
      </c>
      <c r="H168" t="s">
        <v>475</v>
      </c>
      <c r="I168" t="s">
        <v>89</v>
      </c>
      <c r="K168">
        <v>2515474.8294700002</v>
      </c>
      <c r="L168">
        <v>1156869.0498899999</v>
      </c>
      <c r="M168">
        <v>759.4</v>
      </c>
      <c r="N168" t="s">
        <v>476</v>
      </c>
    </row>
    <row r="169" spans="1:14" x14ac:dyDescent="0.25">
      <c r="A169">
        <v>8570117</v>
      </c>
      <c r="B169" t="s">
        <v>477</v>
      </c>
      <c r="C169" t="s">
        <v>85</v>
      </c>
      <c r="D169" t="s">
        <v>86</v>
      </c>
      <c r="E169" t="s">
        <v>87</v>
      </c>
      <c r="F169" t="s">
        <v>475</v>
      </c>
      <c r="G169">
        <v>5424</v>
      </c>
      <c r="H169" t="s">
        <v>475</v>
      </c>
      <c r="I169" t="s">
        <v>89</v>
      </c>
      <c r="K169">
        <v>2515860.4317000001</v>
      </c>
      <c r="L169">
        <v>1157210.83473</v>
      </c>
      <c r="M169">
        <v>751.4</v>
      </c>
      <c r="N169" t="s">
        <v>478</v>
      </c>
    </row>
    <row r="170" spans="1:14" x14ac:dyDescent="0.25">
      <c r="A170">
        <v>8506916</v>
      </c>
      <c r="B170" t="s">
        <v>479</v>
      </c>
      <c r="C170" t="s">
        <v>94</v>
      </c>
      <c r="D170" t="s">
        <v>86</v>
      </c>
      <c r="E170" t="s">
        <v>87</v>
      </c>
      <c r="F170" t="s">
        <v>480</v>
      </c>
      <c r="G170">
        <v>5471</v>
      </c>
      <c r="H170" t="s">
        <v>480</v>
      </c>
      <c r="I170" t="s">
        <v>96</v>
      </c>
      <c r="K170">
        <v>2533932</v>
      </c>
      <c r="L170">
        <v>1164286</v>
      </c>
      <c r="M170">
        <v>584</v>
      </c>
      <c r="N170" t="s">
        <v>481</v>
      </c>
    </row>
    <row r="171" spans="1:14" x14ac:dyDescent="0.25">
      <c r="A171">
        <v>8570185</v>
      </c>
      <c r="B171" t="s">
        <v>482</v>
      </c>
      <c r="C171" t="s">
        <v>94</v>
      </c>
      <c r="D171" t="s">
        <v>86</v>
      </c>
      <c r="E171" t="s">
        <v>87</v>
      </c>
      <c r="F171" t="s">
        <v>480</v>
      </c>
      <c r="G171">
        <v>5471</v>
      </c>
      <c r="H171" t="s">
        <v>480</v>
      </c>
      <c r="I171" t="s">
        <v>96</v>
      </c>
      <c r="K171">
        <v>2534101</v>
      </c>
      <c r="L171">
        <v>1164559</v>
      </c>
      <c r="M171">
        <v>585</v>
      </c>
      <c r="N171" t="s">
        <v>483</v>
      </c>
    </row>
    <row r="172" spans="1:14" x14ac:dyDescent="0.25">
      <c r="A172">
        <v>8501487</v>
      </c>
      <c r="B172" t="s">
        <v>484</v>
      </c>
      <c r="C172" t="s">
        <v>111</v>
      </c>
      <c r="D172" t="s">
        <v>112</v>
      </c>
      <c r="E172" t="s">
        <v>87</v>
      </c>
      <c r="F172" t="s">
        <v>485</v>
      </c>
      <c r="G172">
        <v>5402</v>
      </c>
      <c r="H172" t="s">
        <v>485</v>
      </c>
      <c r="I172" t="s">
        <v>113</v>
      </c>
      <c r="K172">
        <v>2567285.253</v>
      </c>
      <c r="L172">
        <v>1122253.0060000001</v>
      </c>
      <c r="M172">
        <v>427.6</v>
      </c>
      <c r="N172" t="s">
        <v>486</v>
      </c>
    </row>
    <row r="173" spans="1:14" x14ac:dyDescent="0.25">
      <c r="A173">
        <v>8505919</v>
      </c>
      <c r="B173" t="s">
        <v>487</v>
      </c>
      <c r="C173" t="s">
        <v>101</v>
      </c>
      <c r="D173" t="s">
        <v>86</v>
      </c>
      <c r="E173" t="s">
        <v>87</v>
      </c>
      <c r="F173" t="s">
        <v>485</v>
      </c>
      <c r="G173">
        <v>5402</v>
      </c>
      <c r="H173" t="s">
        <v>485</v>
      </c>
      <c r="I173" t="s">
        <v>103</v>
      </c>
      <c r="K173">
        <v>2568206</v>
      </c>
      <c r="L173">
        <v>1125214</v>
      </c>
      <c r="M173">
        <v>586</v>
      </c>
      <c r="N173" t="s">
        <v>488</v>
      </c>
    </row>
    <row r="174" spans="1:14" x14ac:dyDescent="0.25">
      <c r="A174">
        <v>8579118</v>
      </c>
      <c r="B174" t="s">
        <v>489</v>
      </c>
      <c r="C174" t="s">
        <v>101</v>
      </c>
      <c r="D174" t="s">
        <v>86</v>
      </c>
      <c r="E174" t="s">
        <v>87</v>
      </c>
      <c r="F174" t="s">
        <v>485</v>
      </c>
      <c r="G174">
        <v>5402</v>
      </c>
      <c r="H174" t="s">
        <v>490</v>
      </c>
      <c r="I174" t="s">
        <v>103</v>
      </c>
      <c r="J174" t="s">
        <v>491</v>
      </c>
      <c r="K174">
        <v>2575696</v>
      </c>
      <c r="L174">
        <v>1125865</v>
      </c>
      <c r="M174">
        <v>1347</v>
      </c>
      <c r="N174" t="s">
        <v>492</v>
      </c>
    </row>
    <row r="175" spans="1:14" x14ac:dyDescent="0.25">
      <c r="A175">
        <v>8579117</v>
      </c>
      <c r="B175" t="s">
        <v>493</v>
      </c>
      <c r="C175" t="s">
        <v>101</v>
      </c>
      <c r="D175" t="s">
        <v>86</v>
      </c>
      <c r="E175" t="s">
        <v>87</v>
      </c>
      <c r="F175" t="s">
        <v>485</v>
      </c>
      <c r="G175">
        <v>5402</v>
      </c>
      <c r="H175" t="s">
        <v>490</v>
      </c>
      <c r="I175" t="s">
        <v>103</v>
      </c>
      <c r="J175" t="s">
        <v>491</v>
      </c>
      <c r="K175">
        <v>2575116</v>
      </c>
      <c r="L175">
        <v>1125675</v>
      </c>
      <c r="M175">
        <v>1294</v>
      </c>
      <c r="N175" t="s">
        <v>494</v>
      </c>
    </row>
    <row r="176" spans="1:14" x14ac:dyDescent="0.25">
      <c r="A176">
        <v>8582114</v>
      </c>
      <c r="B176" t="s">
        <v>495</v>
      </c>
      <c r="C176" t="s">
        <v>101</v>
      </c>
      <c r="D176" t="s">
        <v>86</v>
      </c>
      <c r="E176" t="s">
        <v>87</v>
      </c>
      <c r="F176" t="s">
        <v>485</v>
      </c>
      <c r="G176">
        <v>5402</v>
      </c>
      <c r="H176" t="s">
        <v>485</v>
      </c>
      <c r="I176" t="s">
        <v>103</v>
      </c>
      <c r="K176">
        <v>2568154</v>
      </c>
      <c r="L176">
        <v>1120540</v>
      </c>
      <c r="M176">
        <v>515</v>
      </c>
      <c r="N176" t="s">
        <v>496</v>
      </c>
    </row>
    <row r="177" spans="1:14" x14ac:dyDescent="0.25">
      <c r="A177">
        <v>8510409</v>
      </c>
      <c r="B177" t="s">
        <v>497</v>
      </c>
      <c r="C177" t="s">
        <v>101</v>
      </c>
      <c r="D177" t="s">
        <v>86</v>
      </c>
      <c r="E177" t="s">
        <v>87</v>
      </c>
      <c r="F177" t="s">
        <v>485</v>
      </c>
      <c r="G177">
        <v>5402</v>
      </c>
      <c r="H177" t="s">
        <v>485</v>
      </c>
      <c r="I177" t="s">
        <v>103</v>
      </c>
      <c r="K177">
        <v>2567452.9024</v>
      </c>
      <c r="L177">
        <v>1119397.16377</v>
      </c>
      <c r="M177">
        <v>466</v>
      </c>
      <c r="N177" t="s">
        <v>498</v>
      </c>
    </row>
    <row r="178" spans="1:14" x14ac:dyDescent="0.25">
      <c r="A178">
        <v>8511111</v>
      </c>
      <c r="B178" t="s">
        <v>499</v>
      </c>
      <c r="C178" t="s">
        <v>101</v>
      </c>
      <c r="D178" t="s">
        <v>86</v>
      </c>
      <c r="E178" t="s">
        <v>87</v>
      </c>
      <c r="F178" t="s">
        <v>485</v>
      </c>
      <c r="G178">
        <v>5402</v>
      </c>
      <c r="H178" t="s">
        <v>485</v>
      </c>
      <c r="I178" t="s">
        <v>103</v>
      </c>
      <c r="K178">
        <v>2566771</v>
      </c>
      <c r="L178">
        <v>1122486</v>
      </c>
      <c r="M178">
        <v>420</v>
      </c>
      <c r="N178" t="s">
        <v>500</v>
      </c>
    </row>
    <row r="179" spans="1:14" x14ac:dyDescent="0.25">
      <c r="A179">
        <v>8511116</v>
      </c>
      <c r="B179" t="s">
        <v>501</v>
      </c>
      <c r="C179" t="s">
        <v>101</v>
      </c>
      <c r="D179" t="s">
        <v>86</v>
      </c>
      <c r="E179" t="s">
        <v>87</v>
      </c>
      <c r="F179" t="s">
        <v>485</v>
      </c>
      <c r="G179">
        <v>5402</v>
      </c>
      <c r="H179" t="s">
        <v>485</v>
      </c>
      <c r="I179" t="s">
        <v>103</v>
      </c>
      <c r="K179">
        <v>2567989</v>
      </c>
      <c r="L179">
        <v>1122451</v>
      </c>
      <c r="M179">
        <v>441</v>
      </c>
      <c r="N179" t="s">
        <v>502</v>
      </c>
    </row>
    <row r="180" spans="1:14" x14ac:dyDescent="0.25">
      <c r="A180">
        <v>8575219</v>
      </c>
      <c r="B180" t="s">
        <v>503</v>
      </c>
      <c r="C180" t="s">
        <v>101</v>
      </c>
      <c r="D180" t="s">
        <v>86</v>
      </c>
      <c r="E180" t="s">
        <v>87</v>
      </c>
      <c r="F180" t="s">
        <v>485</v>
      </c>
      <c r="G180">
        <v>5402</v>
      </c>
      <c r="H180" t="s">
        <v>485</v>
      </c>
      <c r="I180" t="s">
        <v>103</v>
      </c>
      <c r="K180">
        <v>2567344</v>
      </c>
      <c r="L180">
        <v>1122005</v>
      </c>
      <c r="M180">
        <v>428</v>
      </c>
      <c r="N180" t="s">
        <v>504</v>
      </c>
    </row>
    <row r="181" spans="1:14" x14ac:dyDescent="0.25">
      <c r="A181">
        <v>8580900</v>
      </c>
      <c r="B181" t="s">
        <v>505</v>
      </c>
      <c r="C181" t="s">
        <v>101</v>
      </c>
      <c r="D181" t="s">
        <v>86</v>
      </c>
      <c r="E181" t="s">
        <v>87</v>
      </c>
      <c r="F181" t="s">
        <v>485</v>
      </c>
      <c r="G181">
        <v>5402</v>
      </c>
      <c r="H181" t="s">
        <v>506</v>
      </c>
      <c r="I181" t="s">
        <v>103</v>
      </c>
      <c r="K181">
        <v>2568153</v>
      </c>
      <c r="L181">
        <v>1124483</v>
      </c>
      <c r="M181">
        <v>678</v>
      </c>
      <c r="N181" t="s">
        <v>507</v>
      </c>
    </row>
    <row r="182" spans="1:14" x14ac:dyDescent="0.25">
      <c r="A182">
        <v>8501711</v>
      </c>
      <c r="B182" t="s">
        <v>508</v>
      </c>
      <c r="C182" t="s">
        <v>101</v>
      </c>
      <c r="D182" t="s">
        <v>86</v>
      </c>
      <c r="E182" t="s">
        <v>87</v>
      </c>
      <c r="F182" t="s">
        <v>485</v>
      </c>
      <c r="G182">
        <v>5402</v>
      </c>
      <c r="H182" t="s">
        <v>490</v>
      </c>
      <c r="I182" t="s">
        <v>103</v>
      </c>
      <c r="K182">
        <v>2576763</v>
      </c>
      <c r="L182">
        <v>1126394</v>
      </c>
      <c r="M182">
        <v>1461</v>
      </c>
      <c r="N182" t="s">
        <v>509</v>
      </c>
    </row>
    <row r="183" spans="1:14" x14ac:dyDescent="0.25">
      <c r="A183">
        <v>8512360</v>
      </c>
      <c r="B183" t="s">
        <v>510</v>
      </c>
      <c r="C183" t="s">
        <v>101</v>
      </c>
      <c r="D183" t="s">
        <v>86</v>
      </c>
      <c r="E183" t="s">
        <v>87</v>
      </c>
      <c r="F183" t="s">
        <v>485</v>
      </c>
      <c r="G183">
        <v>5402</v>
      </c>
      <c r="H183" t="s">
        <v>485</v>
      </c>
      <c r="I183" t="s">
        <v>103</v>
      </c>
      <c r="K183">
        <v>2567323.2385300002</v>
      </c>
      <c r="L183">
        <v>1121644.9547999999</v>
      </c>
      <c r="M183">
        <v>438.3</v>
      </c>
      <c r="N183" t="s">
        <v>511</v>
      </c>
    </row>
    <row r="184" spans="1:14" x14ac:dyDescent="0.25">
      <c r="A184">
        <v>8530064</v>
      </c>
      <c r="B184" t="s">
        <v>512</v>
      </c>
      <c r="C184" t="s">
        <v>111</v>
      </c>
      <c r="D184" t="s">
        <v>112</v>
      </c>
      <c r="E184" t="s">
        <v>87</v>
      </c>
      <c r="F184" t="s">
        <v>485</v>
      </c>
      <c r="G184">
        <v>5402</v>
      </c>
      <c r="H184" t="s">
        <v>485</v>
      </c>
      <c r="I184" t="s">
        <v>113</v>
      </c>
      <c r="K184">
        <v>2567777.804</v>
      </c>
      <c r="L184">
        <v>1122207</v>
      </c>
      <c r="M184">
        <v>432.3</v>
      </c>
      <c r="N184" t="s">
        <v>513</v>
      </c>
    </row>
    <row r="185" spans="1:14" x14ac:dyDescent="0.25">
      <c r="A185">
        <v>8501402</v>
      </c>
      <c r="B185" t="s">
        <v>485</v>
      </c>
      <c r="C185" t="s">
        <v>132</v>
      </c>
      <c r="D185" t="s">
        <v>112</v>
      </c>
      <c r="E185" t="s">
        <v>87</v>
      </c>
      <c r="F185" t="s">
        <v>485</v>
      </c>
      <c r="G185">
        <v>5402</v>
      </c>
      <c r="H185" t="s">
        <v>485</v>
      </c>
      <c r="I185" t="s">
        <v>133</v>
      </c>
      <c r="K185">
        <v>2566224.4530000002</v>
      </c>
      <c r="L185">
        <v>1122320.503</v>
      </c>
      <c r="M185">
        <v>410.96</v>
      </c>
      <c r="N185" t="s">
        <v>514</v>
      </c>
    </row>
    <row r="186" spans="1:14" x14ac:dyDescent="0.25">
      <c r="A186">
        <v>8501491</v>
      </c>
      <c r="B186" t="s">
        <v>515</v>
      </c>
      <c r="C186" t="s">
        <v>111</v>
      </c>
      <c r="D186" t="s">
        <v>112</v>
      </c>
      <c r="E186" t="s">
        <v>87</v>
      </c>
      <c r="F186" t="s">
        <v>485</v>
      </c>
      <c r="G186">
        <v>5402</v>
      </c>
      <c r="H186" t="s">
        <v>516</v>
      </c>
      <c r="I186" t="s">
        <v>113</v>
      </c>
      <c r="K186">
        <v>2570108.1320000002</v>
      </c>
      <c r="L186">
        <v>1124490.594</v>
      </c>
      <c r="M186">
        <v>983</v>
      </c>
      <c r="N186" t="s">
        <v>517</v>
      </c>
    </row>
    <row r="187" spans="1:14" x14ac:dyDescent="0.25">
      <c r="A187">
        <v>8511068</v>
      </c>
      <c r="B187" t="s">
        <v>518</v>
      </c>
      <c r="C187" t="s">
        <v>101</v>
      </c>
      <c r="D187" t="s">
        <v>86</v>
      </c>
      <c r="E187" t="s">
        <v>87</v>
      </c>
      <c r="F187" t="s">
        <v>485</v>
      </c>
      <c r="G187">
        <v>5402</v>
      </c>
      <c r="H187" t="s">
        <v>485</v>
      </c>
      <c r="I187" t="s">
        <v>103</v>
      </c>
      <c r="K187">
        <v>2567897.2497399999</v>
      </c>
      <c r="L187">
        <v>1123966.67888</v>
      </c>
      <c r="M187">
        <v>494</v>
      </c>
      <c r="N187" t="s">
        <v>519</v>
      </c>
    </row>
    <row r="188" spans="1:14" x14ac:dyDescent="0.25">
      <c r="A188">
        <v>8570638</v>
      </c>
      <c r="B188" t="s">
        <v>520</v>
      </c>
      <c r="C188" t="s">
        <v>101</v>
      </c>
      <c r="D188" t="s">
        <v>86</v>
      </c>
      <c r="E188" t="s">
        <v>87</v>
      </c>
      <c r="F188" t="s">
        <v>485</v>
      </c>
      <c r="G188">
        <v>5402</v>
      </c>
      <c r="H188" t="s">
        <v>485</v>
      </c>
      <c r="I188" t="s">
        <v>103</v>
      </c>
      <c r="K188">
        <v>2567117</v>
      </c>
      <c r="L188">
        <v>1122291</v>
      </c>
      <c r="M188">
        <v>425</v>
      </c>
      <c r="N188" t="s">
        <v>521</v>
      </c>
    </row>
    <row r="189" spans="1:14" x14ac:dyDescent="0.25">
      <c r="A189">
        <v>8510407</v>
      </c>
      <c r="B189" t="s">
        <v>522</v>
      </c>
      <c r="C189" t="s">
        <v>101</v>
      </c>
      <c r="D189" t="s">
        <v>86</v>
      </c>
      <c r="E189" t="s">
        <v>87</v>
      </c>
      <c r="F189" t="s">
        <v>485</v>
      </c>
      <c r="G189">
        <v>5402</v>
      </c>
      <c r="H189" t="s">
        <v>485</v>
      </c>
      <c r="I189" t="s">
        <v>103</v>
      </c>
      <c r="K189">
        <v>2566891.6665699999</v>
      </c>
      <c r="L189">
        <v>1120693.40387</v>
      </c>
      <c r="M189">
        <v>491</v>
      </c>
      <c r="N189" t="s">
        <v>523</v>
      </c>
    </row>
    <row r="190" spans="1:14" x14ac:dyDescent="0.25">
      <c r="A190">
        <v>8519339</v>
      </c>
      <c r="B190" t="s">
        <v>524</v>
      </c>
      <c r="C190" t="s">
        <v>111</v>
      </c>
      <c r="E190" t="s">
        <v>87</v>
      </c>
      <c r="F190" t="s">
        <v>485</v>
      </c>
      <c r="G190">
        <v>5402</v>
      </c>
      <c r="H190" t="s">
        <v>485</v>
      </c>
      <c r="I190" t="s">
        <v>113</v>
      </c>
      <c r="J190" t="s">
        <v>130</v>
      </c>
      <c r="K190">
        <v>2566270</v>
      </c>
      <c r="L190">
        <v>1122250</v>
      </c>
      <c r="M190">
        <v>411</v>
      </c>
      <c r="N190" t="s">
        <v>525</v>
      </c>
    </row>
    <row r="191" spans="1:14" x14ac:dyDescent="0.25">
      <c r="A191">
        <v>8510329</v>
      </c>
      <c r="B191" t="s">
        <v>526</v>
      </c>
      <c r="C191" t="s">
        <v>101</v>
      </c>
      <c r="D191" t="s">
        <v>86</v>
      </c>
      <c r="E191" t="s">
        <v>87</v>
      </c>
      <c r="F191" t="s">
        <v>485</v>
      </c>
      <c r="G191">
        <v>5402</v>
      </c>
      <c r="H191" t="s">
        <v>527</v>
      </c>
      <c r="I191" t="s">
        <v>103</v>
      </c>
      <c r="K191">
        <v>2574705</v>
      </c>
      <c r="L191">
        <v>1122319</v>
      </c>
      <c r="M191">
        <v>1248</v>
      </c>
      <c r="N191" t="s">
        <v>528</v>
      </c>
    </row>
    <row r="192" spans="1:14" x14ac:dyDescent="0.25">
      <c r="A192">
        <v>8510332</v>
      </c>
      <c r="B192" t="s">
        <v>529</v>
      </c>
      <c r="C192" t="s">
        <v>101</v>
      </c>
      <c r="D192" t="s">
        <v>86</v>
      </c>
      <c r="E192" t="s">
        <v>87</v>
      </c>
      <c r="F192" t="s">
        <v>485</v>
      </c>
      <c r="G192">
        <v>5402</v>
      </c>
      <c r="H192" t="s">
        <v>485</v>
      </c>
      <c r="I192" t="s">
        <v>103</v>
      </c>
      <c r="K192">
        <v>2567147.4538500002</v>
      </c>
      <c r="L192">
        <v>1121854.3963599999</v>
      </c>
      <c r="M192">
        <v>423</v>
      </c>
      <c r="N192" t="s">
        <v>530</v>
      </c>
    </row>
    <row r="193" spans="1:14" x14ac:dyDescent="0.25">
      <c r="A193">
        <v>8510820</v>
      </c>
      <c r="B193" t="s">
        <v>531</v>
      </c>
      <c r="C193" t="s">
        <v>101</v>
      </c>
      <c r="D193" t="s">
        <v>86</v>
      </c>
      <c r="E193" t="s">
        <v>87</v>
      </c>
      <c r="F193" t="s">
        <v>485</v>
      </c>
      <c r="G193">
        <v>5402</v>
      </c>
      <c r="H193" t="s">
        <v>485</v>
      </c>
      <c r="I193" t="s">
        <v>103</v>
      </c>
      <c r="K193">
        <v>2567728</v>
      </c>
      <c r="L193">
        <v>1122189</v>
      </c>
      <c r="M193">
        <v>431</v>
      </c>
      <c r="N193" t="s">
        <v>532</v>
      </c>
    </row>
    <row r="194" spans="1:14" x14ac:dyDescent="0.25">
      <c r="A194">
        <v>8511114</v>
      </c>
      <c r="B194" t="s">
        <v>533</v>
      </c>
      <c r="C194" t="s">
        <v>101</v>
      </c>
      <c r="D194" t="s">
        <v>86</v>
      </c>
      <c r="E194" t="s">
        <v>87</v>
      </c>
      <c r="F194" t="s">
        <v>485</v>
      </c>
      <c r="G194">
        <v>5402</v>
      </c>
      <c r="H194" t="s">
        <v>485</v>
      </c>
      <c r="I194" t="s">
        <v>103</v>
      </c>
      <c r="K194">
        <v>2567289</v>
      </c>
      <c r="L194">
        <v>1122251</v>
      </c>
      <c r="M194">
        <v>428</v>
      </c>
      <c r="N194" t="s">
        <v>534</v>
      </c>
    </row>
    <row r="195" spans="1:14" x14ac:dyDescent="0.25">
      <c r="A195">
        <v>8511119</v>
      </c>
      <c r="B195" t="s">
        <v>535</v>
      </c>
      <c r="C195" t="s">
        <v>101</v>
      </c>
      <c r="D195" t="s">
        <v>86</v>
      </c>
      <c r="E195" t="s">
        <v>87</v>
      </c>
      <c r="F195" t="s">
        <v>485</v>
      </c>
      <c r="G195">
        <v>5402</v>
      </c>
      <c r="H195" t="s">
        <v>516</v>
      </c>
      <c r="I195" t="s">
        <v>103</v>
      </c>
      <c r="K195">
        <v>2570159</v>
      </c>
      <c r="L195">
        <v>1124444</v>
      </c>
      <c r="M195">
        <v>976</v>
      </c>
      <c r="N195" t="s">
        <v>536</v>
      </c>
    </row>
    <row r="196" spans="1:14" x14ac:dyDescent="0.25">
      <c r="A196">
        <v>8511067</v>
      </c>
      <c r="B196" t="s">
        <v>537</v>
      </c>
      <c r="C196" t="s">
        <v>101</v>
      </c>
      <c r="D196" t="s">
        <v>86</v>
      </c>
      <c r="E196" t="s">
        <v>87</v>
      </c>
      <c r="F196" t="s">
        <v>485</v>
      </c>
      <c r="G196">
        <v>5402</v>
      </c>
      <c r="H196" t="s">
        <v>485</v>
      </c>
      <c r="I196" t="s">
        <v>103</v>
      </c>
      <c r="K196">
        <v>2568746.1674600001</v>
      </c>
      <c r="L196">
        <v>1123262.1555000001</v>
      </c>
      <c r="M196">
        <v>505</v>
      </c>
      <c r="N196" t="s">
        <v>538</v>
      </c>
    </row>
    <row r="197" spans="1:14" x14ac:dyDescent="0.25">
      <c r="A197">
        <v>8511060</v>
      </c>
      <c r="B197" t="s">
        <v>539</v>
      </c>
      <c r="C197" t="s">
        <v>101</v>
      </c>
      <c r="D197" t="s">
        <v>86</v>
      </c>
      <c r="E197" t="s">
        <v>87</v>
      </c>
      <c r="F197" t="s">
        <v>485</v>
      </c>
      <c r="G197">
        <v>5402</v>
      </c>
      <c r="H197" t="s">
        <v>485</v>
      </c>
      <c r="I197" t="s">
        <v>103</v>
      </c>
      <c r="K197">
        <v>2566197.2886600001</v>
      </c>
      <c r="L197">
        <v>1122295.39833</v>
      </c>
      <c r="M197">
        <v>410</v>
      </c>
      <c r="N197" t="s">
        <v>540</v>
      </c>
    </row>
    <row r="198" spans="1:14" x14ac:dyDescent="0.25">
      <c r="A198">
        <v>8509023</v>
      </c>
      <c r="B198" t="s">
        <v>541</v>
      </c>
      <c r="C198" t="s">
        <v>101</v>
      </c>
      <c r="D198" t="s">
        <v>86</v>
      </c>
      <c r="E198" t="s">
        <v>87</v>
      </c>
      <c r="F198" t="s">
        <v>485</v>
      </c>
      <c r="G198">
        <v>5402</v>
      </c>
      <c r="H198" t="s">
        <v>485</v>
      </c>
      <c r="I198" t="s">
        <v>103</v>
      </c>
      <c r="K198">
        <v>2566481</v>
      </c>
      <c r="L198">
        <v>1123607</v>
      </c>
      <c r="M198">
        <v>438</v>
      </c>
      <c r="N198" t="s">
        <v>542</v>
      </c>
    </row>
    <row r="199" spans="1:14" x14ac:dyDescent="0.25">
      <c r="A199">
        <v>8510410</v>
      </c>
      <c r="B199" t="s">
        <v>543</v>
      </c>
      <c r="C199" t="s">
        <v>101</v>
      </c>
      <c r="D199" t="s">
        <v>86</v>
      </c>
      <c r="E199" t="s">
        <v>87</v>
      </c>
      <c r="F199" t="s">
        <v>485</v>
      </c>
      <c r="G199">
        <v>5402</v>
      </c>
      <c r="H199" t="s">
        <v>485</v>
      </c>
      <c r="I199" t="s">
        <v>103</v>
      </c>
      <c r="K199">
        <v>2568253</v>
      </c>
      <c r="L199">
        <v>1119977</v>
      </c>
      <c r="M199">
        <v>561</v>
      </c>
      <c r="N199" t="s">
        <v>544</v>
      </c>
    </row>
    <row r="200" spans="1:14" x14ac:dyDescent="0.25">
      <c r="A200">
        <v>8510406</v>
      </c>
      <c r="B200" t="s">
        <v>545</v>
      </c>
      <c r="C200" t="s">
        <v>101</v>
      </c>
      <c r="D200" t="s">
        <v>86</v>
      </c>
      <c r="E200" t="s">
        <v>87</v>
      </c>
      <c r="F200" t="s">
        <v>485</v>
      </c>
      <c r="G200">
        <v>5402</v>
      </c>
      <c r="H200" t="s">
        <v>485</v>
      </c>
      <c r="I200" t="s">
        <v>103</v>
      </c>
      <c r="K200">
        <v>2566863.9360099998</v>
      </c>
      <c r="L200">
        <v>1121700.5599</v>
      </c>
      <c r="M200">
        <v>423</v>
      </c>
      <c r="N200" t="s">
        <v>546</v>
      </c>
    </row>
    <row r="201" spans="1:14" x14ac:dyDescent="0.25">
      <c r="A201">
        <v>8510408</v>
      </c>
      <c r="B201" t="s">
        <v>547</v>
      </c>
      <c r="C201" t="s">
        <v>101</v>
      </c>
      <c r="D201" t="s">
        <v>86</v>
      </c>
      <c r="E201" t="s">
        <v>87</v>
      </c>
      <c r="F201" t="s">
        <v>485</v>
      </c>
      <c r="G201">
        <v>5402</v>
      </c>
      <c r="H201" t="s">
        <v>485</v>
      </c>
      <c r="I201" t="s">
        <v>103</v>
      </c>
      <c r="K201">
        <v>2567221.8093400002</v>
      </c>
      <c r="L201">
        <v>1120364.8766300001</v>
      </c>
      <c r="M201">
        <v>534</v>
      </c>
      <c r="N201" t="s">
        <v>548</v>
      </c>
    </row>
    <row r="202" spans="1:14" x14ac:dyDescent="0.25">
      <c r="A202">
        <v>8510405</v>
      </c>
      <c r="B202" t="s">
        <v>549</v>
      </c>
      <c r="C202" t="s">
        <v>101</v>
      </c>
      <c r="D202" t="s">
        <v>86</v>
      </c>
      <c r="E202" t="s">
        <v>87</v>
      </c>
      <c r="F202" t="s">
        <v>485</v>
      </c>
      <c r="G202">
        <v>5402</v>
      </c>
      <c r="H202" t="s">
        <v>485</v>
      </c>
      <c r="I202" t="s">
        <v>103</v>
      </c>
      <c r="K202">
        <v>2566216.8977600001</v>
      </c>
      <c r="L202">
        <v>1121714.5074199999</v>
      </c>
      <c r="M202">
        <v>407</v>
      </c>
      <c r="N202" t="s">
        <v>550</v>
      </c>
    </row>
    <row r="203" spans="1:14" x14ac:dyDescent="0.25">
      <c r="A203">
        <v>8510404</v>
      </c>
      <c r="B203" t="s">
        <v>551</v>
      </c>
      <c r="C203" t="s">
        <v>101</v>
      </c>
      <c r="D203" t="s">
        <v>86</v>
      </c>
      <c r="E203" t="s">
        <v>87</v>
      </c>
      <c r="F203" t="s">
        <v>485</v>
      </c>
      <c r="G203">
        <v>5402</v>
      </c>
      <c r="H203" t="s">
        <v>485</v>
      </c>
      <c r="I203" t="s">
        <v>103</v>
      </c>
      <c r="K203">
        <v>2565996.30425</v>
      </c>
      <c r="L203">
        <v>1121912.56926</v>
      </c>
      <c r="M203">
        <v>407</v>
      </c>
      <c r="N203" t="s">
        <v>552</v>
      </c>
    </row>
    <row r="204" spans="1:14" x14ac:dyDescent="0.25">
      <c r="A204">
        <v>8570644</v>
      </c>
      <c r="B204" t="s">
        <v>553</v>
      </c>
      <c r="C204" t="s">
        <v>101</v>
      </c>
      <c r="D204" t="s">
        <v>86</v>
      </c>
      <c r="E204" t="s">
        <v>87</v>
      </c>
      <c r="F204" t="s">
        <v>485</v>
      </c>
      <c r="G204">
        <v>5402</v>
      </c>
      <c r="H204" t="s">
        <v>485</v>
      </c>
      <c r="I204" t="s">
        <v>103</v>
      </c>
      <c r="K204">
        <v>2568296</v>
      </c>
      <c r="L204">
        <v>1123993</v>
      </c>
      <c r="M204">
        <v>581</v>
      </c>
      <c r="N204" t="s">
        <v>554</v>
      </c>
    </row>
    <row r="205" spans="1:14" x14ac:dyDescent="0.25">
      <c r="A205">
        <v>8570639</v>
      </c>
      <c r="B205" t="s">
        <v>555</v>
      </c>
      <c r="C205" t="s">
        <v>101</v>
      </c>
      <c r="D205" t="s">
        <v>86</v>
      </c>
      <c r="E205" t="s">
        <v>87</v>
      </c>
      <c r="F205" t="s">
        <v>485</v>
      </c>
      <c r="G205">
        <v>5402</v>
      </c>
      <c r="H205" t="s">
        <v>485</v>
      </c>
      <c r="I205" t="s">
        <v>103</v>
      </c>
      <c r="K205">
        <v>2566695</v>
      </c>
      <c r="L205">
        <v>1122602</v>
      </c>
      <c r="M205">
        <v>419</v>
      </c>
      <c r="N205" t="s">
        <v>556</v>
      </c>
    </row>
    <row r="206" spans="1:14" x14ac:dyDescent="0.25">
      <c r="A206">
        <v>8570641</v>
      </c>
      <c r="B206" t="s">
        <v>557</v>
      </c>
      <c r="C206" t="s">
        <v>101</v>
      </c>
      <c r="D206" t="s">
        <v>86</v>
      </c>
      <c r="E206" t="s">
        <v>87</v>
      </c>
      <c r="F206" t="s">
        <v>485</v>
      </c>
      <c r="G206">
        <v>5402</v>
      </c>
      <c r="H206" t="s">
        <v>485</v>
      </c>
      <c r="I206" t="s">
        <v>103</v>
      </c>
      <c r="K206">
        <v>2567425.0462500001</v>
      </c>
      <c r="L206">
        <v>1124460.28942</v>
      </c>
      <c r="M206">
        <v>495.1</v>
      </c>
      <c r="N206" t="s">
        <v>558</v>
      </c>
    </row>
    <row r="207" spans="1:14" x14ac:dyDescent="0.25">
      <c r="A207">
        <v>8512361</v>
      </c>
      <c r="B207" t="s">
        <v>559</v>
      </c>
      <c r="C207" t="s">
        <v>101</v>
      </c>
      <c r="D207" t="s">
        <v>86</v>
      </c>
      <c r="E207" t="s">
        <v>87</v>
      </c>
      <c r="F207" t="s">
        <v>485</v>
      </c>
      <c r="G207">
        <v>5402</v>
      </c>
      <c r="H207" t="s">
        <v>485</v>
      </c>
      <c r="I207" t="s">
        <v>103</v>
      </c>
      <c r="K207">
        <v>2566576.7352800001</v>
      </c>
      <c r="L207">
        <v>1122075.78009</v>
      </c>
      <c r="M207">
        <v>414.7</v>
      </c>
      <c r="N207" t="s">
        <v>560</v>
      </c>
    </row>
    <row r="208" spans="1:14" x14ac:dyDescent="0.25">
      <c r="A208">
        <v>8570645</v>
      </c>
      <c r="B208" t="s">
        <v>561</v>
      </c>
      <c r="C208" t="s">
        <v>101</v>
      </c>
      <c r="D208" t="s">
        <v>86</v>
      </c>
      <c r="E208" t="s">
        <v>87</v>
      </c>
      <c r="F208" t="s">
        <v>485</v>
      </c>
      <c r="G208">
        <v>5402</v>
      </c>
      <c r="H208" t="s">
        <v>506</v>
      </c>
      <c r="I208" t="s">
        <v>103</v>
      </c>
      <c r="K208">
        <v>2568263</v>
      </c>
      <c r="L208">
        <v>1124578</v>
      </c>
      <c r="M208">
        <v>707</v>
      </c>
      <c r="N208" t="s">
        <v>562</v>
      </c>
    </row>
    <row r="209" spans="1:14" x14ac:dyDescent="0.25">
      <c r="A209">
        <v>8570642</v>
      </c>
      <c r="B209" t="s">
        <v>563</v>
      </c>
      <c r="C209" t="s">
        <v>101</v>
      </c>
      <c r="D209" t="s">
        <v>86</v>
      </c>
      <c r="E209" t="s">
        <v>87</v>
      </c>
      <c r="F209" t="s">
        <v>485</v>
      </c>
      <c r="G209">
        <v>5402</v>
      </c>
      <c r="H209" t="s">
        <v>485</v>
      </c>
      <c r="I209" t="s">
        <v>103</v>
      </c>
      <c r="K209">
        <v>2567537</v>
      </c>
      <c r="L209">
        <v>1124395</v>
      </c>
      <c r="M209">
        <v>497</v>
      </c>
      <c r="N209" t="s">
        <v>564</v>
      </c>
    </row>
    <row r="210" spans="1:14" x14ac:dyDescent="0.25">
      <c r="A210">
        <v>8570640</v>
      </c>
      <c r="B210" t="s">
        <v>565</v>
      </c>
      <c r="C210" t="s">
        <v>101</v>
      </c>
      <c r="D210" t="s">
        <v>86</v>
      </c>
      <c r="E210" t="s">
        <v>87</v>
      </c>
      <c r="F210" t="s">
        <v>485</v>
      </c>
      <c r="G210">
        <v>5402</v>
      </c>
      <c r="H210" t="s">
        <v>485</v>
      </c>
      <c r="I210" t="s">
        <v>103</v>
      </c>
      <c r="K210">
        <v>2566640</v>
      </c>
      <c r="L210">
        <v>1124030</v>
      </c>
      <c r="M210">
        <v>452</v>
      </c>
      <c r="N210" t="s">
        <v>566</v>
      </c>
    </row>
    <row r="211" spans="1:14" x14ac:dyDescent="0.25">
      <c r="A211">
        <v>8579970</v>
      </c>
      <c r="B211" t="s">
        <v>567</v>
      </c>
      <c r="C211" t="s">
        <v>101</v>
      </c>
      <c r="D211" t="s">
        <v>86</v>
      </c>
      <c r="E211" t="s">
        <v>87</v>
      </c>
      <c r="F211" t="s">
        <v>485</v>
      </c>
      <c r="G211">
        <v>5402</v>
      </c>
      <c r="H211" t="s">
        <v>485</v>
      </c>
      <c r="I211" t="s">
        <v>103</v>
      </c>
      <c r="K211">
        <v>2567893</v>
      </c>
      <c r="L211">
        <v>1121920</v>
      </c>
      <c r="M211">
        <v>447</v>
      </c>
      <c r="N211" t="s">
        <v>568</v>
      </c>
    </row>
    <row r="212" spans="1:14" x14ac:dyDescent="0.25">
      <c r="A212">
        <v>8580669</v>
      </c>
      <c r="B212" t="s">
        <v>569</v>
      </c>
      <c r="C212" t="s">
        <v>101</v>
      </c>
      <c r="D212" t="s">
        <v>86</v>
      </c>
      <c r="E212" t="s">
        <v>87</v>
      </c>
      <c r="F212" t="s">
        <v>485</v>
      </c>
      <c r="G212">
        <v>5402</v>
      </c>
      <c r="H212" t="s">
        <v>485</v>
      </c>
      <c r="I212" t="s">
        <v>103</v>
      </c>
      <c r="K212">
        <v>2566275</v>
      </c>
      <c r="L212">
        <v>1123054</v>
      </c>
      <c r="M212">
        <v>423</v>
      </c>
      <c r="N212" t="s">
        <v>570</v>
      </c>
    </row>
    <row r="213" spans="1:14" x14ac:dyDescent="0.25">
      <c r="A213">
        <v>8582007</v>
      </c>
      <c r="B213" t="s">
        <v>571</v>
      </c>
      <c r="C213" t="s">
        <v>101</v>
      </c>
      <c r="D213" t="s">
        <v>86</v>
      </c>
      <c r="E213" t="s">
        <v>87</v>
      </c>
      <c r="F213" t="s">
        <v>485</v>
      </c>
      <c r="G213">
        <v>5402</v>
      </c>
      <c r="H213" t="s">
        <v>485</v>
      </c>
      <c r="I213" t="s">
        <v>103</v>
      </c>
      <c r="K213">
        <v>2565476</v>
      </c>
      <c r="L213">
        <v>1121434</v>
      </c>
      <c r="M213">
        <v>397</v>
      </c>
      <c r="N213" t="s">
        <v>572</v>
      </c>
    </row>
    <row r="214" spans="1:14" x14ac:dyDescent="0.25">
      <c r="A214">
        <v>8510331</v>
      </c>
      <c r="B214" t="s">
        <v>573</v>
      </c>
      <c r="C214" t="s">
        <v>101</v>
      </c>
      <c r="D214" t="s">
        <v>86</v>
      </c>
      <c r="E214" t="s">
        <v>87</v>
      </c>
      <c r="F214" t="s">
        <v>485</v>
      </c>
      <c r="G214">
        <v>5402</v>
      </c>
      <c r="H214" t="s">
        <v>485</v>
      </c>
      <c r="I214" t="s">
        <v>103</v>
      </c>
      <c r="K214">
        <v>2567302.9416800002</v>
      </c>
      <c r="L214">
        <v>1119990.7191300001</v>
      </c>
      <c r="M214">
        <v>545</v>
      </c>
      <c r="N214" t="s">
        <v>574</v>
      </c>
    </row>
    <row r="215" spans="1:14" x14ac:dyDescent="0.25">
      <c r="A215">
        <v>8510330</v>
      </c>
      <c r="B215" t="s">
        <v>575</v>
      </c>
      <c r="C215" t="s">
        <v>101</v>
      </c>
      <c r="D215" t="s">
        <v>86</v>
      </c>
      <c r="E215" t="s">
        <v>87</v>
      </c>
      <c r="F215" t="s">
        <v>485</v>
      </c>
      <c r="G215">
        <v>5402</v>
      </c>
      <c r="H215" t="s">
        <v>485</v>
      </c>
      <c r="I215" t="s">
        <v>103</v>
      </c>
      <c r="K215">
        <v>2566782</v>
      </c>
      <c r="L215">
        <v>1120203</v>
      </c>
      <c r="M215">
        <v>524</v>
      </c>
      <c r="N215" t="s">
        <v>576</v>
      </c>
    </row>
    <row r="216" spans="1:14" x14ac:dyDescent="0.25">
      <c r="A216">
        <v>8511113</v>
      </c>
      <c r="B216" t="s">
        <v>577</v>
      </c>
      <c r="C216" t="s">
        <v>101</v>
      </c>
      <c r="D216" t="s">
        <v>86</v>
      </c>
      <c r="E216" t="s">
        <v>87</v>
      </c>
      <c r="F216" t="s">
        <v>485</v>
      </c>
      <c r="G216">
        <v>5402</v>
      </c>
      <c r="H216" t="s">
        <v>485</v>
      </c>
      <c r="I216" t="s">
        <v>103</v>
      </c>
      <c r="K216">
        <v>2568314</v>
      </c>
      <c r="L216">
        <v>1122685</v>
      </c>
      <c r="M216">
        <v>458</v>
      </c>
      <c r="N216" t="s">
        <v>578</v>
      </c>
    </row>
    <row r="217" spans="1:14" x14ac:dyDescent="0.25">
      <c r="A217">
        <v>8511115</v>
      </c>
      <c r="B217" t="s">
        <v>579</v>
      </c>
      <c r="C217" t="s">
        <v>101</v>
      </c>
      <c r="D217" t="s">
        <v>86</v>
      </c>
      <c r="E217" t="s">
        <v>87</v>
      </c>
      <c r="F217" t="s">
        <v>485</v>
      </c>
      <c r="G217">
        <v>5402</v>
      </c>
      <c r="H217" t="s">
        <v>485</v>
      </c>
      <c r="I217" t="s">
        <v>103</v>
      </c>
      <c r="K217">
        <v>2568516</v>
      </c>
      <c r="L217">
        <v>1122880</v>
      </c>
      <c r="M217">
        <v>472</v>
      </c>
      <c r="N217" t="s">
        <v>580</v>
      </c>
    </row>
    <row r="218" spans="1:14" x14ac:dyDescent="0.25">
      <c r="A218">
        <v>8511120</v>
      </c>
      <c r="B218" t="s">
        <v>581</v>
      </c>
      <c r="C218" t="s">
        <v>101</v>
      </c>
      <c r="D218" t="s">
        <v>86</v>
      </c>
      <c r="E218" t="s">
        <v>87</v>
      </c>
      <c r="F218" t="s">
        <v>485</v>
      </c>
      <c r="G218">
        <v>5402</v>
      </c>
      <c r="H218" t="s">
        <v>490</v>
      </c>
      <c r="I218" t="s">
        <v>103</v>
      </c>
      <c r="K218">
        <v>2570065</v>
      </c>
      <c r="L218">
        <v>1124651</v>
      </c>
      <c r="M218">
        <v>1040</v>
      </c>
      <c r="N218" t="s">
        <v>582</v>
      </c>
    </row>
    <row r="219" spans="1:14" x14ac:dyDescent="0.25">
      <c r="A219">
        <v>8530067</v>
      </c>
      <c r="B219" t="s">
        <v>583</v>
      </c>
      <c r="C219" t="s">
        <v>111</v>
      </c>
      <c r="D219" t="s">
        <v>112</v>
      </c>
      <c r="E219" t="s">
        <v>87</v>
      </c>
      <c r="F219" t="s">
        <v>485</v>
      </c>
      <c r="G219">
        <v>5402</v>
      </c>
      <c r="H219" t="s">
        <v>485</v>
      </c>
      <c r="I219" t="s">
        <v>113</v>
      </c>
      <c r="K219">
        <v>2568306.273</v>
      </c>
      <c r="L219">
        <v>1122684.4410000001</v>
      </c>
      <c r="M219">
        <v>458</v>
      </c>
      <c r="N219" t="s">
        <v>584</v>
      </c>
    </row>
    <row r="220" spans="1:14" x14ac:dyDescent="0.25">
      <c r="A220">
        <v>8530246</v>
      </c>
      <c r="B220" t="s">
        <v>585</v>
      </c>
      <c r="C220" t="s">
        <v>111</v>
      </c>
      <c r="D220" t="s">
        <v>112</v>
      </c>
      <c r="E220" t="s">
        <v>87</v>
      </c>
      <c r="F220" t="s">
        <v>485</v>
      </c>
      <c r="G220">
        <v>5402</v>
      </c>
      <c r="H220" t="s">
        <v>485</v>
      </c>
      <c r="I220" t="s">
        <v>113</v>
      </c>
      <c r="K220">
        <v>2568476.821</v>
      </c>
      <c r="L220">
        <v>1122855.8559999999</v>
      </c>
      <c r="M220">
        <v>471.7</v>
      </c>
      <c r="N220" t="s">
        <v>586</v>
      </c>
    </row>
    <row r="221" spans="1:14" x14ac:dyDescent="0.25">
      <c r="A221">
        <v>8530523</v>
      </c>
      <c r="B221" t="s">
        <v>587</v>
      </c>
      <c r="C221" t="s">
        <v>111</v>
      </c>
      <c r="D221" t="s">
        <v>112</v>
      </c>
      <c r="E221" t="s">
        <v>87</v>
      </c>
      <c r="F221" t="s">
        <v>485</v>
      </c>
      <c r="G221">
        <v>5402</v>
      </c>
      <c r="H221" t="s">
        <v>485</v>
      </c>
      <c r="I221" t="s">
        <v>113</v>
      </c>
      <c r="K221">
        <v>2566769.1230000001</v>
      </c>
      <c r="L221">
        <v>1122497.0589999999</v>
      </c>
      <c r="M221">
        <v>420.2</v>
      </c>
      <c r="N221" t="s">
        <v>588</v>
      </c>
    </row>
    <row r="222" spans="1:14" x14ac:dyDescent="0.25">
      <c r="A222">
        <v>8511117</v>
      </c>
      <c r="B222" t="s">
        <v>589</v>
      </c>
      <c r="C222" t="s">
        <v>101</v>
      </c>
      <c r="D222" t="s">
        <v>86</v>
      </c>
      <c r="E222" t="s">
        <v>87</v>
      </c>
      <c r="F222" t="s">
        <v>485</v>
      </c>
      <c r="G222">
        <v>5402</v>
      </c>
      <c r="H222" t="s">
        <v>516</v>
      </c>
      <c r="I222" t="s">
        <v>103</v>
      </c>
      <c r="K222">
        <v>2569829</v>
      </c>
      <c r="L222">
        <v>1124481</v>
      </c>
      <c r="M222">
        <v>954</v>
      </c>
      <c r="N222" t="s">
        <v>590</v>
      </c>
    </row>
    <row r="223" spans="1:14" x14ac:dyDescent="0.25">
      <c r="A223">
        <v>8530066</v>
      </c>
      <c r="B223" t="s">
        <v>591</v>
      </c>
      <c r="C223" t="s">
        <v>111</v>
      </c>
      <c r="D223" t="s">
        <v>112</v>
      </c>
      <c r="E223" t="s">
        <v>87</v>
      </c>
      <c r="F223" t="s">
        <v>485</v>
      </c>
      <c r="G223">
        <v>5402</v>
      </c>
      <c r="H223" t="s">
        <v>485</v>
      </c>
      <c r="I223" t="s">
        <v>113</v>
      </c>
      <c r="K223">
        <v>2567964.1269999999</v>
      </c>
      <c r="L223">
        <v>1122439.4580000001</v>
      </c>
      <c r="M223">
        <v>439.6</v>
      </c>
      <c r="N223" t="s">
        <v>592</v>
      </c>
    </row>
    <row r="224" spans="1:14" x14ac:dyDescent="0.25">
      <c r="A224">
        <v>8504691</v>
      </c>
      <c r="B224" t="s">
        <v>593</v>
      </c>
      <c r="C224" t="s">
        <v>101</v>
      </c>
      <c r="D224" t="s">
        <v>86</v>
      </c>
      <c r="E224" t="s">
        <v>87</v>
      </c>
      <c r="F224" t="s">
        <v>485</v>
      </c>
      <c r="G224">
        <v>5402</v>
      </c>
      <c r="H224" t="s">
        <v>594</v>
      </c>
      <c r="I224" t="s">
        <v>103</v>
      </c>
      <c r="K224">
        <v>2571572</v>
      </c>
      <c r="L224">
        <v>1123242</v>
      </c>
      <c r="M224">
        <v>868</v>
      </c>
      <c r="N224" t="s">
        <v>595</v>
      </c>
    </row>
    <row r="225" spans="1:14" x14ac:dyDescent="0.25">
      <c r="A225">
        <v>8570647</v>
      </c>
      <c r="B225" t="s">
        <v>596</v>
      </c>
      <c r="C225" t="s">
        <v>101</v>
      </c>
      <c r="D225" t="s">
        <v>86</v>
      </c>
      <c r="E225" t="s">
        <v>87</v>
      </c>
      <c r="F225" t="s">
        <v>485</v>
      </c>
      <c r="G225">
        <v>5402</v>
      </c>
      <c r="H225" t="s">
        <v>485</v>
      </c>
      <c r="I225" t="s">
        <v>103</v>
      </c>
      <c r="K225">
        <v>2569035</v>
      </c>
      <c r="L225">
        <v>1123755</v>
      </c>
      <c r="M225">
        <v>595</v>
      </c>
      <c r="N225" t="s">
        <v>597</v>
      </c>
    </row>
    <row r="226" spans="1:14" x14ac:dyDescent="0.25">
      <c r="A226">
        <v>8570648</v>
      </c>
      <c r="B226" t="s">
        <v>598</v>
      </c>
      <c r="C226" t="s">
        <v>101</v>
      </c>
      <c r="D226" t="s">
        <v>86</v>
      </c>
      <c r="E226" t="s">
        <v>87</v>
      </c>
      <c r="F226" t="s">
        <v>485</v>
      </c>
      <c r="G226">
        <v>5402</v>
      </c>
      <c r="H226" t="s">
        <v>594</v>
      </c>
      <c r="I226" t="s">
        <v>103</v>
      </c>
      <c r="K226">
        <v>2570701</v>
      </c>
      <c r="L226">
        <v>1123688</v>
      </c>
      <c r="M226">
        <v>768</v>
      </c>
      <c r="N226" t="s">
        <v>599</v>
      </c>
    </row>
    <row r="227" spans="1:14" x14ac:dyDescent="0.25">
      <c r="A227">
        <v>8512359</v>
      </c>
      <c r="B227" t="s">
        <v>600</v>
      </c>
      <c r="C227" t="s">
        <v>101</v>
      </c>
      <c r="D227" t="s">
        <v>86</v>
      </c>
      <c r="E227" t="s">
        <v>87</v>
      </c>
      <c r="F227" t="s">
        <v>485</v>
      </c>
      <c r="G227">
        <v>5402</v>
      </c>
      <c r="H227" t="s">
        <v>485</v>
      </c>
      <c r="I227" t="s">
        <v>103</v>
      </c>
      <c r="K227">
        <v>2568300.1600899999</v>
      </c>
      <c r="L227">
        <v>1121854.70823</v>
      </c>
      <c r="M227">
        <v>448.1</v>
      </c>
      <c r="N227" t="s">
        <v>601</v>
      </c>
    </row>
    <row r="228" spans="1:14" x14ac:dyDescent="0.25">
      <c r="A228">
        <v>8593772</v>
      </c>
      <c r="B228" t="s">
        <v>602</v>
      </c>
      <c r="C228" t="s">
        <v>111</v>
      </c>
      <c r="D228" t="s">
        <v>112</v>
      </c>
      <c r="E228" t="s">
        <v>87</v>
      </c>
      <c r="F228" t="s">
        <v>485</v>
      </c>
      <c r="G228">
        <v>5402</v>
      </c>
      <c r="H228" t="s">
        <v>490</v>
      </c>
      <c r="I228" t="s">
        <v>113</v>
      </c>
      <c r="K228">
        <v>2570188.12</v>
      </c>
      <c r="L228">
        <v>1124764.7790000001</v>
      </c>
      <c r="M228">
        <v>1093.7</v>
      </c>
      <c r="N228" t="s">
        <v>603</v>
      </c>
    </row>
    <row r="229" spans="1:14" x14ac:dyDescent="0.25">
      <c r="A229">
        <v>8501490</v>
      </c>
      <c r="B229" t="s">
        <v>604</v>
      </c>
      <c r="C229" t="s">
        <v>111</v>
      </c>
      <c r="D229" t="s">
        <v>112</v>
      </c>
      <c r="E229" t="s">
        <v>87</v>
      </c>
      <c r="F229" t="s">
        <v>485</v>
      </c>
      <c r="G229">
        <v>5402</v>
      </c>
      <c r="H229" t="s">
        <v>516</v>
      </c>
      <c r="I229" t="s">
        <v>113</v>
      </c>
      <c r="K229">
        <v>2570488.551</v>
      </c>
      <c r="L229">
        <v>1124091.855</v>
      </c>
      <c r="M229">
        <v>808.7</v>
      </c>
      <c r="N229" t="s">
        <v>605</v>
      </c>
    </row>
    <row r="230" spans="1:14" x14ac:dyDescent="0.25">
      <c r="A230">
        <v>8501709</v>
      </c>
      <c r="B230" t="s">
        <v>606</v>
      </c>
      <c r="C230" t="s">
        <v>101</v>
      </c>
      <c r="D230" t="s">
        <v>86</v>
      </c>
      <c r="E230" t="s">
        <v>87</v>
      </c>
      <c r="F230" t="s">
        <v>485</v>
      </c>
      <c r="G230">
        <v>5402</v>
      </c>
      <c r="H230" t="s">
        <v>490</v>
      </c>
      <c r="I230" t="s">
        <v>103</v>
      </c>
      <c r="J230" t="s">
        <v>491</v>
      </c>
      <c r="K230">
        <v>2575676</v>
      </c>
      <c r="L230">
        <v>1126001</v>
      </c>
      <c r="M230">
        <v>1366</v>
      </c>
      <c r="N230" t="s">
        <v>607</v>
      </c>
    </row>
    <row r="231" spans="1:14" x14ac:dyDescent="0.25">
      <c r="A231">
        <v>8501488</v>
      </c>
      <c r="B231" t="s">
        <v>608</v>
      </c>
      <c r="C231" t="s">
        <v>111</v>
      </c>
      <c r="D231" t="s">
        <v>112</v>
      </c>
      <c r="E231" t="s">
        <v>87</v>
      </c>
      <c r="F231" t="s">
        <v>485</v>
      </c>
      <c r="G231">
        <v>5402</v>
      </c>
      <c r="H231" t="s">
        <v>485</v>
      </c>
      <c r="I231" t="s">
        <v>113</v>
      </c>
      <c r="K231">
        <v>2568558.5219999999</v>
      </c>
      <c r="L231">
        <v>1123144.463</v>
      </c>
      <c r="M231">
        <v>482.7</v>
      </c>
      <c r="N231" t="s">
        <v>609</v>
      </c>
    </row>
    <row r="232" spans="1:14" x14ac:dyDescent="0.25">
      <c r="A232">
        <v>8570646</v>
      </c>
      <c r="B232" t="s">
        <v>610</v>
      </c>
      <c r="C232" t="s">
        <v>101</v>
      </c>
      <c r="D232" t="s">
        <v>86</v>
      </c>
      <c r="E232" t="s">
        <v>87</v>
      </c>
      <c r="F232" t="s">
        <v>485</v>
      </c>
      <c r="G232">
        <v>5402</v>
      </c>
      <c r="H232" t="s">
        <v>485</v>
      </c>
      <c r="I232" t="s">
        <v>103</v>
      </c>
      <c r="K232">
        <v>2568575</v>
      </c>
      <c r="L232">
        <v>1123097</v>
      </c>
      <c r="M232">
        <v>484</v>
      </c>
      <c r="N232" t="s">
        <v>611</v>
      </c>
    </row>
    <row r="233" spans="1:14" x14ac:dyDescent="0.25">
      <c r="A233">
        <v>8501778</v>
      </c>
      <c r="B233" t="s">
        <v>612</v>
      </c>
      <c r="C233" t="s">
        <v>101</v>
      </c>
      <c r="D233" t="s">
        <v>86</v>
      </c>
      <c r="E233" t="s">
        <v>87</v>
      </c>
      <c r="F233" t="s">
        <v>485</v>
      </c>
      <c r="G233">
        <v>5402</v>
      </c>
      <c r="H233" t="s">
        <v>527</v>
      </c>
      <c r="I233" t="s">
        <v>103</v>
      </c>
      <c r="J233" t="s">
        <v>613</v>
      </c>
      <c r="K233">
        <v>2573346</v>
      </c>
      <c r="L233">
        <v>1122890</v>
      </c>
      <c r="M233">
        <v>1086</v>
      </c>
      <c r="N233" t="s">
        <v>614</v>
      </c>
    </row>
    <row r="234" spans="1:14" x14ac:dyDescent="0.25">
      <c r="A234">
        <v>8570637</v>
      </c>
      <c r="B234" t="s">
        <v>615</v>
      </c>
      <c r="C234" t="s">
        <v>101</v>
      </c>
      <c r="D234" t="s">
        <v>86</v>
      </c>
      <c r="E234" t="s">
        <v>87</v>
      </c>
      <c r="F234" t="s">
        <v>485</v>
      </c>
      <c r="G234">
        <v>5402</v>
      </c>
      <c r="H234" t="s">
        <v>485</v>
      </c>
      <c r="I234" t="s">
        <v>103</v>
      </c>
      <c r="K234">
        <v>2566250</v>
      </c>
      <c r="L234">
        <v>1122300</v>
      </c>
      <c r="M234">
        <v>417</v>
      </c>
      <c r="N234" t="s">
        <v>616</v>
      </c>
    </row>
    <row r="235" spans="1:14" x14ac:dyDescent="0.25">
      <c r="A235">
        <v>8570649</v>
      </c>
      <c r="B235" t="s">
        <v>617</v>
      </c>
      <c r="C235" t="s">
        <v>101</v>
      </c>
      <c r="D235" t="s">
        <v>86</v>
      </c>
      <c r="E235" t="s">
        <v>87</v>
      </c>
      <c r="F235" t="s">
        <v>485</v>
      </c>
      <c r="G235">
        <v>5402</v>
      </c>
      <c r="H235" t="s">
        <v>527</v>
      </c>
      <c r="I235" t="s">
        <v>103</v>
      </c>
      <c r="K235">
        <v>2573118</v>
      </c>
      <c r="L235">
        <v>1122752</v>
      </c>
      <c r="M235">
        <v>1070</v>
      </c>
      <c r="N235" t="s">
        <v>618</v>
      </c>
    </row>
    <row r="236" spans="1:14" x14ac:dyDescent="0.25">
      <c r="A236">
        <v>8570643</v>
      </c>
      <c r="B236" t="s">
        <v>619</v>
      </c>
      <c r="C236" t="s">
        <v>101</v>
      </c>
      <c r="D236" t="s">
        <v>86</v>
      </c>
      <c r="E236" t="s">
        <v>87</v>
      </c>
      <c r="F236" t="s">
        <v>485</v>
      </c>
      <c r="G236">
        <v>5402</v>
      </c>
      <c r="H236" t="s">
        <v>485</v>
      </c>
      <c r="I236" t="s">
        <v>103</v>
      </c>
      <c r="K236">
        <v>2568237</v>
      </c>
      <c r="L236">
        <v>1123845</v>
      </c>
      <c r="M236">
        <v>511</v>
      </c>
      <c r="N236" t="s">
        <v>620</v>
      </c>
    </row>
    <row r="237" spans="1:14" x14ac:dyDescent="0.25">
      <c r="A237">
        <v>8519320</v>
      </c>
      <c r="B237" t="s">
        <v>621</v>
      </c>
      <c r="C237" t="s">
        <v>353</v>
      </c>
      <c r="E237" t="s">
        <v>87</v>
      </c>
      <c r="F237" t="s">
        <v>622</v>
      </c>
      <c r="G237">
        <v>5425</v>
      </c>
      <c r="H237" t="s">
        <v>622</v>
      </c>
      <c r="I237" t="s">
        <v>354</v>
      </c>
      <c r="J237" t="s">
        <v>130</v>
      </c>
      <c r="K237">
        <v>2516635</v>
      </c>
      <c r="L237">
        <v>1155082</v>
      </c>
      <c r="M237">
        <v>697</v>
      </c>
      <c r="N237" t="s">
        <v>623</v>
      </c>
    </row>
    <row r="238" spans="1:14" x14ac:dyDescent="0.25">
      <c r="A238">
        <v>8501192</v>
      </c>
      <c r="B238" t="s">
        <v>624</v>
      </c>
      <c r="C238" t="s">
        <v>353</v>
      </c>
      <c r="E238" t="s">
        <v>87</v>
      </c>
      <c r="F238" t="s">
        <v>622</v>
      </c>
      <c r="G238">
        <v>5425</v>
      </c>
      <c r="H238" t="s">
        <v>622</v>
      </c>
      <c r="I238" t="s">
        <v>354</v>
      </c>
      <c r="J238" t="s">
        <v>625</v>
      </c>
      <c r="K238">
        <v>2516627.8149999999</v>
      </c>
      <c r="L238">
        <v>1153604.5900000001</v>
      </c>
      <c r="M238">
        <v>669.1</v>
      </c>
      <c r="N238" t="s">
        <v>626</v>
      </c>
    </row>
    <row r="239" spans="1:14" x14ac:dyDescent="0.25">
      <c r="A239">
        <v>8570119</v>
      </c>
      <c r="B239" t="s">
        <v>627</v>
      </c>
      <c r="C239" t="s">
        <v>85</v>
      </c>
      <c r="D239" t="s">
        <v>86</v>
      </c>
      <c r="E239" t="s">
        <v>87</v>
      </c>
      <c r="F239" t="s">
        <v>622</v>
      </c>
      <c r="G239">
        <v>5425</v>
      </c>
      <c r="H239" t="s">
        <v>622</v>
      </c>
      <c r="I239" t="s">
        <v>89</v>
      </c>
      <c r="K239">
        <v>2515500</v>
      </c>
      <c r="L239">
        <v>1154625</v>
      </c>
      <c r="M239">
        <v>692</v>
      </c>
      <c r="N239" t="s">
        <v>628</v>
      </c>
    </row>
    <row r="240" spans="1:14" x14ac:dyDescent="0.25">
      <c r="A240">
        <v>8501096</v>
      </c>
      <c r="B240" t="s">
        <v>622</v>
      </c>
      <c r="C240" t="s">
        <v>353</v>
      </c>
      <c r="D240" t="s">
        <v>112</v>
      </c>
      <c r="E240" t="s">
        <v>87</v>
      </c>
      <c r="F240" t="s">
        <v>622</v>
      </c>
      <c r="G240">
        <v>5425</v>
      </c>
      <c r="H240" t="s">
        <v>622</v>
      </c>
      <c r="I240" t="s">
        <v>354</v>
      </c>
      <c r="K240">
        <v>2515486.3769999999</v>
      </c>
      <c r="L240">
        <v>1154611.115</v>
      </c>
      <c r="M240">
        <v>691.7</v>
      </c>
      <c r="N240" t="s">
        <v>629</v>
      </c>
    </row>
    <row r="241" spans="1:14" x14ac:dyDescent="0.25">
      <c r="A241">
        <v>8595652</v>
      </c>
      <c r="B241" t="s">
        <v>630</v>
      </c>
      <c r="C241" t="s">
        <v>85</v>
      </c>
      <c r="D241" t="s">
        <v>86</v>
      </c>
      <c r="E241" t="s">
        <v>87</v>
      </c>
      <c r="F241" t="s">
        <v>622</v>
      </c>
      <c r="G241">
        <v>5425</v>
      </c>
      <c r="H241" t="s">
        <v>622</v>
      </c>
      <c r="I241" t="s">
        <v>89</v>
      </c>
      <c r="J241" t="s">
        <v>631</v>
      </c>
      <c r="K241">
        <v>2515676</v>
      </c>
      <c r="L241">
        <v>1154492</v>
      </c>
      <c r="M241">
        <v>686</v>
      </c>
      <c r="N241" t="s">
        <v>632</v>
      </c>
    </row>
    <row r="242" spans="1:14" x14ac:dyDescent="0.25">
      <c r="A242">
        <v>8507654</v>
      </c>
      <c r="B242" t="s">
        <v>633</v>
      </c>
      <c r="C242" t="s">
        <v>94</v>
      </c>
      <c r="D242" t="s">
        <v>86</v>
      </c>
      <c r="E242" t="s">
        <v>87</v>
      </c>
      <c r="F242" t="s">
        <v>634</v>
      </c>
      <c r="G242">
        <v>5903</v>
      </c>
      <c r="H242" t="s">
        <v>634</v>
      </c>
      <c r="I242" t="s">
        <v>96</v>
      </c>
      <c r="K242">
        <v>2544347</v>
      </c>
      <c r="L242">
        <v>1175203</v>
      </c>
      <c r="M242">
        <v>573</v>
      </c>
      <c r="N242" t="s">
        <v>635</v>
      </c>
    </row>
    <row r="243" spans="1:14" x14ac:dyDescent="0.25">
      <c r="A243">
        <v>8570398</v>
      </c>
      <c r="B243" t="s">
        <v>636</v>
      </c>
      <c r="C243" t="s">
        <v>94</v>
      </c>
      <c r="D243" t="s">
        <v>86</v>
      </c>
      <c r="E243" t="s">
        <v>87</v>
      </c>
      <c r="F243" t="s">
        <v>634</v>
      </c>
      <c r="G243">
        <v>5903</v>
      </c>
      <c r="H243" t="s">
        <v>634</v>
      </c>
      <c r="I243" t="s">
        <v>96</v>
      </c>
      <c r="K243">
        <v>2544438</v>
      </c>
      <c r="L243">
        <v>1174220</v>
      </c>
      <c r="M243">
        <v>578</v>
      </c>
      <c r="N243" t="s">
        <v>637</v>
      </c>
    </row>
    <row r="244" spans="1:14" x14ac:dyDescent="0.25">
      <c r="A244">
        <v>8501261</v>
      </c>
      <c r="B244" t="s">
        <v>638</v>
      </c>
      <c r="C244" t="s">
        <v>639</v>
      </c>
      <c r="E244" t="s">
        <v>87</v>
      </c>
      <c r="F244" t="s">
        <v>640</v>
      </c>
      <c r="G244">
        <v>5892</v>
      </c>
      <c r="H244" t="s">
        <v>641</v>
      </c>
      <c r="I244" t="s">
        <v>642</v>
      </c>
      <c r="K244">
        <v>2555163.2969999998</v>
      </c>
      <c r="L244">
        <v>1146437.7339999999</v>
      </c>
      <c r="M244">
        <v>460</v>
      </c>
      <c r="N244" t="s">
        <v>643</v>
      </c>
    </row>
    <row r="245" spans="1:14" x14ac:dyDescent="0.25">
      <c r="A245">
        <v>8501265</v>
      </c>
      <c r="B245" t="s">
        <v>644</v>
      </c>
      <c r="C245" t="s">
        <v>639</v>
      </c>
      <c r="D245" t="s">
        <v>112</v>
      </c>
      <c r="E245" t="s">
        <v>87</v>
      </c>
      <c r="F245" t="s">
        <v>640</v>
      </c>
      <c r="G245">
        <v>5892</v>
      </c>
      <c r="H245" t="s">
        <v>641</v>
      </c>
      <c r="I245" t="s">
        <v>642</v>
      </c>
      <c r="K245">
        <v>2557255.4279999998</v>
      </c>
      <c r="L245">
        <v>1146617.0390000001</v>
      </c>
      <c r="M245">
        <v>576</v>
      </c>
      <c r="N245" t="s">
        <v>645</v>
      </c>
    </row>
    <row r="246" spans="1:14" x14ac:dyDescent="0.25">
      <c r="A246">
        <v>8501287</v>
      </c>
      <c r="B246" t="s">
        <v>646</v>
      </c>
      <c r="C246" t="s">
        <v>639</v>
      </c>
      <c r="D246" t="s">
        <v>112</v>
      </c>
      <c r="E246" t="s">
        <v>87</v>
      </c>
      <c r="F246" t="s">
        <v>640</v>
      </c>
      <c r="G246">
        <v>5892</v>
      </c>
      <c r="H246" t="s">
        <v>647</v>
      </c>
      <c r="I246" t="s">
        <v>642</v>
      </c>
      <c r="K246">
        <v>2559712.798</v>
      </c>
      <c r="L246">
        <v>1147678.395</v>
      </c>
      <c r="M246">
        <v>1231.5999999999999</v>
      </c>
      <c r="N246" t="s">
        <v>648</v>
      </c>
    </row>
    <row r="247" spans="1:14" x14ac:dyDescent="0.25">
      <c r="A247">
        <v>8507282</v>
      </c>
      <c r="B247" t="s">
        <v>649</v>
      </c>
      <c r="C247" t="s">
        <v>650</v>
      </c>
      <c r="D247" t="s">
        <v>86</v>
      </c>
      <c r="E247" t="s">
        <v>87</v>
      </c>
      <c r="F247" t="s">
        <v>640</v>
      </c>
      <c r="G247">
        <v>5892</v>
      </c>
      <c r="H247" t="s">
        <v>641</v>
      </c>
      <c r="I247" t="s">
        <v>651</v>
      </c>
      <c r="J247" t="s">
        <v>652</v>
      </c>
      <c r="K247">
        <v>2556474</v>
      </c>
      <c r="L247">
        <v>1146779</v>
      </c>
      <c r="M247">
        <v>534</v>
      </c>
      <c r="N247" t="s">
        <v>653</v>
      </c>
    </row>
    <row r="248" spans="1:14" x14ac:dyDescent="0.25">
      <c r="A248">
        <v>8587596</v>
      </c>
      <c r="B248" t="s">
        <v>654</v>
      </c>
      <c r="C248" t="s">
        <v>639</v>
      </c>
      <c r="D248" t="s">
        <v>112</v>
      </c>
      <c r="E248" t="s">
        <v>87</v>
      </c>
      <c r="F248" t="s">
        <v>640</v>
      </c>
      <c r="G248">
        <v>5892</v>
      </c>
      <c r="H248" t="s">
        <v>647</v>
      </c>
      <c r="I248" t="s">
        <v>642</v>
      </c>
      <c r="J248" t="s">
        <v>304</v>
      </c>
      <c r="K248">
        <v>2559124.3450000002</v>
      </c>
      <c r="L248">
        <v>1145730.2609999999</v>
      </c>
      <c r="M248">
        <v>664.9</v>
      </c>
      <c r="N248" t="s">
        <v>655</v>
      </c>
    </row>
    <row r="249" spans="1:14" x14ac:dyDescent="0.25">
      <c r="A249">
        <v>8511611</v>
      </c>
      <c r="B249" t="s">
        <v>656</v>
      </c>
      <c r="C249" t="s">
        <v>639</v>
      </c>
      <c r="D249" t="s">
        <v>86</v>
      </c>
      <c r="E249" t="s">
        <v>87</v>
      </c>
      <c r="F249" t="s">
        <v>640</v>
      </c>
      <c r="G249">
        <v>5892</v>
      </c>
      <c r="H249" t="s">
        <v>641</v>
      </c>
      <c r="I249" t="s">
        <v>642</v>
      </c>
      <c r="K249">
        <v>2556456</v>
      </c>
      <c r="L249">
        <v>1146905</v>
      </c>
      <c r="M249">
        <v>546.9</v>
      </c>
      <c r="N249" t="s">
        <v>657</v>
      </c>
    </row>
    <row r="250" spans="1:14" x14ac:dyDescent="0.25">
      <c r="A250">
        <v>8511643</v>
      </c>
      <c r="B250" t="s">
        <v>658</v>
      </c>
      <c r="C250" t="s">
        <v>639</v>
      </c>
      <c r="D250" t="s">
        <v>86</v>
      </c>
      <c r="E250" t="s">
        <v>87</v>
      </c>
      <c r="F250" t="s">
        <v>640</v>
      </c>
      <c r="G250">
        <v>5892</v>
      </c>
      <c r="H250" t="s">
        <v>647</v>
      </c>
      <c r="I250" t="s">
        <v>642</v>
      </c>
      <c r="K250">
        <v>2558020</v>
      </c>
      <c r="L250">
        <v>1146438</v>
      </c>
      <c r="M250">
        <v>614.4</v>
      </c>
      <c r="N250" t="s">
        <v>659</v>
      </c>
    </row>
    <row r="251" spans="1:14" x14ac:dyDescent="0.25">
      <c r="A251">
        <v>8595969</v>
      </c>
      <c r="B251" t="s">
        <v>660</v>
      </c>
      <c r="C251" t="s">
        <v>650</v>
      </c>
      <c r="D251" t="s">
        <v>86</v>
      </c>
      <c r="E251" t="s">
        <v>87</v>
      </c>
      <c r="F251" t="s">
        <v>640</v>
      </c>
      <c r="G251">
        <v>5892</v>
      </c>
      <c r="H251" t="s">
        <v>641</v>
      </c>
      <c r="I251" t="s">
        <v>651</v>
      </c>
      <c r="K251">
        <v>2557123.81531</v>
      </c>
      <c r="L251">
        <v>1146758.6850999999</v>
      </c>
      <c r="M251">
        <v>576</v>
      </c>
      <c r="N251" t="s">
        <v>661</v>
      </c>
    </row>
    <row r="252" spans="1:14" x14ac:dyDescent="0.25">
      <c r="A252">
        <v>8595968</v>
      </c>
      <c r="B252" t="s">
        <v>662</v>
      </c>
      <c r="C252" t="s">
        <v>650</v>
      </c>
      <c r="D252" t="s">
        <v>86</v>
      </c>
      <c r="E252" t="s">
        <v>87</v>
      </c>
      <c r="F252" t="s">
        <v>640</v>
      </c>
      <c r="G252">
        <v>5892</v>
      </c>
      <c r="H252" t="s">
        <v>641</v>
      </c>
      <c r="I252" t="s">
        <v>651</v>
      </c>
      <c r="K252">
        <v>2556276</v>
      </c>
      <c r="L252">
        <v>1146979</v>
      </c>
      <c r="M252">
        <v>537</v>
      </c>
      <c r="N252" t="s">
        <v>663</v>
      </c>
    </row>
    <row r="253" spans="1:14" x14ac:dyDescent="0.25">
      <c r="A253">
        <v>8593906</v>
      </c>
      <c r="B253" t="s">
        <v>664</v>
      </c>
      <c r="C253" t="s">
        <v>650</v>
      </c>
      <c r="D253" t="s">
        <v>86</v>
      </c>
      <c r="E253" t="s">
        <v>87</v>
      </c>
      <c r="F253" t="s">
        <v>640</v>
      </c>
      <c r="G253">
        <v>5892</v>
      </c>
      <c r="H253" t="s">
        <v>647</v>
      </c>
      <c r="I253" t="s">
        <v>651</v>
      </c>
      <c r="K253">
        <v>2557859.6506400001</v>
      </c>
      <c r="L253">
        <v>1146015.4411200001</v>
      </c>
      <c r="M253">
        <v>579</v>
      </c>
      <c r="N253" t="s">
        <v>665</v>
      </c>
    </row>
    <row r="254" spans="1:14" x14ac:dyDescent="0.25">
      <c r="A254">
        <v>8593911</v>
      </c>
      <c r="B254" t="s">
        <v>666</v>
      </c>
      <c r="C254" t="s">
        <v>650</v>
      </c>
      <c r="D254" t="s">
        <v>86</v>
      </c>
      <c r="E254" t="s">
        <v>87</v>
      </c>
      <c r="F254" t="s">
        <v>640</v>
      </c>
      <c r="G254">
        <v>5892</v>
      </c>
      <c r="H254" t="s">
        <v>647</v>
      </c>
      <c r="I254" t="s">
        <v>651</v>
      </c>
      <c r="K254">
        <v>2557156</v>
      </c>
      <c r="L254">
        <v>1145915</v>
      </c>
      <c r="M254">
        <v>521</v>
      </c>
      <c r="N254" t="s">
        <v>667</v>
      </c>
    </row>
    <row r="255" spans="1:14" x14ac:dyDescent="0.25">
      <c r="A255">
        <v>8593905</v>
      </c>
      <c r="B255" t="s">
        <v>668</v>
      </c>
      <c r="C255" t="s">
        <v>650</v>
      </c>
      <c r="D255" t="s">
        <v>86</v>
      </c>
      <c r="E255" t="s">
        <v>87</v>
      </c>
      <c r="F255" t="s">
        <v>640</v>
      </c>
      <c r="G255">
        <v>5892</v>
      </c>
      <c r="H255" t="s">
        <v>647</v>
      </c>
      <c r="I255" t="s">
        <v>651</v>
      </c>
      <c r="K255">
        <v>2557618</v>
      </c>
      <c r="L255">
        <v>1145842</v>
      </c>
      <c r="M255">
        <v>538</v>
      </c>
      <c r="N255" t="s">
        <v>669</v>
      </c>
    </row>
    <row r="256" spans="1:14" x14ac:dyDescent="0.25">
      <c r="A256">
        <v>8501266</v>
      </c>
      <c r="B256" t="s">
        <v>670</v>
      </c>
      <c r="C256" t="s">
        <v>639</v>
      </c>
      <c r="D256" t="s">
        <v>112</v>
      </c>
      <c r="E256" t="s">
        <v>87</v>
      </c>
      <c r="F256" t="s">
        <v>640</v>
      </c>
      <c r="G256">
        <v>5892</v>
      </c>
      <c r="H256" t="s">
        <v>647</v>
      </c>
      <c r="I256" t="s">
        <v>642</v>
      </c>
      <c r="K256">
        <v>2557993.409</v>
      </c>
      <c r="L256">
        <v>1146482.882</v>
      </c>
      <c r="M256">
        <v>613.79999999999995</v>
      </c>
      <c r="N256" t="s">
        <v>671</v>
      </c>
    </row>
    <row r="257" spans="1:14" x14ac:dyDescent="0.25">
      <c r="A257">
        <v>8501280</v>
      </c>
      <c r="B257" t="s">
        <v>672</v>
      </c>
      <c r="C257" t="s">
        <v>639</v>
      </c>
      <c r="D257" t="s">
        <v>112</v>
      </c>
      <c r="E257" t="s">
        <v>87</v>
      </c>
      <c r="F257" t="s">
        <v>640</v>
      </c>
      <c r="G257">
        <v>5892</v>
      </c>
      <c r="H257" t="s">
        <v>641</v>
      </c>
      <c r="I257" t="s">
        <v>642</v>
      </c>
      <c r="K257">
        <v>2556472.8190000001</v>
      </c>
      <c r="L257">
        <v>1146736.0460000001</v>
      </c>
      <c r="M257">
        <v>533.1</v>
      </c>
      <c r="N257" t="s">
        <v>673</v>
      </c>
    </row>
    <row r="258" spans="1:14" x14ac:dyDescent="0.25">
      <c r="A258">
        <v>8501283</v>
      </c>
      <c r="B258" t="s">
        <v>674</v>
      </c>
      <c r="C258" t="s">
        <v>639</v>
      </c>
      <c r="D258" t="s">
        <v>112</v>
      </c>
      <c r="E258" t="s">
        <v>87</v>
      </c>
      <c r="F258" t="s">
        <v>640</v>
      </c>
      <c r="G258">
        <v>5892</v>
      </c>
      <c r="H258" t="s">
        <v>647</v>
      </c>
      <c r="I258" t="s">
        <v>642</v>
      </c>
      <c r="K258">
        <v>2558343.2850000001</v>
      </c>
      <c r="L258">
        <v>1147091.871</v>
      </c>
      <c r="M258">
        <v>725.3</v>
      </c>
      <c r="N258" t="s">
        <v>675</v>
      </c>
    </row>
    <row r="259" spans="1:14" x14ac:dyDescent="0.25">
      <c r="A259">
        <v>8501282</v>
      </c>
      <c r="B259" t="s">
        <v>676</v>
      </c>
      <c r="C259" t="s">
        <v>639</v>
      </c>
      <c r="D259" t="s">
        <v>112</v>
      </c>
      <c r="E259" t="s">
        <v>87</v>
      </c>
      <c r="F259" t="s">
        <v>640</v>
      </c>
      <c r="G259">
        <v>5892</v>
      </c>
      <c r="H259" t="s">
        <v>647</v>
      </c>
      <c r="I259" t="s">
        <v>642</v>
      </c>
      <c r="K259">
        <v>2558464.3427800001</v>
      </c>
      <c r="L259">
        <v>1146417.60195</v>
      </c>
      <c r="M259">
        <v>661.4</v>
      </c>
      <c r="N259" t="s">
        <v>677</v>
      </c>
    </row>
    <row r="260" spans="1:14" x14ac:dyDescent="0.25">
      <c r="A260">
        <v>8579213</v>
      </c>
      <c r="B260" t="s">
        <v>678</v>
      </c>
      <c r="C260" t="s">
        <v>650</v>
      </c>
      <c r="D260" t="s">
        <v>86</v>
      </c>
      <c r="E260" t="s">
        <v>87</v>
      </c>
      <c r="F260" t="s">
        <v>640</v>
      </c>
      <c r="G260">
        <v>5892</v>
      </c>
      <c r="H260" t="s">
        <v>647</v>
      </c>
      <c r="I260" t="s">
        <v>651</v>
      </c>
      <c r="K260">
        <v>2558298</v>
      </c>
      <c r="L260">
        <v>1146174</v>
      </c>
      <c r="M260">
        <v>620</v>
      </c>
      <c r="N260" t="s">
        <v>679</v>
      </c>
    </row>
    <row r="261" spans="1:14" x14ac:dyDescent="0.25">
      <c r="A261">
        <v>8512567</v>
      </c>
      <c r="B261" t="s">
        <v>680</v>
      </c>
      <c r="C261" t="s">
        <v>639</v>
      </c>
      <c r="D261" t="s">
        <v>86</v>
      </c>
      <c r="E261" t="s">
        <v>87</v>
      </c>
      <c r="F261" t="s">
        <v>640</v>
      </c>
      <c r="G261">
        <v>5892</v>
      </c>
      <c r="H261" t="s">
        <v>647</v>
      </c>
      <c r="I261" t="s">
        <v>642</v>
      </c>
      <c r="K261">
        <v>2558413.0332399998</v>
      </c>
      <c r="L261">
        <v>1147385.42661</v>
      </c>
      <c r="M261">
        <v>761.9</v>
      </c>
      <c r="N261" t="s">
        <v>681</v>
      </c>
    </row>
    <row r="262" spans="1:14" x14ac:dyDescent="0.25">
      <c r="A262">
        <v>8595114</v>
      </c>
      <c r="B262" t="s">
        <v>682</v>
      </c>
      <c r="C262" t="s">
        <v>650</v>
      </c>
      <c r="D262" t="s">
        <v>86</v>
      </c>
      <c r="E262" t="s">
        <v>87</v>
      </c>
      <c r="F262" t="s">
        <v>640</v>
      </c>
      <c r="G262">
        <v>5892</v>
      </c>
      <c r="H262" t="s">
        <v>641</v>
      </c>
      <c r="I262" t="s">
        <v>651</v>
      </c>
      <c r="K262">
        <v>2556014.0217300002</v>
      </c>
      <c r="L262">
        <v>1147661.4499900001</v>
      </c>
      <c r="M262">
        <v>535</v>
      </c>
      <c r="N262" t="s">
        <v>683</v>
      </c>
    </row>
    <row r="263" spans="1:14" x14ac:dyDescent="0.25">
      <c r="A263">
        <v>8595112</v>
      </c>
      <c r="B263" t="s">
        <v>684</v>
      </c>
      <c r="C263" t="s">
        <v>650</v>
      </c>
      <c r="D263" t="s">
        <v>86</v>
      </c>
      <c r="E263" t="s">
        <v>87</v>
      </c>
      <c r="F263" t="s">
        <v>640</v>
      </c>
      <c r="G263">
        <v>5892</v>
      </c>
      <c r="H263" t="s">
        <v>641</v>
      </c>
      <c r="I263" t="s">
        <v>651</v>
      </c>
      <c r="K263">
        <v>2556052.31</v>
      </c>
      <c r="L263">
        <v>1147416.122</v>
      </c>
      <c r="M263">
        <v>540</v>
      </c>
      <c r="N263" t="s">
        <v>685</v>
      </c>
    </row>
    <row r="264" spans="1:14" x14ac:dyDescent="0.25">
      <c r="A264">
        <v>8595874</v>
      </c>
      <c r="B264" t="s">
        <v>686</v>
      </c>
      <c r="C264" t="s">
        <v>650</v>
      </c>
      <c r="D264" t="s">
        <v>86</v>
      </c>
      <c r="E264" t="s">
        <v>87</v>
      </c>
      <c r="F264" t="s">
        <v>640</v>
      </c>
      <c r="G264">
        <v>5892</v>
      </c>
      <c r="H264" t="s">
        <v>641</v>
      </c>
      <c r="I264" t="s">
        <v>651</v>
      </c>
      <c r="K264">
        <v>2556847.1009999998</v>
      </c>
      <c r="L264">
        <v>1146867.8629999999</v>
      </c>
      <c r="M264">
        <v>564</v>
      </c>
      <c r="N264" t="s">
        <v>687</v>
      </c>
    </row>
    <row r="265" spans="1:14" x14ac:dyDescent="0.25">
      <c r="A265">
        <v>8595111</v>
      </c>
      <c r="B265" t="s">
        <v>688</v>
      </c>
      <c r="C265" t="s">
        <v>650</v>
      </c>
      <c r="D265" t="s">
        <v>86</v>
      </c>
      <c r="E265" t="s">
        <v>87</v>
      </c>
      <c r="F265" t="s">
        <v>640</v>
      </c>
      <c r="G265">
        <v>5892</v>
      </c>
      <c r="H265" t="s">
        <v>641</v>
      </c>
      <c r="I265" t="s">
        <v>651</v>
      </c>
      <c r="K265">
        <v>2556034.24841</v>
      </c>
      <c r="L265">
        <v>1147125.5699700001</v>
      </c>
      <c r="M265">
        <v>514</v>
      </c>
      <c r="N265" t="s">
        <v>689</v>
      </c>
    </row>
    <row r="266" spans="1:14" x14ac:dyDescent="0.25">
      <c r="A266">
        <v>8531441</v>
      </c>
      <c r="B266" t="s">
        <v>690</v>
      </c>
      <c r="C266" t="s">
        <v>691</v>
      </c>
      <c r="D266" t="s">
        <v>692</v>
      </c>
      <c r="E266" t="s">
        <v>87</v>
      </c>
      <c r="F266" t="s">
        <v>640</v>
      </c>
      <c r="G266">
        <v>5892</v>
      </c>
      <c r="H266" t="s">
        <v>641</v>
      </c>
      <c r="I266" t="s">
        <v>693</v>
      </c>
      <c r="J266" t="s">
        <v>694</v>
      </c>
      <c r="K266">
        <v>2559676</v>
      </c>
      <c r="L266">
        <v>1148865</v>
      </c>
      <c r="M266">
        <v>1393</v>
      </c>
      <c r="N266" t="s">
        <v>695</v>
      </c>
    </row>
    <row r="267" spans="1:14" x14ac:dyDescent="0.25">
      <c r="A267">
        <v>8501263</v>
      </c>
      <c r="B267" t="s">
        <v>696</v>
      </c>
      <c r="C267" t="s">
        <v>639</v>
      </c>
      <c r="D267" t="s">
        <v>112</v>
      </c>
      <c r="E267" t="s">
        <v>87</v>
      </c>
      <c r="F267" t="s">
        <v>640</v>
      </c>
      <c r="G267">
        <v>5892</v>
      </c>
      <c r="H267" t="s">
        <v>641</v>
      </c>
      <c r="I267" t="s">
        <v>642</v>
      </c>
      <c r="K267">
        <v>2555961.1549999998</v>
      </c>
      <c r="L267">
        <v>1146510.7660000001</v>
      </c>
      <c r="M267">
        <v>505.1</v>
      </c>
      <c r="N267" t="s">
        <v>697</v>
      </c>
    </row>
    <row r="268" spans="1:14" x14ac:dyDescent="0.25">
      <c r="A268">
        <v>8501288</v>
      </c>
      <c r="B268" t="s">
        <v>698</v>
      </c>
      <c r="C268" t="s">
        <v>639</v>
      </c>
      <c r="D268" t="s">
        <v>112</v>
      </c>
      <c r="E268" t="s">
        <v>87</v>
      </c>
      <c r="F268" t="s">
        <v>640</v>
      </c>
      <c r="G268">
        <v>5892</v>
      </c>
      <c r="H268" t="s">
        <v>647</v>
      </c>
      <c r="I268" t="s">
        <v>642</v>
      </c>
      <c r="K268">
        <v>2559401.83</v>
      </c>
      <c r="L268">
        <v>1148141.834</v>
      </c>
      <c r="M268">
        <v>1347.6</v>
      </c>
      <c r="N268" t="s">
        <v>699</v>
      </c>
    </row>
    <row r="269" spans="1:14" x14ac:dyDescent="0.25">
      <c r="A269">
        <v>8595116</v>
      </c>
      <c r="B269" t="s">
        <v>700</v>
      </c>
      <c r="C269" t="s">
        <v>650</v>
      </c>
      <c r="D269" t="s">
        <v>86</v>
      </c>
      <c r="E269" t="s">
        <v>87</v>
      </c>
      <c r="F269" t="s">
        <v>640</v>
      </c>
      <c r="G269">
        <v>5892</v>
      </c>
      <c r="H269" t="s">
        <v>641</v>
      </c>
      <c r="I269" t="s">
        <v>651</v>
      </c>
      <c r="K269">
        <v>2555416</v>
      </c>
      <c r="L269">
        <v>1147344</v>
      </c>
      <c r="M269">
        <v>490</v>
      </c>
      <c r="N269" t="s">
        <v>701</v>
      </c>
    </row>
    <row r="270" spans="1:14" x14ac:dyDescent="0.25">
      <c r="A270">
        <v>8579210</v>
      </c>
      <c r="B270" t="s">
        <v>702</v>
      </c>
      <c r="C270" t="s">
        <v>650</v>
      </c>
      <c r="D270" t="s">
        <v>86</v>
      </c>
      <c r="E270" t="s">
        <v>87</v>
      </c>
      <c r="F270" t="s">
        <v>640</v>
      </c>
      <c r="G270">
        <v>5892</v>
      </c>
      <c r="H270" t="s">
        <v>647</v>
      </c>
      <c r="I270" t="s">
        <v>651</v>
      </c>
      <c r="K270">
        <v>2558055.7332899999</v>
      </c>
      <c r="L270">
        <v>1145733.4120799999</v>
      </c>
      <c r="M270">
        <v>602</v>
      </c>
      <c r="N270" t="s">
        <v>703</v>
      </c>
    </row>
    <row r="271" spans="1:14" x14ac:dyDescent="0.25">
      <c r="A271">
        <v>8579211</v>
      </c>
      <c r="B271" t="s">
        <v>704</v>
      </c>
      <c r="C271" t="s">
        <v>650</v>
      </c>
      <c r="D271" t="s">
        <v>86</v>
      </c>
      <c r="E271" t="s">
        <v>87</v>
      </c>
      <c r="F271" t="s">
        <v>640</v>
      </c>
      <c r="G271">
        <v>5892</v>
      </c>
      <c r="H271" t="s">
        <v>647</v>
      </c>
      <c r="I271" t="s">
        <v>651</v>
      </c>
      <c r="K271">
        <v>2558166</v>
      </c>
      <c r="L271">
        <v>1146016</v>
      </c>
      <c r="M271">
        <v>614</v>
      </c>
      <c r="N271" t="s">
        <v>705</v>
      </c>
    </row>
    <row r="272" spans="1:14" x14ac:dyDescent="0.25">
      <c r="A272">
        <v>8579209</v>
      </c>
      <c r="B272" t="s">
        <v>706</v>
      </c>
      <c r="C272" t="s">
        <v>650</v>
      </c>
      <c r="D272" t="s">
        <v>86</v>
      </c>
      <c r="E272" t="s">
        <v>87</v>
      </c>
      <c r="F272" t="s">
        <v>640</v>
      </c>
      <c r="G272">
        <v>5892</v>
      </c>
      <c r="H272" t="s">
        <v>647</v>
      </c>
      <c r="I272" t="s">
        <v>651</v>
      </c>
      <c r="K272">
        <v>2558341.807</v>
      </c>
      <c r="L272">
        <v>1145542.203</v>
      </c>
      <c r="M272">
        <v>580</v>
      </c>
      <c r="N272" t="s">
        <v>707</v>
      </c>
    </row>
    <row r="273" spans="1:14" x14ac:dyDescent="0.25">
      <c r="A273">
        <v>8530261</v>
      </c>
      <c r="B273" t="s">
        <v>708</v>
      </c>
      <c r="C273" t="s">
        <v>639</v>
      </c>
      <c r="D273" t="s">
        <v>112</v>
      </c>
      <c r="E273" t="s">
        <v>87</v>
      </c>
      <c r="F273" t="s">
        <v>640</v>
      </c>
      <c r="G273">
        <v>5892</v>
      </c>
      <c r="H273" t="s">
        <v>647</v>
      </c>
      <c r="I273" t="s">
        <v>642</v>
      </c>
      <c r="K273">
        <v>2558748.358</v>
      </c>
      <c r="L273">
        <v>1147025.7120000001</v>
      </c>
      <c r="M273">
        <v>835.8</v>
      </c>
      <c r="N273" t="s">
        <v>709</v>
      </c>
    </row>
    <row r="274" spans="1:14" x14ac:dyDescent="0.25">
      <c r="A274">
        <v>8531440</v>
      </c>
      <c r="B274" t="s">
        <v>710</v>
      </c>
      <c r="C274" t="s">
        <v>691</v>
      </c>
      <c r="D274" t="s">
        <v>692</v>
      </c>
      <c r="E274" t="s">
        <v>87</v>
      </c>
      <c r="F274" t="s">
        <v>640</v>
      </c>
      <c r="G274">
        <v>5892</v>
      </c>
      <c r="H274" t="s">
        <v>647</v>
      </c>
      <c r="I274" t="s">
        <v>693</v>
      </c>
      <c r="J274" t="s">
        <v>711</v>
      </c>
      <c r="K274">
        <v>2560127</v>
      </c>
      <c r="L274">
        <v>1148642</v>
      </c>
      <c r="M274">
        <v>1210</v>
      </c>
      <c r="N274" t="s">
        <v>712</v>
      </c>
    </row>
    <row r="275" spans="1:14" x14ac:dyDescent="0.25">
      <c r="A275">
        <v>8595113</v>
      </c>
      <c r="B275" t="s">
        <v>713</v>
      </c>
      <c r="C275" t="s">
        <v>650</v>
      </c>
      <c r="D275" t="s">
        <v>86</v>
      </c>
      <c r="E275" t="s">
        <v>87</v>
      </c>
      <c r="F275" t="s">
        <v>640</v>
      </c>
      <c r="G275">
        <v>5892</v>
      </c>
      <c r="H275" t="s">
        <v>641</v>
      </c>
      <c r="I275" t="s">
        <v>651</v>
      </c>
      <c r="K275">
        <v>2555602</v>
      </c>
      <c r="L275">
        <v>1147036</v>
      </c>
      <c r="M275">
        <v>488</v>
      </c>
      <c r="N275" t="s">
        <v>714</v>
      </c>
    </row>
    <row r="276" spans="1:14" x14ac:dyDescent="0.25">
      <c r="A276">
        <v>8501262</v>
      </c>
      <c r="B276" t="s">
        <v>715</v>
      </c>
      <c r="C276" t="s">
        <v>639</v>
      </c>
      <c r="D276" t="s">
        <v>112</v>
      </c>
      <c r="E276" t="s">
        <v>87</v>
      </c>
      <c r="F276" t="s">
        <v>640</v>
      </c>
      <c r="G276">
        <v>5892</v>
      </c>
      <c r="H276" t="s">
        <v>641</v>
      </c>
      <c r="I276" t="s">
        <v>642</v>
      </c>
      <c r="K276">
        <v>2555621.3849999998</v>
      </c>
      <c r="L276">
        <v>1146267.5819999999</v>
      </c>
      <c r="M276">
        <v>489.8</v>
      </c>
      <c r="N276" t="s">
        <v>716</v>
      </c>
    </row>
    <row r="277" spans="1:14" x14ac:dyDescent="0.25">
      <c r="A277">
        <v>8501264</v>
      </c>
      <c r="B277" t="s">
        <v>717</v>
      </c>
      <c r="C277" t="s">
        <v>639</v>
      </c>
      <c r="D277" t="s">
        <v>112</v>
      </c>
      <c r="E277" t="s">
        <v>87</v>
      </c>
      <c r="F277" t="s">
        <v>640</v>
      </c>
      <c r="G277">
        <v>5892</v>
      </c>
      <c r="H277" t="s">
        <v>641</v>
      </c>
      <c r="I277" t="s">
        <v>642</v>
      </c>
      <c r="K277">
        <v>2556829.5869999998</v>
      </c>
      <c r="L277">
        <v>1146787.946</v>
      </c>
      <c r="M277">
        <v>553.20000000000005</v>
      </c>
      <c r="N277" t="s">
        <v>718</v>
      </c>
    </row>
    <row r="278" spans="1:14" x14ac:dyDescent="0.25">
      <c r="A278">
        <v>8501281</v>
      </c>
      <c r="B278" t="s">
        <v>647</v>
      </c>
      <c r="C278" t="s">
        <v>639</v>
      </c>
      <c r="D278" t="s">
        <v>112</v>
      </c>
      <c r="E278" t="s">
        <v>87</v>
      </c>
      <c r="F278" t="s">
        <v>640</v>
      </c>
      <c r="G278">
        <v>5892</v>
      </c>
      <c r="H278" t="s">
        <v>647</v>
      </c>
      <c r="I278" t="s">
        <v>642</v>
      </c>
      <c r="K278">
        <v>2558313.1869999999</v>
      </c>
      <c r="L278">
        <v>1146184.949</v>
      </c>
      <c r="M278">
        <v>619.70000000000005</v>
      </c>
      <c r="N278" t="s">
        <v>719</v>
      </c>
    </row>
    <row r="279" spans="1:14" x14ac:dyDescent="0.25">
      <c r="A279">
        <v>8501285</v>
      </c>
      <c r="B279" t="s">
        <v>720</v>
      </c>
      <c r="C279" t="s">
        <v>639</v>
      </c>
      <c r="D279" t="s">
        <v>112</v>
      </c>
      <c r="E279" t="s">
        <v>87</v>
      </c>
      <c r="F279" t="s">
        <v>640</v>
      </c>
      <c r="G279">
        <v>5892</v>
      </c>
      <c r="H279" t="s">
        <v>647</v>
      </c>
      <c r="I279" t="s">
        <v>642</v>
      </c>
      <c r="K279">
        <v>2559214.36</v>
      </c>
      <c r="L279">
        <v>1146655.6780000001</v>
      </c>
      <c r="M279">
        <v>968.3</v>
      </c>
      <c r="N279" t="s">
        <v>721</v>
      </c>
    </row>
    <row r="280" spans="1:14" x14ac:dyDescent="0.25">
      <c r="A280">
        <v>8501284</v>
      </c>
      <c r="B280" t="s">
        <v>722</v>
      </c>
      <c r="C280" t="s">
        <v>639</v>
      </c>
      <c r="D280" t="s">
        <v>112</v>
      </c>
      <c r="E280" t="s">
        <v>87</v>
      </c>
      <c r="F280" t="s">
        <v>640</v>
      </c>
      <c r="G280">
        <v>5892</v>
      </c>
      <c r="H280" t="s">
        <v>647</v>
      </c>
      <c r="I280" t="s">
        <v>642</v>
      </c>
      <c r="K280">
        <v>2558488.2379999999</v>
      </c>
      <c r="L280">
        <v>1147284.301</v>
      </c>
      <c r="M280">
        <v>773.6</v>
      </c>
      <c r="N280" t="s">
        <v>723</v>
      </c>
    </row>
    <row r="281" spans="1:14" x14ac:dyDescent="0.25">
      <c r="A281">
        <v>8501286</v>
      </c>
      <c r="B281" t="s">
        <v>724</v>
      </c>
      <c r="C281" t="s">
        <v>639</v>
      </c>
      <c r="D281" t="s">
        <v>112</v>
      </c>
      <c r="E281" t="s">
        <v>87</v>
      </c>
      <c r="F281" t="s">
        <v>640</v>
      </c>
      <c r="G281">
        <v>5892</v>
      </c>
      <c r="H281" t="s">
        <v>647</v>
      </c>
      <c r="I281" t="s">
        <v>642</v>
      </c>
      <c r="K281">
        <v>2559702.9139999999</v>
      </c>
      <c r="L281">
        <v>1147005.8959999999</v>
      </c>
      <c r="M281">
        <v>1085.9000000000001</v>
      </c>
      <c r="N281" t="s">
        <v>725</v>
      </c>
    </row>
    <row r="282" spans="1:14" x14ac:dyDescent="0.25">
      <c r="A282">
        <v>8511596</v>
      </c>
      <c r="B282" t="s">
        <v>726</v>
      </c>
      <c r="C282" t="s">
        <v>639</v>
      </c>
      <c r="D282" t="s">
        <v>86</v>
      </c>
      <c r="E282" t="s">
        <v>87</v>
      </c>
      <c r="F282" t="s">
        <v>640</v>
      </c>
      <c r="G282">
        <v>5892</v>
      </c>
      <c r="H282" t="s">
        <v>641</v>
      </c>
      <c r="I282" t="s">
        <v>642</v>
      </c>
      <c r="K282">
        <v>2555853</v>
      </c>
      <c r="L282">
        <v>1146525</v>
      </c>
      <c r="M282">
        <v>502.5</v>
      </c>
      <c r="N282" t="s">
        <v>727</v>
      </c>
    </row>
    <row r="283" spans="1:14" x14ac:dyDescent="0.25">
      <c r="A283">
        <v>8595117</v>
      </c>
      <c r="B283" t="s">
        <v>728</v>
      </c>
      <c r="C283" t="s">
        <v>650</v>
      </c>
      <c r="D283" t="s">
        <v>86</v>
      </c>
      <c r="E283" t="s">
        <v>87</v>
      </c>
      <c r="F283" t="s">
        <v>640</v>
      </c>
      <c r="G283">
        <v>5892</v>
      </c>
      <c r="H283" t="s">
        <v>641</v>
      </c>
      <c r="I283" t="s">
        <v>651</v>
      </c>
      <c r="K283">
        <v>2555809.6089400002</v>
      </c>
      <c r="L283">
        <v>1147445.6361799999</v>
      </c>
      <c r="M283">
        <v>519</v>
      </c>
      <c r="N283" t="s">
        <v>729</v>
      </c>
    </row>
    <row r="284" spans="1:14" x14ac:dyDescent="0.25">
      <c r="A284">
        <v>8512566</v>
      </c>
      <c r="B284" t="s">
        <v>730</v>
      </c>
      <c r="C284" t="s">
        <v>639</v>
      </c>
      <c r="D284" t="s">
        <v>86</v>
      </c>
      <c r="E284" t="s">
        <v>87</v>
      </c>
      <c r="F284" t="s">
        <v>640</v>
      </c>
      <c r="G284">
        <v>5892</v>
      </c>
      <c r="H284" t="s">
        <v>647</v>
      </c>
      <c r="I284" t="s">
        <v>642</v>
      </c>
      <c r="K284">
        <v>2558257.74205</v>
      </c>
      <c r="L284">
        <v>1147191.94725</v>
      </c>
      <c r="M284">
        <v>720.7</v>
      </c>
      <c r="N284" t="s">
        <v>731</v>
      </c>
    </row>
    <row r="285" spans="1:14" x14ac:dyDescent="0.25">
      <c r="A285">
        <v>8593910</v>
      </c>
      <c r="B285" t="s">
        <v>732</v>
      </c>
      <c r="C285" t="s">
        <v>650</v>
      </c>
      <c r="D285" t="s">
        <v>86</v>
      </c>
      <c r="E285" t="s">
        <v>87</v>
      </c>
      <c r="F285" t="s">
        <v>640</v>
      </c>
      <c r="G285">
        <v>5892</v>
      </c>
      <c r="H285" t="s">
        <v>647</v>
      </c>
      <c r="I285" t="s">
        <v>651</v>
      </c>
      <c r="K285">
        <v>2557492</v>
      </c>
      <c r="L285">
        <v>1145645</v>
      </c>
      <c r="M285">
        <v>525</v>
      </c>
      <c r="N285" t="s">
        <v>733</v>
      </c>
    </row>
    <row r="286" spans="1:14" x14ac:dyDescent="0.25">
      <c r="A286">
        <v>8593907</v>
      </c>
      <c r="B286" t="s">
        <v>734</v>
      </c>
      <c r="C286" t="s">
        <v>650</v>
      </c>
      <c r="D286" t="s">
        <v>86</v>
      </c>
      <c r="E286" t="s">
        <v>87</v>
      </c>
      <c r="F286" t="s">
        <v>640</v>
      </c>
      <c r="G286">
        <v>5892</v>
      </c>
      <c r="H286" t="s">
        <v>647</v>
      </c>
      <c r="I286" t="s">
        <v>651</v>
      </c>
      <c r="K286">
        <v>2557747.17221</v>
      </c>
      <c r="L286">
        <v>1145819.4962299999</v>
      </c>
      <c r="M286">
        <v>538</v>
      </c>
      <c r="N286" t="s">
        <v>735</v>
      </c>
    </row>
    <row r="287" spans="1:14" x14ac:dyDescent="0.25">
      <c r="A287">
        <v>8570570</v>
      </c>
      <c r="B287" t="s">
        <v>736</v>
      </c>
      <c r="C287" t="s">
        <v>94</v>
      </c>
      <c r="D287" t="s">
        <v>86</v>
      </c>
      <c r="E287" t="s">
        <v>87</v>
      </c>
      <c r="F287" t="s">
        <v>640</v>
      </c>
      <c r="G287">
        <v>5892</v>
      </c>
      <c r="H287" t="s">
        <v>647</v>
      </c>
      <c r="I287" t="s">
        <v>96</v>
      </c>
      <c r="K287">
        <v>2560725</v>
      </c>
      <c r="L287">
        <v>1147875</v>
      </c>
      <c r="M287">
        <v>1044</v>
      </c>
      <c r="N287" t="s">
        <v>737</v>
      </c>
    </row>
    <row r="288" spans="1:14" x14ac:dyDescent="0.25">
      <c r="A288">
        <v>8593908</v>
      </c>
      <c r="B288" t="s">
        <v>738</v>
      </c>
      <c r="C288" t="s">
        <v>650</v>
      </c>
      <c r="D288" t="s">
        <v>86</v>
      </c>
      <c r="E288" t="s">
        <v>87</v>
      </c>
      <c r="F288" t="s">
        <v>640</v>
      </c>
      <c r="G288">
        <v>5892</v>
      </c>
      <c r="H288" t="s">
        <v>647</v>
      </c>
      <c r="I288" t="s">
        <v>651</v>
      </c>
      <c r="K288">
        <v>2557804.56653</v>
      </c>
      <c r="L288">
        <v>1145344.42811</v>
      </c>
      <c r="M288">
        <v>494</v>
      </c>
      <c r="N288" t="s">
        <v>739</v>
      </c>
    </row>
    <row r="289" spans="1:14" x14ac:dyDescent="0.25">
      <c r="A289">
        <v>8583451</v>
      </c>
      <c r="B289" t="s">
        <v>740</v>
      </c>
      <c r="C289" t="s">
        <v>94</v>
      </c>
      <c r="D289" t="s">
        <v>86</v>
      </c>
      <c r="E289" t="s">
        <v>87</v>
      </c>
      <c r="F289" t="s">
        <v>741</v>
      </c>
      <c r="G289">
        <v>5747</v>
      </c>
      <c r="H289" t="s">
        <v>741</v>
      </c>
      <c r="I289" t="s">
        <v>96</v>
      </c>
      <c r="K289">
        <v>2528185</v>
      </c>
      <c r="L289">
        <v>1172930</v>
      </c>
      <c r="M289">
        <v>573</v>
      </c>
      <c r="N289" t="s">
        <v>742</v>
      </c>
    </row>
    <row r="290" spans="1:14" x14ac:dyDescent="0.25">
      <c r="A290">
        <v>8570234</v>
      </c>
      <c r="B290" t="s">
        <v>743</v>
      </c>
      <c r="C290" t="s">
        <v>94</v>
      </c>
      <c r="D290" t="s">
        <v>86</v>
      </c>
      <c r="E290" t="s">
        <v>87</v>
      </c>
      <c r="F290" t="s">
        <v>741</v>
      </c>
      <c r="G290">
        <v>5747</v>
      </c>
      <c r="H290" t="s">
        <v>741</v>
      </c>
      <c r="I290" t="s">
        <v>96</v>
      </c>
      <c r="K290">
        <v>2528104</v>
      </c>
      <c r="L290">
        <v>1173078</v>
      </c>
      <c r="M290">
        <v>577</v>
      </c>
      <c r="N290" t="s">
        <v>744</v>
      </c>
    </row>
    <row r="291" spans="1:14" x14ac:dyDescent="0.25">
      <c r="A291">
        <v>8579316</v>
      </c>
      <c r="B291" t="s">
        <v>745</v>
      </c>
      <c r="C291" t="s">
        <v>206</v>
      </c>
      <c r="D291" t="s">
        <v>86</v>
      </c>
      <c r="E291" t="s">
        <v>87</v>
      </c>
      <c r="F291" t="s">
        <v>745</v>
      </c>
      <c r="G291">
        <v>5705</v>
      </c>
      <c r="H291" t="s">
        <v>745</v>
      </c>
      <c r="I291" t="s">
        <v>208</v>
      </c>
      <c r="K291">
        <v>2501980</v>
      </c>
      <c r="L291">
        <v>1134201</v>
      </c>
      <c r="M291">
        <v>469</v>
      </c>
      <c r="N291" t="s">
        <v>746</v>
      </c>
    </row>
    <row r="292" spans="1:14" x14ac:dyDescent="0.25">
      <c r="A292">
        <v>8504246</v>
      </c>
      <c r="B292" t="s">
        <v>747</v>
      </c>
      <c r="C292" t="s">
        <v>132</v>
      </c>
      <c r="E292" t="s">
        <v>87</v>
      </c>
      <c r="F292" t="s">
        <v>748</v>
      </c>
      <c r="G292">
        <v>5551</v>
      </c>
      <c r="H292" t="s">
        <v>748</v>
      </c>
      <c r="I292" t="s">
        <v>133</v>
      </c>
      <c r="J292" t="s">
        <v>625</v>
      </c>
      <c r="K292">
        <v>2542475</v>
      </c>
      <c r="L292">
        <v>1186943</v>
      </c>
      <c r="M292">
        <v>439</v>
      </c>
      <c r="N292" t="s">
        <v>749</v>
      </c>
    </row>
    <row r="293" spans="1:14" x14ac:dyDescent="0.25">
      <c r="A293">
        <v>8507678</v>
      </c>
      <c r="B293" t="s">
        <v>750</v>
      </c>
      <c r="C293" t="s">
        <v>94</v>
      </c>
      <c r="D293" t="s">
        <v>86</v>
      </c>
      <c r="E293" t="s">
        <v>87</v>
      </c>
      <c r="F293" t="s">
        <v>748</v>
      </c>
      <c r="G293">
        <v>5551</v>
      </c>
      <c r="H293" t="s">
        <v>748</v>
      </c>
      <c r="I293" t="s">
        <v>96</v>
      </c>
      <c r="K293">
        <v>2540870</v>
      </c>
      <c r="L293">
        <v>1187240</v>
      </c>
      <c r="M293">
        <v>454</v>
      </c>
      <c r="N293" t="s">
        <v>751</v>
      </c>
    </row>
    <row r="294" spans="1:14" x14ac:dyDescent="0.25">
      <c r="A294">
        <v>8557045</v>
      </c>
      <c r="B294" t="s">
        <v>752</v>
      </c>
      <c r="C294" t="s">
        <v>94</v>
      </c>
      <c r="D294" t="s">
        <v>86</v>
      </c>
      <c r="E294" t="s">
        <v>87</v>
      </c>
      <c r="F294" t="s">
        <v>748</v>
      </c>
      <c r="G294">
        <v>5551</v>
      </c>
      <c r="H294" t="s">
        <v>748</v>
      </c>
      <c r="I294" t="s">
        <v>96</v>
      </c>
      <c r="K294">
        <v>2542292</v>
      </c>
      <c r="L294">
        <v>1187256</v>
      </c>
      <c r="M294">
        <v>457</v>
      </c>
      <c r="N294" t="s">
        <v>753</v>
      </c>
    </row>
    <row r="295" spans="1:14" x14ac:dyDescent="0.25">
      <c r="A295">
        <v>8507658</v>
      </c>
      <c r="B295" t="s">
        <v>754</v>
      </c>
      <c r="C295" t="s">
        <v>94</v>
      </c>
      <c r="D295" t="s">
        <v>86</v>
      </c>
      <c r="E295" t="s">
        <v>87</v>
      </c>
      <c r="F295" t="s">
        <v>748</v>
      </c>
      <c r="G295">
        <v>5551</v>
      </c>
      <c r="H295" t="s">
        <v>748</v>
      </c>
      <c r="I295" t="s">
        <v>96</v>
      </c>
      <c r="K295">
        <v>2541491</v>
      </c>
      <c r="L295">
        <v>1187795</v>
      </c>
      <c r="M295">
        <v>471</v>
      </c>
      <c r="N295" t="s">
        <v>755</v>
      </c>
    </row>
    <row r="296" spans="1:14" x14ac:dyDescent="0.25">
      <c r="A296">
        <v>8570275</v>
      </c>
      <c r="B296" t="s">
        <v>756</v>
      </c>
      <c r="C296" t="s">
        <v>94</v>
      </c>
      <c r="D296" t="s">
        <v>86</v>
      </c>
      <c r="E296" t="s">
        <v>87</v>
      </c>
      <c r="F296" t="s">
        <v>748</v>
      </c>
      <c r="G296">
        <v>5551</v>
      </c>
      <c r="H296" t="s">
        <v>748</v>
      </c>
      <c r="I296" t="s">
        <v>96</v>
      </c>
      <c r="K296">
        <v>2541190</v>
      </c>
      <c r="L296">
        <v>1187602</v>
      </c>
      <c r="M296">
        <v>471</v>
      </c>
      <c r="N296" t="s">
        <v>757</v>
      </c>
    </row>
    <row r="297" spans="1:14" x14ac:dyDescent="0.25">
      <c r="A297">
        <v>8582968</v>
      </c>
      <c r="B297" t="s">
        <v>758</v>
      </c>
      <c r="C297" t="s">
        <v>94</v>
      </c>
      <c r="D297" t="s">
        <v>86</v>
      </c>
      <c r="E297" t="s">
        <v>87</v>
      </c>
      <c r="F297" t="s">
        <v>748</v>
      </c>
      <c r="G297">
        <v>5551</v>
      </c>
      <c r="H297" t="s">
        <v>748</v>
      </c>
      <c r="I297" t="s">
        <v>96</v>
      </c>
      <c r="K297">
        <v>2541551</v>
      </c>
      <c r="L297">
        <v>1187618</v>
      </c>
      <c r="M297">
        <v>467</v>
      </c>
      <c r="N297" t="s">
        <v>759</v>
      </c>
    </row>
    <row r="298" spans="1:14" x14ac:dyDescent="0.25">
      <c r="A298">
        <v>8579312</v>
      </c>
      <c r="B298" t="s">
        <v>760</v>
      </c>
      <c r="C298" t="s">
        <v>206</v>
      </c>
      <c r="D298" t="s">
        <v>86</v>
      </c>
      <c r="E298" t="s">
        <v>87</v>
      </c>
      <c r="F298" t="s">
        <v>761</v>
      </c>
      <c r="G298">
        <v>5706</v>
      </c>
      <c r="H298" t="s">
        <v>761</v>
      </c>
      <c r="I298" t="s">
        <v>208</v>
      </c>
      <c r="K298">
        <v>2502931.73117</v>
      </c>
      <c r="L298">
        <v>1137136.3706400001</v>
      </c>
      <c r="M298">
        <v>470.8</v>
      </c>
      <c r="N298" t="s">
        <v>762</v>
      </c>
    </row>
    <row r="299" spans="1:14" x14ac:dyDescent="0.25">
      <c r="A299">
        <v>8570178</v>
      </c>
      <c r="B299" t="s">
        <v>763</v>
      </c>
      <c r="C299" t="s">
        <v>94</v>
      </c>
      <c r="D299" t="s">
        <v>86</v>
      </c>
      <c r="E299" t="s">
        <v>87</v>
      </c>
      <c r="F299" t="s">
        <v>764</v>
      </c>
      <c r="G299">
        <v>5514</v>
      </c>
      <c r="H299" t="s">
        <v>764</v>
      </c>
      <c r="I299" t="s">
        <v>96</v>
      </c>
      <c r="K299">
        <v>2540360</v>
      </c>
      <c r="L299">
        <v>1163133</v>
      </c>
      <c r="M299">
        <v>730</v>
      </c>
      <c r="N299" t="s">
        <v>765</v>
      </c>
    </row>
    <row r="300" spans="1:14" x14ac:dyDescent="0.25">
      <c r="A300">
        <v>8570179</v>
      </c>
      <c r="B300" t="s">
        <v>766</v>
      </c>
      <c r="C300" t="s">
        <v>242</v>
      </c>
      <c r="D300" t="s">
        <v>86</v>
      </c>
      <c r="E300" t="s">
        <v>87</v>
      </c>
      <c r="F300" t="s">
        <v>764</v>
      </c>
      <c r="G300">
        <v>5514</v>
      </c>
      <c r="H300" t="s">
        <v>764</v>
      </c>
      <c r="I300" t="s">
        <v>243</v>
      </c>
      <c r="K300">
        <v>2540835</v>
      </c>
      <c r="L300">
        <v>1161982</v>
      </c>
      <c r="M300">
        <v>730</v>
      </c>
      <c r="N300" t="s">
        <v>767</v>
      </c>
    </row>
    <row r="301" spans="1:14" x14ac:dyDescent="0.25">
      <c r="A301">
        <v>8570043</v>
      </c>
      <c r="B301" t="s">
        <v>768</v>
      </c>
      <c r="C301" t="s">
        <v>94</v>
      </c>
      <c r="D301" t="s">
        <v>86</v>
      </c>
      <c r="E301" t="s">
        <v>87</v>
      </c>
      <c r="F301" t="s">
        <v>270</v>
      </c>
      <c r="G301">
        <v>5426</v>
      </c>
      <c r="H301" t="s">
        <v>270</v>
      </c>
      <c r="I301" t="s">
        <v>96</v>
      </c>
      <c r="K301">
        <v>2517141</v>
      </c>
      <c r="L301">
        <v>1148219</v>
      </c>
      <c r="M301">
        <v>545</v>
      </c>
      <c r="N301" t="s">
        <v>769</v>
      </c>
    </row>
    <row r="302" spans="1:14" x14ac:dyDescent="0.25">
      <c r="A302">
        <v>8500734</v>
      </c>
      <c r="B302" t="s">
        <v>770</v>
      </c>
      <c r="C302" t="s">
        <v>94</v>
      </c>
      <c r="D302" t="s">
        <v>86</v>
      </c>
      <c r="E302" t="s">
        <v>87</v>
      </c>
      <c r="F302" t="s">
        <v>270</v>
      </c>
      <c r="G302">
        <v>5426</v>
      </c>
      <c r="H302" t="s">
        <v>270</v>
      </c>
      <c r="I302" t="s">
        <v>96</v>
      </c>
      <c r="K302">
        <v>2516765</v>
      </c>
      <c r="L302">
        <v>1148070</v>
      </c>
      <c r="M302">
        <v>545</v>
      </c>
      <c r="N302" t="s">
        <v>771</v>
      </c>
    </row>
    <row r="303" spans="1:14" x14ac:dyDescent="0.25">
      <c r="A303">
        <v>8570222</v>
      </c>
      <c r="B303" t="s">
        <v>772</v>
      </c>
      <c r="C303" t="s">
        <v>94</v>
      </c>
      <c r="D303" t="s">
        <v>86</v>
      </c>
      <c r="E303" t="s">
        <v>87</v>
      </c>
      <c r="F303" t="s">
        <v>773</v>
      </c>
      <c r="G303">
        <v>5661</v>
      </c>
      <c r="H303" t="s">
        <v>773</v>
      </c>
      <c r="I303" t="s">
        <v>96</v>
      </c>
      <c r="K303">
        <v>2545404</v>
      </c>
      <c r="L303">
        <v>1169827</v>
      </c>
      <c r="M303">
        <v>712</v>
      </c>
      <c r="N303" t="s">
        <v>774</v>
      </c>
    </row>
    <row r="304" spans="1:14" x14ac:dyDescent="0.25">
      <c r="A304">
        <v>8570223</v>
      </c>
      <c r="B304" t="s">
        <v>775</v>
      </c>
      <c r="C304" t="s">
        <v>94</v>
      </c>
      <c r="D304" t="s">
        <v>86</v>
      </c>
      <c r="E304" t="s">
        <v>87</v>
      </c>
      <c r="F304" t="s">
        <v>773</v>
      </c>
      <c r="G304">
        <v>5661</v>
      </c>
      <c r="H304" t="s">
        <v>773</v>
      </c>
      <c r="I304" t="s">
        <v>96</v>
      </c>
      <c r="K304">
        <v>2545005</v>
      </c>
      <c r="L304">
        <v>1170154</v>
      </c>
      <c r="M304">
        <v>719</v>
      </c>
      <c r="N304" t="s">
        <v>776</v>
      </c>
    </row>
    <row r="305" spans="1:14" x14ac:dyDescent="0.25">
      <c r="A305">
        <v>8501317</v>
      </c>
      <c r="B305" t="s">
        <v>777</v>
      </c>
      <c r="C305" t="s">
        <v>778</v>
      </c>
      <c r="D305" t="s">
        <v>302</v>
      </c>
      <c r="E305" t="s">
        <v>87</v>
      </c>
      <c r="F305" t="s">
        <v>36</v>
      </c>
      <c r="G305">
        <v>5613</v>
      </c>
      <c r="H305" t="s">
        <v>779</v>
      </c>
      <c r="I305" t="s">
        <v>780</v>
      </c>
      <c r="K305">
        <v>2545713</v>
      </c>
      <c r="L305">
        <v>1148707</v>
      </c>
      <c r="M305">
        <v>373</v>
      </c>
      <c r="N305" t="s">
        <v>781</v>
      </c>
    </row>
    <row r="306" spans="1:14" x14ac:dyDescent="0.25">
      <c r="A306">
        <v>8509221</v>
      </c>
      <c r="B306" t="s">
        <v>782</v>
      </c>
      <c r="C306" t="s">
        <v>297</v>
      </c>
      <c r="D306" t="s">
        <v>86</v>
      </c>
      <c r="E306" t="s">
        <v>87</v>
      </c>
      <c r="F306" t="s">
        <v>36</v>
      </c>
      <c r="G306">
        <v>5613</v>
      </c>
      <c r="H306" t="s">
        <v>779</v>
      </c>
      <c r="I306" t="s">
        <v>298</v>
      </c>
      <c r="K306">
        <v>2545567.3633400002</v>
      </c>
      <c r="L306">
        <v>1148765.0711300001</v>
      </c>
      <c r="M306">
        <v>379.3</v>
      </c>
      <c r="N306" t="s">
        <v>783</v>
      </c>
    </row>
    <row r="307" spans="1:14" x14ac:dyDescent="0.25">
      <c r="A307">
        <v>8510138</v>
      </c>
      <c r="B307" t="s">
        <v>784</v>
      </c>
      <c r="C307" t="s">
        <v>297</v>
      </c>
      <c r="D307" t="s">
        <v>86</v>
      </c>
      <c r="E307" t="s">
        <v>87</v>
      </c>
      <c r="F307" t="s">
        <v>36</v>
      </c>
      <c r="G307">
        <v>5613</v>
      </c>
      <c r="H307" t="s">
        <v>785</v>
      </c>
      <c r="I307" t="s">
        <v>298</v>
      </c>
      <c r="K307">
        <v>2543852.2106900001</v>
      </c>
      <c r="L307">
        <v>1149596.7915000001</v>
      </c>
      <c r="M307">
        <v>385.3</v>
      </c>
      <c r="N307" t="s">
        <v>786</v>
      </c>
    </row>
    <row r="308" spans="1:14" x14ac:dyDescent="0.25">
      <c r="A308">
        <v>8582777</v>
      </c>
      <c r="B308" t="s">
        <v>787</v>
      </c>
      <c r="C308" t="s">
        <v>94</v>
      </c>
      <c r="D308" t="s">
        <v>86</v>
      </c>
      <c r="E308" t="s">
        <v>87</v>
      </c>
      <c r="F308" t="s">
        <v>36</v>
      </c>
      <c r="G308">
        <v>5613</v>
      </c>
      <c r="H308" t="s">
        <v>788</v>
      </c>
      <c r="I308" t="s">
        <v>96</v>
      </c>
      <c r="K308">
        <v>2545464</v>
      </c>
      <c r="L308">
        <v>1151670</v>
      </c>
      <c r="M308">
        <v>723</v>
      </c>
      <c r="N308" t="s">
        <v>789</v>
      </c>
    </row>
    <row r="309" spans="1:14" x14ac:dyDescent="0.25">
      <c r="A309">
        <v>8588454</v>
      </c>
      <c r="B309" t="s">
        <v>790</v>
      </c>
      <c r="C309" t="s">
        <v>242</v>
      </c>
      <c r="D309" t="s">
        <v>86</v>
      </c>
      <c r="E309" t="s">
        <v>87</v>
      </c>
      <c r="F309" t="s">
        <v>36</v>
      </c>
      <c r="G309">
        <v>5613</v>
      </c>
      <c r="H309" t="s">
        <v>788</v>
      </c>
      <c r="I309" t="s">
        <v>243</v>
      </c>
      <c r="K309">
        <v>2544426.55754</v>
      </c>
      <c r="L309">
        <v>1150424.3895399999</v>
      </c>
      <c r="M309">
        <v>644</v>
      </c>
      <c r="N309" t="s">
        <v>791</v>
      </c>
    </row>
    <row r="310" spans="1:14" x14ac:dyDescent="0.25">
      <c r="A310">
        <v>8588453</v>
      </c>
      <c r="B310" t="s">
        <v>792</v>
      </c>
      <c r="C310" t="s">
        <v>242</v>
      </c>
      <c r="D310" t="s">
        <v>86</v>
      </c>
      <c r="E310" t="s">
        <v>87</v>
      </c>
      <c r="F310" t="s">
        <v>36</v>
      </c>
      <c r="G310">
        <v>5613</v>
      </c>
      <c r="H310" t="s">
        <v>793</v>
      </c>
      <c r="I310" t="s">
        <v>243</v>
      </c>
      <c r="K310">
        <v>2544176.0915700002</v>
      </c>
      <c r="L310">
        <v>1150705.7869500001</v>
      </c>
      <c r="M310">
        <v>638</v>
      </c>
      <c r="N310" t="s">
        <v>794</v>
      </c>
    </row>
    <row r="311" spans="1:14" x14ac:dyDescent="0.25">
      <c r="A311">
        <v>8512258</v>
      </c>
      <c r="B311" t="s">
        <v>795</v>
      </c>
      <c r="C311" t="s">
        <v>94</v>
      </c>
      <c r="D311" t="s">
        <v>86</v>
      </c>
      <c r="E311" t="s">
        <v>87</v>
      </c>
      <c r="F311" t="s">
        <v>36</v>
      </c>
      <c r="G311">
        <v>5613</v>
      </c>
      <c r="H311" t="s">
        <v>788</v>
      </c>
      <c r="I311" t="s">
        <v>96</v>
      </c>
      <c r="K311">
        <v>2545091.7742599999</v>
      </c>
      <c r="L311">
        <v>1151318.9813399999</v>
      </c>
      <c r="M311">
        <v>727.4</v>
      </c>
      <c r="N311" t="s">
        <v>796</v>
      </c>
    </row>
    <row r="312" spans="1:14" x14ac:dyDescent="0.25">
      <c r="A312">
        <v>8504011</v>
      </c>
      <c r="B312" t="s">
        <v>788</v>
      </c>
      <c r="C312" t="s">
        <v>132</v>
      </c>
      <c r="D312" t="s">
        <v>112</v>
      </c>
      <c r="E312" t="s">
        <v>87</v>
      </c>
      <c r="F312" t="s">
        <v>36</v>
      </c>
      <c r="G312">
        <v>5613</v>
      </c>
      <c r="H312" t="s">
        <v>788</v>
      </c>
      <c r="I312" t="s">
        <v>133</v>
      </c>
      <c r="K312">
        <v>2545034.2740000002</v>
      </c>
      <c r="L312">
        <v>1149766.6459999999</v>
      </c>
      <c r="M312">
        <v>565.06500000000005</v>
      </c>
      <c r="N312" t="s">
        <v>797</v>
      </c>
    </row>
    <row r="313" spans="1:14" x14ac:dyDescent="0.25">
      <c r="A313">
        <v>8510137</v>
      </c>
      <c r="B313" t="s">
        <v>798</v>
      </c>
      <c r="C313" t="s">
        <v>297</v>
      </c>
      <c r="D313" t="s">
        <v>86</v>
      </c>
      <c r="E313" t="s">
        <v>87</v>
      </c>
      <c r="F313" t="s">
        <v>36</v>
      </c>
      <c r="G313">
        <v>5613</v>
      </c>
      <c r="H313" t="s">
        <v>779</v>
      </c>
      <c r="I313" t="s">
        <v>298</v>
      </c>
      <c r="K313">
        <v>2546773</v>
      </c>
      <c r="L313">
        <v>1148920</v>
      </c>
      <c r="M313">
        <v>389.8</v>
      </c>
      <c r="N313" t="s">
        <v>799</v>
      </c>
    </row>
    <row r="314" spans="1:14" x14ac:dyDescent="0.25">
      <c r="A314">
        <v>8501297</v>
      </c>
      <c r="B314" t="s">
        <v>800</v>
      </c>
      <c r="C314" t="s">
        <v>94</v>
      </c>
      <c r="D314" t="s">
        <v>86</v>
      </c>
      <c r="E314" t="s">
        <v>87</v>
      </c>
      <c r="F314" t="s">
        <v>36</v>
      </c>
      <c r="G314">
        <v>5613</v>
      </c>
      <c r="H314" t="s">
        <v>801</v>
      </c>
      <c r="I314" t="s">
        <v>96</v>
      </c>
      <c r="K314">
        <v>2546034</v>
      </c>
      <c r="L314">
        <v>1149360</v>
      </c>
      <c r="M314">
        <v>442</v>
      </c>
      <c r="N314" t="s">
        <v>802</v>
      </c>
    </row>
    <row r="315" spans="1:14" x14ac:dyDescent="0.25">
      <c r="A315">
        <v>8510004</v>
      </c>
      <c r="B315" t="s">
        <v>803</v>
      </c>
      <c r="C315" t="s">
        <v>94</v>
      </c>
      <c r="D315" t="s">
        <v>86</v>
      </c>
      <c r="E315" t="s">
        <v>87</v>
      </c>
      <c r="F315" t="s">
        <v>36</v>
      </c>
      <c r="G315">
        <v>5613</v>
      </c>
      <c r="H315" t="s">
        <v>779</v>
      </c>
      <c r="I315" t="s">
        <v>96</v>
      </c>
      <c r="K315">
        <v>2545203</v>
      </c>
      <c r="L315">
        <v>1149048</v>
      </c>
      <c r="M315">
        <v>420</v>
      </c>
      <c r="N315" t="s">
        <v>804</v>
      </c>
    </row>
    <row r="316" spans="1:14" x14ac:dyDescent="0.25">
      <c r="A316">
        <v>8570561</v>
      </c>
      <c r="B316" t="s">
        <v>805</v>
      </c>
      <c r="C316" t="s">
        <v>94</v>
      </c>
      <c r="D316" t="s">
        <v>86</v>
      </c>
      <c r="E316" t="s">
        <v>87</v>
      </c>
      <c r="F316" t="s">
        <v>36</v>
      </c>
      <c r="G316">
        <v>5613</v>
      </c>
      <c r="H316" t="s">
        <v>806</v>
      </c>
      <c r="I316" t="s">
        <v>96</v>
      </c>
      <c r="K316">
        <v>2546858</v>
      </c>
      <c r="L316">
        <v>1149182</v>
      </c>
      <c r="M316">
        <v>456</v>
      </c>
      <c r="N316" t="s">
        <v>807</v>
      </c>
    </row>
    <row r="317" spans="1:14" x14ac:dyDescent="0.25">
      <c r="A317">
        <v>8570560</v>
      </c>
      <c r="B317" t="s">
        <v>808</v>
      </c>
      <c r="C317" t="s">
        <v>94</v>
      </c>
      <c r="D317" t="s">
        <v>86</v>
      </c>
      <c r="E317" t="s">
        <v>87</v>
      </c>
      <c r="F317" t="s">
        <v>36</v>
      </c>
      <c r="G317">
        <v>5613</v>
      </c>
      <c r="H317" t="s">
        <v>806</v>
      </c>
      <c r="I317" t="s">
        <v>96</v>
      </c>
      <c r="K317">
        <v>2546657</v>
      </c>
      <c r="L317">
        <v>1149235</v>
      </c>
      <c r="M317">
        <v>460</v>
      </c>
      <c r="N317" t="s">
        <v>809</v>
      </c>
    </row>
    <row r="318" spans="1:14" x14ac:dyDescent="0.25">
      <c r="A318">
        <v>8582779</v>
      </c>
      <c r="B318" t="s">
        <v>810</v>
      </c>
      <c r="C318" t="s">
        <v>94</v>
      </c>
      <c r="D318" t="s">
        <v>86</v>
      </c>
      <c r="E318" t="s">
        <v>87</v>
      </c>
      <c r="F318" t="s">
        <v>36</v>
      </c>
      <c r="G318">
        <v>5613</v>
      </c>
      <c r="H318" t="s">
        <v>788</v>
      </c>
      <c r="I318" t="s">
        <v>96</v>
      </c>
      <c r="K318">
        <v>2544460</v>
      </c>
      <c r="L318">
        <v>1150639</v>
      </c>
      <c r="M318">
        <v>672</v>
      </c>
      <c r="N318" t="s">
        <v>811</v>
      </c>
    </row>
    <row r="319" spans="1:14" x14ac:dyDescent="0.25">
      <c r="A319">
        <v>8582778</v>
      </c>
      <c r="B319" t="s">
        <v>812</v>
      </c>
      <c r="C319" t="s">
        <v>94</v>
      </c>
      <c r="D319" t="s">
        <v>86</v>
      </c>
      <c r="E319" t="s">
        <v>87</v>
      </c>
      <c r="F319" t="s">
        <v>36</v>
      </c>
      <c r="G319">
        <v>5613</v>
      </c>
      <c r="H319" t="s">
        <v>788</v>
      </c>
      <c r="I319" t="s">
        <v>96</v>
      </c>
      <c r="K319">
        <v>2544668</v>
      </c>
      <c r="L319">
        <v>1151089</v>
      </c>
      <c r="M319">
        <v>708</v>
      </c>
      <c r="N319" t="s">
        <v>813</v>
      </c>
    </row>
    <row r="320" spans="1:14" x14ac:dyDescent="0.25">
      <c r="A320">
        <v>8582780</v>
      </c>
      <c r="B320" t="s">
        <v>814</v>
      </c>
      <c r="C320" t="s">
        <v>94</v>
      </c>
      <c r="D320" t="s">
        <v>86</v>
      </c>
      <c r="E320" t="s">
        <v>87</v>
      </c>
      <c r="F320" t="s">
        <v>36</v>
      </c>
      <c r="G320">
        <v>5613</v>
      </c>
      <c r="H320" t="s">
        <v>788</v>
      </c>
      <c r="I320" t="s">
        <v>96</v>
      </c>
      <c r="K320">
        <v>2545010</v>
      </c>
      <c r="L320">
        <v>1149764</v>
      </c>
      <c r="M320">
        <v>564</v>
      </c>
      <c r="N320" t="s">
        <v>815</v>
      </c>
    </row>
    <row r="321" spans="1:14" x14ac:dyDescent="0.25">
      <c r="A321">
        <v>8582781</v>
      </c>
      <c r="B321" t="s">
        <v>816</v>
      </c>
      <c r="C321" t="s">
        <v>94</v>
      </c>
      <c r="D321" t="s">
        <v>86</v>
      </c>
      <c r="E321" t="s">
        <v>87</v>
      </c>
      <c r="F321" t="s">
        <v>36</v>
      </c>
      <c r="G321">
        <v>5613</v>
      </c>
      <c r="H321" t="s">
        <v>788</v>
      </c>
      <c r="I321" t="s">
        <v>96</v>
      </c>
      <c r="K321">
        <v>2544512</v>
      </c>
      <c r="L321">
        <v>1149539</v>
      </c>
      <c r="M321">
        <v>498</v>
      </c>
      <c r="N321" t="s">
        <v>817</v>
      </c>
    </row>
    <row r="322" spans="1:14" x14ac:dyDescent="0.25">
      <c r="A322">
        <v>8501123</v>
      </c>
      <c r="B322" t="s">
        <v>818</v>
      </c>
      <c r="C322" t="s">
        <v>132</v>
      </c>
      <c r="D322" t="s">
        <v>112</v>
      </c>
      <c r="E322" t="s">
        <v>87</v>
      </c>
      <c r="F322" t="s">
        <v>36</v>
      </c>
      <c r="G322">
        <v>5613</v>
      </c>
      <c r="H322" t="s">
        <v>785</v>
      </c>
      <c r="I322" t="s">
        <v>133</v>
      </c>
      <c r="K322">
        <v>2543860.2447000002</v>
      </c>
      <c r="L322">
        <v>1149608.1373999999</v>
      </c>
      <c r="M322">
        <v>387.48700000000002</v>
      </c>
      <c r="N322" t="s">
        <v>819</v>
      </c>
    </row>
    <row r="323" spans="1:14" x14ac:dyDescent="0.25">
      <c r="A323">
        <v>8595731</v>
      </c>
      <c r="B323" t="s">
        <v>820</v>
      </c>
      <c r="C323" t="s">
        <v>94</v>
      </c>
      <c r="D323" t="s">
        <v>86</v>
      </c>
      <c r="E323" t="s">
        <v>87</v>
      </c>
      <c r="F323" t="s">
        <v>36</v>
      </c>
      <c r="G323">
        <v>5613</v>
      </c>
      <c r="H323" t="s">
        <v>779</v>
      </c>
      <c r="I323" t="s">
        <v>96</v>
      </c>
      <c r="K323">
        <v>2545919</v>
      </c>
      <c r="L323">
        <v>1149393</v>
      </c>
      <c r="M323">
        <v>439</v>
      </c>
      <c r="N323" t="s">
        <v>821</v>
      </c>
    </row>
    <row r="324" spans="1:14" x14ac:dyDescent="0.25">
      <c r="A324">
        <v>8595729</v>
      </c>
      <c r="B324" t="s">
        <v>822</v>
      </c>
      <c r="C324" t="s">
        <v>94</v>
      </c>
      <c r="D324" t="s">
        <v>86</v>
      </c>
      <c r="E324" t="s">
        <v>87</v>
      </c>
      <c r="F324" t="s">
        <v>36</v>
      </c>
      <c r="G324">
        <v>5613</v>
      </c>
      <c r="H324" t="s">
        <v>788</v>
      </c>
      <c r="I324" t="s">
        <v>96</v>
      </c>
      <c r="K324">
        <v>2544882</v>
      </c>
      <c r="L324">
        <v>1149730</v>
      </c>
      <c r="M324">
        <v>562</v>
      </c>
      <c r="N324" t="s">
        <v>823</v>
      </c>
    </row>
    <row r="325" spans="1:14" x14ac:dyDescent="0.25">
      <c r="A325">
        <v>8501125</v>
      </c>
      <c r="B325" t="s">
        <v>806</v>
      </c>
      <c r="C325" t="s">
        <v>132</v>
      </c>
      <c r="D325" t="s">
        <v>112</v>
      </c>
      <c r="E325" t="s">
        <v>87</v>
      </c>
      <c r="F325" t="s">
        <v>36</v>
      </c>
      <c r="G325">
        <v>5613</v>
      </c>
      <c r="H325" t="s">
        <v>779</v>
      </c>
      <c r="I325" t="s">
        <v>133</v>
      </c>
      <c r="K325">
        <v>2546755.2409999999</v>
      </c>
      <c r="L325">
        <v>1148904.1029999999</v>
      </c>
      <c r="M325">
        <v>383.09</v>
      </c>
      <c r="N325" t="s">
        <v>824</v>
      </c>
    </row>
    <row r="326" spans="1:14" x14ac:dyDescent="0.25">
      <c r="A326">
        <v>8501124</v>
      </c>
      <c r="B326" t="s">
        <v>779</v>
      </c>
      <c r="C326" t="s">
        <v>132</v>
      </c>
      <c r="D326" t="s">
        <v>112</v>
      </c>
      <c r="E326" t="s">
        <v>87</v>
      </c>
      <c r="F326" t="s">
        <v>36</v>
      </c>
      <c r="G326">
        <v>5613</v>
      </c>
      <c r="H326" t="s">
        <v>779</v>
      </c>
      <c r="I326" t="s">
        <v>133</v>
      </c>
      <c r="K326">
        <v>2545371.3509999998</v>
      </c>
      <c r="L326">
        <v>1148831.2520000001</v>
      </c>
      <c r="M326">
        <v>391.66</v>
      </c>
      <c r="N326" t="s">
        <v>825</v>
      </c>
    </row>
    <row r="327" spans="1:14" x14ac:dyDescent="0.25">
      <c r="A327">
        <v>8595730</v>
      </c>
      <c r="B327" t="s">
        <v>826</v>
      </c>
      <c r="C327" t="s">
        <v>94</v>
      </c>
      <c r="D327" t="s">
        <v>86</v>
      </c>
      <c r="E327" t="s">
        <v>87</v>
      </c>
      <c r="F327" t="s">
        <v>36</v>
      </c>
      <c r="G327">
        <v>5613</v>
      </c>
      <c r="H327" t="s">
        <v>827</v>
      </c>
      <c r="I327" t="s">
        <v>96</v>
      </c>
      <c r="K327">
        <v>2545458</v>
      </c>
      <c r="L327">
        <v>1149466</v>
      </c>
      <c r="M327">
        <v>518</v>
      </c>
      <c r="N327" t="s">
        <v>828</v>
      </c>
    </row>
    <row r="328" spans="1:14" x14ac:dyDescent="0.25">
      <c r="A328">
        <v>8595728</v>
      </c>
      <c r="B328" t="s">
        <v>829</v>
      </c>
      <c r="C328" t="s">
        <v>94</v>
      </c>
      <c r="D328" t="s">
        <v>86</v>
      </c>
      <c r="E328" t="s">
        <v>87</v>
      </c>
      <c r="F328" t="s">
        <v>36</v>
      </c>
      <c r="G328">
        <v>5613</v>
      </c>
      <c r="H328" t="s">
        <v>788</v>
      </c>
      <c r="I328" t="s">
        <v>96</v>
      </c>
      <c r="K328">
        <v>2544540</v>
      </c>
      <c r="L328">
        <v>1149975</v>
      </c>
      <c r="M328">
        <v>599</v>
      </c>
      <c r="N328" t="s">
        <v>830</v>
      </c>
    </row>
    <row r="329" spans="1:14" x14ac:dyDescent="0.25">
      <c r="A329">
        <v>8570559</v>
      </c>
      <c r="B329" t="s">
        <v>831</v>
      </c>
      <c r="C329" t="s">
        <v>94</v>
      </c>
      <c r="D329" t="s">
        <v>86</v>
      </c>
      <c r="E329" t="s">
        <v>87</v>
      </c>
      <c r="F329" t="s">
        <v>36</v>
      </c>
      <c r="G329">
        <v>5613</v>
      </c>
      <c r="H329" t="s">
        <v>779</v>
      </c>
      <c r="I329" t="s">
        <v>96</v>
      </c>
      <c r="K329">
        <v>2545352</v>
      </c>
      <c r="L329">
        <v>1148830</v>
      </c>
      <c r="M329">
        <v>391</v>
      </c>
      <c r="N329" t="s">
        <v>832</v>
      </c>
    </row>
    <row r="330" spans="1:14" x14ac:dyDescent="0.25">
      <c r="A330">
        <v>8570066</v>
      </c>
      <c r="B330" t="s">
        <v>833</v>
      </c>
      <c r="C330" t="s">
        <v>94</v>
      </c>
      <c r="D330" t="s">
        <v>86</v>
      </c>
      <c r="E330" t="s">
        <v>87</v>
      </c>
      <c r="F330" t="s">
        <v>834</v>
      </c>
      <c r="G330">
        <v>5472</v>
      </c>
      <c r="H330" t="s">
        <v>834</v>
      </c>
      <c r="I330" t="s">
        <v>96</v>
      </c>
      <c r="K330">
        <v>2532950</v>
      </c>
      <c r="L330">
        <v>1161763</v>
      </c>
      <c r="M330">
        <v>561</v>
      </c>
      <c r="N330" t="s">
        <v>835</v>
      </c>
    </row>
    <row r="331" spans="1:14" x14ac:dyDescent="0.25">
      <c r="A331">
        <v>8570067</v>
      </c>
      <c r="B331" t="s">
        <v>836</v>
      </c>
      <c r="C331" t="s">
        <v>94</v>
      </c>
      <c r="D331" t="s">
        <v>86</v>
      </c>
      <c r="E331" t="s">
        <v>87</v>
      </c>
      <c r="F331" t="s">
        <v>834</v>
      </c>
      <c r="G331">
        <v>5472</v>
      </c>
      <c r="H331" t="s">
        <v>834</v>
      </c>
      <c r="I331" t="s">
        <v>96</v>
      </c>
      <c r="K331">
        <v>2532949</v>
      </c>
      <c r="L331">
        <v>1161452</v>
      </c>
      <c r="M331">
        <v>575</v>
      </c>
      <c r="N331" t="s">
        <v>837</v>
      </c>
    </row>
    <row r="332" spans="1:14" x14ac:dyDescent="0.25">
      <c r="A332">
        <v>8581344</v>
      </c>
      <c r="B332" t="s">
        <v>838</v>
      </c>
      <c r="C332" t="s">
        <v>94</v>
      </c>
      <c r="D332" t="s">
        <v>86</v>
      </c>
      <c r="E332" t="s">
        <v>87</v>
      </c>
      <c r="F332" t="s">
        <v>839</v>
      </c>
      <c r="G332">
        <v>5473</v>
      </c>
      <c r="H332" t="s">
        <v>839</v>
      </c>
      <c r="I332" t="s">
        <v>96</v>
      </c>
      <c r="K332">
        <v>2534495</v>
      </c>
      <c r="L332">
        <v>1161642</v>
      </c>
      <c r="M332">
        <v>591</v>
      </c>
      <c r="N332" t="s">
        <v>840</v>
      </c>
    </row>
    <row r="333" spans="1:14" x14ac:dyDescent="0.25">
      <c r="A333">
        <v>8583636</v>
      </c>
      <c r="B333" t="s">
        <v>841</v>
      </c>
      <c r="C333" t="s">
        <v>94</v>
      </c>
      <c r="D333" t="s">
        <v>86</v>
      </c>
      <c r="E333" t="s">
        <v>87</v>
      </c>
      <c r="F333" t="s">
        <v>839</v>
      </c>
      <c r="G333">
        <v>5473</v>
      </c>
      <c r="H333" t="s">
        <v>839</v>
      </c>
      <c r="I333" t="s">
        <v>96</v>
      </c>
      <c r="K333">
        <v>2534472</v>
      </c>
      <c r="L333">
        <v>1162130</v>
      </c>
      <c r="M333">
        <v>604</v>
      </c>
      <c r="N333" t="s">
        <v>842</v>
      </c>
    </row>
    <row r="334" spans="1:14" x14ac:dyDescent="0.25">
      <c r="A334">
        <v>8570092</v>
      </c>
      <c r="B334" t="s">
        <v>843</v>
      </c>
      <c r="C334" t="s">
        <v>85</v>
      </c>
      <c r="D334" t="s">
        <v>86</v>
      </c>
      <c r="E334" t="s">
        <v>87</v>
      </c>
      <c r="F334" t="s">
        <v>40</v>
      </c>
      <c r="G334">
        <v>5622</v>
      </c>
      <c r="H334" t="s">
        <v>40</v>
      </c>
      <c r="I334" t="s">
        <v>89</v>
      </c>
      <c r="K334">
        <v>2529116.9189800001</v>
      </c>
      <c r="L334">
        <v>1155267.30483</v>
      </c>
      <c r="M334">
        <v>452.2</v>
      </c>
      <c r="N334" t="s">
        <v>844</v>
      </c>
    </row>
    <row r="335" spans="1:14" x14ac:dyDescent="0.25">
      <c r="A335">
        <v>8570176</v>
      </c>
      <c r="B335" t="s">
        <v>845</v>
      </c>
      <c r="C335" t="s">
        <v>242</v>
      </c>
      <c r="D335" t="s">
        <v>86</v>
      </c>
      <c r="E335" t="s">
        <v>87</v>
      </c>
      <c r="F335" t="s">
        <v>846</v>
      </c>
      <c r="G335">
        <v>5515</v>
      </c>
      <c r="H335" t="s">
        <v>846</v>
      </c>
      <c r="I335" t="s">
        <v>243</v>
      </c>
      <c r="K335">
        <v>2539332</v>
      </c>
      <c r="L335">
        <v>1161067</v>
      </c>
      <c r="M335">
        <v>725</v>
      </c>
      <c r="N335" t="s">
        <v>847</v>
      </c>
    </row>
    <row r="336" spans="1:14" x14ac:dyDescent="0.25">
      <c r="A336">
        <v>8511376</v>
      </c>
      <c r="B336" t="s">
        <v>848</v>
      </c>
      <c r="C336" t="s">
        <v>382</v>
      </c>
      <c r="D336" t="s">
        <v>86</v>
      </c>
      <c r="E336" t="s">
        <v>87</v>
      </c>
      <c r="F336" t="s">
        <v>849</v>
      </c>
      <c r="G336">
        <v>5748</v>
      </c>
      <c r="H336" t="s">
        <v>849</v>
      </c>
      <c r="I336" t="s">
        <v>384</v>
      </c>
      <c r="K336">
        <v>2526287.08402</v>
      </c>
      <c r="L336">
        <v>1173906.2292200001</v>
      </c>
      <c r="M336">
        <v>670</v>
      </c>
      <c r="N336" t="s">
        <v>850</v>
      </c>
    </row>
    <row r="337" spans="1:14" x14ac:dyDescent="0.25">
      <c r="A337">
        <v>8501105</v>
      </c>
      <c r="B337" t="s">
        <v>849</v>
      </c>
      <c r="C337" t="s">
        <v>132</v>
      </c>
      <c r="D337" t="s">
        <v>112</v>
      </c>
      <c r="E337" t="s">
        <v>87</v>
      </c>
      <c r="F337" t="s">
        <v>849</v>
      </c>
      <c r="G337">
        <v>5748</v>
      </c>
      <c r="H337" t="s">
        <v>849</v>
      </c>
      <c r="I337" t="s">
        <v>133</v>
      </c>
      <c r="K337">
        <v>2526301.1370000001</v>
      </c>
      <c r="L337">
        <v>1174215.047</v>
      </c>
      <c r="M337">
        <v>673.27599999999995</v>
      </c>
      <c r="N337" t="s">
        <v>851</v>
      </c>
    </row>
    <row r="338" spans="1:14" x14ac:dyDescent="0.25">
      <c r="A338">
        <v>8577591</v>
      </c>
      <c r="B338" t="s">
        <v>852</v>
      </c>
      <c r="C338" t="s">
        <v>94</v>
      </c>
      <c r="D338" t="s">
        <v>86</v>
      </c>
      <c r="E338" t="s">
        <v>87</v>
      </c>
      <c r="F338" t="s">
        <v>853</v>
      </c>
      <c r="G338">
        <v>5623</v>
      </c>
      <c r="H338" t="s">
        <v>853</v>
      </c>
      <c r="I338" t="s">
        <v>96</v>
      </c>
      <c r="K338">
        <v>2521241.3212199998</v>
      </c>
      <c r="L338">
        <v>1147347.93616</v>
      </c>
      <c r="M338">
        <v>408.2</v>
      </c>
      <c r="N338" t="s">
        <v>854</v>
      </c>
    </row>
    <row r="339" spans="1:14" x14ac:dyDescent="0.25">
      <c r="A339">
        <v>8577592</v>
      </c>
      <c r="B339" t="s">
        <v>855</v>
      </c>
      <c r="C339" t="s">
        <v>94</v>
      </c>
      <c r="D339" t="s">
        <v>86</v>
      </c>
      <c r="E339" t="s">
        <v>87</v>
      </c>
      <c r="F339" t="s">
        <v>853</v>
      </c>
      <c r="G339">
        <v>5623</v>
      </c>
      <c r="H339" t="s">
        <v>853</v>
      </c>
      <c r="I339" t="s">
        <v>96</v>
      </c>
      <c r="K339">
        <v>2521804</v>
      </c>
      <c r="L339">
        <v>1147210</v>
      </c>
      <c r="M339">
        <v>402</v>
      </c>
      <c r="N339" t="s">
        <v>856</v>
      </c>
    </row>
    <row r="340" spans="1:14" x14ac:dyDescent="0.25">
      <c r="A340">
        <v>8579287</v>
      </c>
      <c r="B340" t="s">
        <v>857</v>
      </c>
      <c r="C340" t="s">
        <v>338</v>
      </c>
      <c r="D340" t="s">
        <v>86</v>
      </c>
      <c r="E340" t="s">
        <v>87</v>
      </c>
      <c r="F340" t="s">
        <v>858</v>
      </c>
      <c r="G340">
        <v>5552</v>
      </c>
      <c r="H340" t="s">
        <v>859</v>
      </c>
      <c r="I340" t="s">
        <v>340</v>
      </c>
      <c r="K340">
        <v>2531015.3213900002</v>
      </c>
      <c r="L340">
        <v>1186702.9970100001</v>
      </c>
      <c r="M340">
        <v>1181</v>
      </c>
      <c r="N340" t="s">
        <v>860</v>
      </c>
    </row>
    <row r="341" spans="1:14" x14ac:dyDescent="0.25">
      <c r="A341">
        <v>8504272</v>
      </c>
      <c r="B341" t="s">
        <v>861</v>
      </c>
      <c r="C341" t="s">
        <v>338</v>
      </c>
      <c r="D341" t="s">
        <v>86</v>
      </c>
      <c r="E341" t="s">
        <v>87</v>
      </c>
      <c r="F341" t="s">
        <v>858</v>
      </c>
      <c r="G341">
        <v>5552</v>
      </c>
      <c r="H341" t="s">
        <v>858</v>
      </c>
      <c r="I341" t="s">
        <v>340</v>
      </c>
      <c r="K341">
        <v>2532557.74554</v>
      </c>
      <c r="L341">
        <v>1187018.15163</v>
      </c>
      <c r="M341">
        <v>1143</v>
      </c>
      <c r="N341" t="s">
        <v>862</v>
      </c>
    </row>
    <row r="342" spans="1:14" x14ac:dyDescent="0.25">
      <c r="A342">
        <v>8504275</v>
      </c>
      <c r="B342" t="s">
        <v>863</v>
      </c>
      <c r="C342" t="s">
        <v>338</v>
      </c>
      <c r="D342" t="s">
        <v>86</v>
      </c>
      <c r="E342" t="s">
        <v>87</v>
      </c>
      <c r="F342" t="s">
        <v>858</v>
      </c>
      <c r="G342">
        <v>5552</v>
      </c>
      <c r="H342" t="s">
        <v>858</v>
      </c>
      <c r="I342" t="s">
        <v>340</v>
      </c>
      <c r="K342">
        <v>2534415.2571800002</v>
      </c>
      <c r="L342">
        <v>1188829.7208499999</v>
      </c>
      <c r="M342">
        <v>1174</v>
      </c>
      <c r="N342" t="s">
        <v>864</v>
      </c>
    </row>
    <row r="343" spans="1:14" x14ac:dyDescent="0.25">
      <c r="A343">
        <v>8504274</v>
      </c>
      <c r="B343" t="s">
        <v>865</v>
      </c>
      <c r="C343" t="s">
        <v>338</v>
      </c>
      <c r="D343" t="s">
        <v>86</v>
      </c>
      <c r="E343" t="s">
        <v>87</v>
      </c>
      <c r="F343" t="s">
        <v>858</v>
      </c>
      <c r="G343">
        <v>5552</v>
      </c>
      <c r="H343" t="s">
        <v>858</v>
      </c>
      <c r="I343" t="s">
        <v>340</v>
      </c>
      <c r="K343">
        <v>2533120.2124299998</v>
      </c>
      <c r="L343">
        <v>1188463.6029699999</v>
      </c>
      <c r="M343">
        <v>1211</v>
      </c>
      <c r="N343" t="s">
        <v>866</v>
      </c>
    </row>
    <row r="344" spans="1:14" x14ac:dyDescent="0.25">
      <c r="A344">
        <v>8504273</v>
      </c>
      <c r="B344" t="s">
        <v>867</v>
      </c>
      <c r="C344" t="s">
        <v>338</v>
      </c>
      <c r="D344" t="s">
        <v>86</v>
      </c>
      <c r="E344" t="s">
        <v>87</v>
      </c>
      <c r="F344" t="s">
        <v>858</v>
      </c>
      <c r="G344">
        <v>5552</v>
      </c>
      <c r="H344" t="s">
        <v>858</v>
      </c>
      <c r="I344" t="s">
        <v>340</v>
      </c>
      <c r="K344">
        <v>2533356</v>
      </c>
      <c r="L344">
        <v>1187771</v>
      </c>
      <c r="M344">
        <v>1197</v>
      </c>
      <c r="N344" t="s">
        <v>868</v>
      </c>
    </row>
    <row r="345" spans="1:14" x14ac:dyDescent="0.25">
      <c r="A345">
        <v>8504299</v>
      </c>
      <c r="B345" t="s">
        <v>869</v>
      </c>
      <c r="C345" t="s">
        <v>338</v>
      </c>
      <c r="D345" t="s">
        <v>86</v>
      </c>
      <c r="E345" t="s">
        <v>87</v>
      </c>
      <c r="F345" t="s">
        <v>858</v>
      </c>
      <c r="G345">
        <v>5552</v>
      </c>
      <c r="H345" t="s">
        <v>859</v>
      </c>
      <c r="I345" t="s">
        <v>340</v>
      </c>
      <c r="K345">
        <v>2531345.7064899998</v>
      </c>
      <c r="L345">
        <v>1186821.5033</v>
      </c>
      <c r="M345">
        <v>1190</v>
      </c>
      <c r="N345" t="s">
        <v>870</v>
      </c>
    </row>
    <row r="346" spans="1:14" x14ac:dyDescent="0.25">
      <c r="A346">
        <v>8587261</v>
      </c>
      <c r="B346" t="s">
        <v>871</v>
      </c>
      <c r="C346" t="s">
        <v>338</v>
      </c>
      <c r="D346" t="s">
        <v>86</v>
      </c>
      <c r="E346" t="s">
        <v>87</v>
      </c>
      <c r="F346" t="s">
        <v>858</v>
      </c>
      <c r="G346">
        <v>5552</v>
      </c>
      <c r="H346" t="s">
        <v>858</v>
      </c>
      <c r="I346" t="s">
        <v>340</v>
      </c>
      <c r="K346">
        <v>2532247.2940500001</v>
      </c>
      <c r="L346">
        <v>1186780.4642700001</v>
      </c>
      <c r="M346">
        <v>1153</v>
      </c>
      <c r="N346" t="s">
        <v>872</v>
      </c>
    </row>
    <row r="347" spans="1:14" x14ac:dyDescent="0.25">
      <c r="A347">
        <v>8501032</v>
      </c>
      <c r="B347" t="s">
        <v>873</v>
      </c>
      <c r="C347" t="s">
        <v>132</v>
      </c>
      <c r="E347" t="s">
        <v>87</v>
      </c>
      <c r="F347" t="s">
        <v>874</v>
      </c>
      <c r="G347">
        <v>5852</v>
      </c>
      <c r="H347" t="s">
        <v>874</v>
      </c>
      <c r="I347" t="s">
        <v>133</v>
      </c>
      <c r="J347" t="s">
        <v>130</v>
      </c>
      <c r="K347">
        <v>2512994.8864000002</v>
      </c>
      <c r="L347">
        <v>1144377.0555</v>
      </c>
      <c r="M347">
        <v>428.89499999999998</v>
      </c>
      <c r="N347" t="s">
        <v>875</v>
      </c>
    </row>
    <row r="348" spans="1:14" x14ac:dyDescent="0.25">
      <c r="A348">
        <v>8579649</v>
      </c>
      <c r="B348" t="s">
        <v>876</v>
      </c>
      <c r="C348" t="s">
        <v>94</v>
      </c>
      <c r="D348" t="s">
        <v>86</v>
      </c>
      <c r="E348" t="s">
        <v>87</v>
      </c>
      <c r="F348" t="s">
        <v>874</v>
      </c>
      <c r="G348">
        <v>5852</v>
      </c>
      <c r="H348" t="s">
        <v>874</v>
      </c>
      <c r="I348" t="s">
        <v>96</v>
      </c>
      <c r="K348">
        <v>2512909</v>
      </c>
      <c r="L348">
        <v>1143702</v>
      </c>
      <c r="M348">
        <v>428</v>
      </c>
      <c r="N348" t="s">
        <v>877</v>
      </c>
    </row>
    <row r="349" spans="1:14" x14ac:dyDescent="0.25">
      <c r="A349">
        <v>8581660</v>
      </c>
      <c r="B349" t="s">
        <v>878</v>
      </c>
      <c r="C349" t="s">
        <v>94</v>
      </c>
      <c r="D349" t="s">
        <v>86</v>
      </c>
      <c r="E349" t="s">
        <v>87</v>
      </c>
      <c r="F349" t="s">
        <v>874</v>
      </c>
      <c r="G349">
        <v>5852</v>
      </c>
      <c r="H349" t="s">
        <v>874</v>
      </c>
      <c r="I349" t="s">
        <v>96</v>
      </c>
      <c r="K349">
        <v>2513041</v>
      </c>
      <c r="L349">
        <v>1144207</v>
      </c>
      <c r="M349">
        <v>428</v>
      </c>
      <c r="N349" t="s">
        <v>879</v>
      </c>
    </row>
    <row r="350" spans="1:14" x14ac:dyDescent="0.25">
      <c r="A350">
        <v>8583459</v>
      </c>
      <c r="B350" t="s">
        <v>880</v>
      </c>
      <c r="C350" t="s">
        <v>94</v>
      </c>
      <c r="D350" t="s">
        <v>86</v>
      </c>
      <c r="E350" t="s">
        <v>87</v>
      </c>
      <c r="F350" t="s">
        <v>874</v>
      </c>
      <c r="G350">
        <v>5852</v>
      </c>
      <c r="H350" t="s">
        <v>874</v>
      </c>
      <c r="I350" t="s">
        <v>96</v>
      </c>
      <c r="K350">
        <v>2513062</v>
      </c>
      <c r="L350">
        <v>1143916</v>
      </c>
      <c r="M350">
        <v>428</v>
      </c>
      <c r="N350" t="s">
        <v>881</v>
      </c>
    </row>
    <row r="351" spans="1:14" x14ac:dyDescent="0.25">
      <c r="A351">
        <v>8570059</v>
      </c>
      <c r="B351" t="s">
        <v>882</v>
      </c>
      <c r="C351" t="s">
        <v>94</v>
      </c>
      <c r="D351" t="s">
        <v>86</v>
      </c>
      <c r="E351" t="s">
        <v>87</v>
      </c>
      <c r="F351" t="s">
        <v>883</v>
      </c>
      <c r="G351">
        <v>5853</v>
      </c>
      <c r="H351" t="s">
        <v>883</v>
      </c>
      <c r="I351" t="s">
        <v>96</v>
      </c>
      <c r="K351">
        <v>2511829</v>
      </c>
      <c r="L351">
        <v>1145198</v>
      </c>
      <c r="M351">
        <v>469</v>
      </c>
      <c r="N351" t="s">
        <v>884</v>
      </c>
    </row>
    <row r="352" spans="1:14" x14ac:dyDescent="0.25">
      <c r="A352">
        <v>8582697</v>
      </c>
      <c r="B352" t="s">
        <v>885</v>
      </c>
      <c r="C352" t="s">
        <v>94</v>
      </c>
      <c r="D352" t="s">
        <v>86</v>
      </c>
      <c r="E352" t="s">
        <v>87</v>
      </c>
      <c r="F352" t="s">
        <v>883</v>
      </c>
      <c r="G352">
        <v>5853</v>
      </c>
      <c r="H352" t="s">
        <v>883</v>
      </c>
      <c r="I352" t="s">
        <v>96</v>
      </c>
      <c r="K352">
        <v>2511561</v>
      </c>
      <c r="L352">
        <v>1145039</v>
      </c>
      <c r="M352">
        <v>459</v>
      </c>
      <c r="N352" t="s">
        <v>886</v>
      </c>
    </row>
    <row r="353" spans="1:14" x14ac:dyDescent="0.25">
      <c r="A353">
        <v>8501852</v>
      </c>
      <c r="B353" t="s">
        <v>887</v>
      </c>
      <c r="C353" t="s">
        <v>94</v>
      </c>
      <c r="D353" t="s">
        <v>86</v>
      </c>
      <c r="E353" t="s">
        <v>87</v>
      </c>
      <c r="F353" t="s">
        <v>888</v>
      </c>
      <c r="G353">
        <v>5854</v>
      </c>
      <c r="H353" t="s">
        <v>888</v>
      </c>
      <c r="I353" t="s">
        <v>96</v>
      </c>
      <c r="K353">
        <v>2509274</v>
      </c>
      <c r="L353">
        <v>1146897</v>
      </c>
      <c r="M353">
        <v>738</v>
      </c>
      <c r="N353" t="s">
        <v>889</v>
      </c>
    </row>
    <row r="354" spans="1:14" x14ac:dyDescent="0.25">
      <c r="A354">
        <v>8570029</v>
      </c>
      <c r="B354" t="s">
        <v>890</v>
      </c>
      <c r="C354" t="s">
        <v>94</v>
      </c>
      <c r="D354" t="s">
        <v>86</v>
      </c>
      <c r="E354" t="s">
        <v>87</v>
      </c>
      <c r="F354" t="s">
        <v>888</v>
      </c>
      <c r="G354">
        <v>5854</v>
      </c>
      <c r="H354" t="s">
        <v>888</v>
      </c>
      <c r="I354" t="s">
        <v>96</v>
      </c>
      <c r="K354">
        <v>2509527</v>
      </c>
      <c r="L354">
        <v>1146645</v>
      </c>
      <c r="M354">
        <v>721</v>
      </c>
      <c r="N354" t="s">
        <v>891</v>
      </c>
    </row>
    <row r="355" spans="1:14" x14ac:dyDescent="0.25">
      <c r="A355">
        <v>8582794</v>
      </c>
      <c r="B355" t="s">
        <v>892</v>
      </c>
      <c r="C355" t="s">
        <v>94</v>
      </c>
      <c r="D355" t="s">
        <v>86</v>
      </c>
      <c r="E355" t="s">
        <v>87</v>
      </c>
      <c r="F355" t="s">
        <v>888</v>
      </c>
      <c r="G355">
        <v>5854</v>
      </c>
      <c r="H355" t="s">
        <v>888</v>
      </c>
      <c r="I355" t="s">
        <v>96</v>
      </c>
      <c r="K355">
        <v>2509136</v>
      </c>
      <c r="L355">
        <v>1147262</v>
      </c>
      <c r="M355">
        <v>747</v>
      </c>
      <c r="N355" t="s">
        <v>893</v>
      </c>
    </row>
    <row r="356" spans="1:14" x14ac:dyDescent="0.25">
      <c r="A356">
        <v>8501147</v>
      </c>
      <c r="B356" t="s">
        <v>894</v>
      </c>
      <c r="C356" t="s">
        <v>132</v>
      </c>
      <c r="E356" t="s">
        <v>87</v>
      </c>
      <c r="F356" t="s">
        <v>41</v>
      </c>
      <c r="G356">
        <v>5624</v>
      </c>
      <c r="H356" t="s">
        <v>41</v>
      </c>
      <c r="I356" t="s">
        <v>133</v>
      </c>
      <c r="J356" t="s">
        <v>130</v>
      </c>
      <c r="K356">
        <v>2532512.1179999998</v>
      </c>
      <c r="L356">
        <v>1154928.645</v>
      </c>
      <c r="M356">
        <v>404.4</v>
      </c>
      <c r="N356" t="s">
        <v>895</v>
      </c>
    </row>
    <row r="357" spans="1:14" x14ac:dyDescent="0.25">
      <c r="A357">
        <v>8506905</v>
      </c>
      <c r="B357" t="s">
        <v>896</v>
      </c>
      <c r="C357" t="s">
        <v>242</v>
      </c>
      <c r="D357" t="s">
        <v>86</v>
      </c>
      <c r="E357" t="s">
        <v>87</v>
      </c>
      <c r="F357" t="s">
        <v>41</v>
      </c>
      <c r="G357">
        <v>5624</v>
      </c>
      <c r="H357" t="s">
        <v>41</v>
      </c>
      <c r="I357" t="s">
        <v>243</v>
      </c>
      <c r="K357">
        <v>2531816</v>
      </c>
      <c r="L357">
        <v>1156111.6000000001</v>
      </c>
      <c r="M357">
        <v>438</v>
      </c>
      <c r="N357" t="s">
        <v>897</v>
      </c>
    </row>
    <row r="358" spans="1:14" x14ac:dyDescent="0.25">
      <c r="A358">
        <v>8581916</v>
      </c>
      <c r="B358" t="s">
        <v>898</v>
      </c>
      <c r="C358" t="s">
        <v>242</v>
      </c>
      <c r="D358" t="s">
        <v>86</v>
      </c>
      <c r="E358" t="s">
        <v>87</v>
      </c>
      <c r="F358" t="s">
        <v>41</v>
      </c>
      <c r="G358">
        <v>5624</v>
      </c>
      <c r="H358" t="s">
        <v>41</v>
      </c>
      <c r="I358" t="s">
        <v>243</v>
      </c>
      <c r="K358">
        <v>2532675</v>
      </c>
      <c r="L358">
        <v>1156402</v>
      </c>
      <c r="M358">
        <v>468</v>
      </c>
      <c r="N358" t="s">
        <v>899</v>
      </c>
    </row>
    <row r="359" spans="1:14" x14ac:dyDescent="0.25">
      <c r="A359">
        <v>8581924</v>
      </c>
      <c r="B359" t="s">
        <v>900</v>
      </c>
      <c r="C359" t="s">
        <v>242</v>
      </c>
      <c r="D359" t="s">
        <v>86</v>
      </c>
      <c r="E359" t="s">
        <v>87</v>
      </c>
      <c r="F359" t="s">
        <v>41</v>
      </c>
      <c r="G359">
        <v>5624</v>
      </c>
      <c r="H359" t="s">
        <v>41</v>
      </c>
      <c r="I359" t="s">
        <v>243</v>
      </c>
      <c r="K359">
        <v>2532707</v>
      </c>
      <c r="L359">
        <v>1156096</v>
      </c>
      <c r="M359">
        <v>448</v>
      </c>
      <c r="N359" t="s">
        <v>901</v>
      </c>
    </row>
    <row r="360" spans="1:14" x14ac:dyDescent="0.25">
      <c r="A360">
        <v>8591930</v>
      </c>
      <c r="B360" t="s">
        <v>902</v>
      </c>
      <c r="C360" t="s">
        <v>242</v>
      </c>
      <c r="D360" t="s">
        <v>86</v>
      </c>
      <c r="E360" t="s">
        <v>87</v>
      </c>
      <c r="F360" t="s">
        <v>41</v>
      </c>
      <c r="G360">
        <v>5624</v>
      </c>
      <c r="H360" t="s">
        <v>41</v>
      </c>
      <c r="I360" t="s">
        <v>243</v>
      </c>
      <c r="K360">
        <v>2532879</v>
      </c>
      <c r="L360">
        <v>1155575</v>
      </c>
      <c r="M360">
        <v>426</v>
      </c>
      <c r="N360" t="s">
        <v>903</v>
      </c>
    </row>
    <row r="361" spans="1:14" x14ac:dyDescent="0.25">
      <c r="A361">
        <v>8594178</v>
      </c>
      <c r="B361" t="s">
        <v>904</v>
      </c>
      <c r="C361" t="s">
        <v>242</v>
      </c>
      <c r="D361" t="s">
        <v>86</v>
      </c>
      <c r="E361" t="s">
        <v>87</v>
      </c>
      <c r="F361" t="s">
        <v>41</v>
      </c>
      <c r="G361">
        <v>5624</v>
      </c>
      <c r="H361" t="s">
        <v>41</v>
      </c>
      <c r="I361" t="s">
        <v>243</v>
      </c>
      <c r="K361">
        <v>2532809</v>
      </c>
      <c r="L361">
        <v>1156577</v>
      </c>
      <c r="M361">
        <v>468</v>
      </c>
      <c r="N361" t="s">
        <v>905</v>
      </c>
    </row>
    <row r="362" spans="1:14" x14ac:dyDescent="0.25">
      <c r="A362">
        <v>8591931</v>
      </c>
      <c r="B362" t="s">
        <v>906</v>
      </c>
      <c r="C362" t="s">
        <v>242</v>
      </c>
      <c r="D362" t="s">
        <v>86</v>
      </c>
      <c r="E362" t="s">
        <v>87</v>
      </c>
      <c r="F362" t="s">
        <v>41</v>
      </c>
      <c r="G362">
        <v>5624</v>
      </c>
      <c r="H362" t="s">
        <v>41</v>
      </c>
      <c r="I362" t="s">
        <v>243</v>
      </c>
      <c r="K362">
        <v>2532885.1</v>
      </c>
      <c r="L362">
        <v>1155781.3999999999</v>
      </c>
      <c r="M362">
        <v>426</v>
      </c>
      <c r="N362" t="s">
        <v>907</v>
      </c>
    </row>
    <row r="363" spans="1:14" x14ac:dyDescent="0.25">
      <c r="A363">
        <v>8595215</v>
      </c>
      <c r="B363" t="s">
        <v>908</v>
      </c>
      <c r="C363" t="s">
        <v>85</v>
      </c>
      <c r="D363" t="s">
        <v>86</v>
      </c>
      <c r="E363" t="s">
        <v>87</v>
      </c>
      <c r="F363" t="s">
        <v>41</v>
      </c>
      <c r="G363">
        <v>5624</v>
      </c>
      <c r="H363" t="s">
        <v>41</v>
      </c>
      <c r="I363" t="s">
        <v>89</v>
      </c>
      <c r="K363">
        <v>2532172.0560099999</v>
      </c>
      <c r="L363">
        <v>1154924.7848499999</v>
      </c>
      <c r="M363">
        <v>392.8</v>
      </c>
      <c r="N363" t="s">
        <v>909</v>
      </c>
    </row>
    <row r="364" spans="1:14" x14ac:dyDescent="0.25">
      <c r="A364">
        <v>8515301</v>
      </c>
      <c r="B364" t="s">
        <v>910</v>
      </c>
      <c r="C364" t="s">
        <v>132</v>
      </c>
      <c r="E364" t="s">
        <v>87</v>
      </c>
      <c r="F364" t="s">
        <v>41</v>
      </c>
      <c r="G364">
        <v>5624</v>
      </c>
      <c r="H364" t="s">
        <v>41</v>
      </c>
      <c r="I364" t="s">
        <v>133</v>
      </c>
      <c r="J364" t="s">
        <v>130</v>
      </c>
      <c r="K364">
        <v>2532895.6209999998</v>
      </c>
      <c r="L364">
        <v>1155064.4480000001</v>
      </c>
      <c r="M364">
        <v>408.41</v>
      </c>
      <c r="N364" t="s">
        <v>911</v>
      </c>
    </row>
    <row r="365" spans="1:14" x14ac:dyDescent="0.25">
      <c r="A365">
        <v>8595217</v>
      </c>
      <c r="B365" t="s">
        <v>912</v>
      </c>
      <c r="C365" t="s">
        <v>85</v>
      </c>
      <c r="D365" t="s">
        <v>86</v>
      </c>
      <c r="E365" t="s">
        <v>87</v>
      </c>
      <c r="F365" t="s">
        <v>41</v>
      </c>
      <c r="G365">
        <v>5624</v>
      </c>
      <c r="H365" t="s">
        <v>41</v>
      </c>
      <c r="I365" t="s">
        <v>89</v>
      </c>
      <c r="K365">
        <v>2532119.9489899999</v>
      </c>
      <c r="L365">
        <v>1155068.15231</v>
      </c>
      <c r="M365">
        <v>396</v>
      </c>
      <c r="N365" t="s">
        <v>913</v>
      </c>
    </row>
    <row r="366" spans="1:14" x14ac:dyDescent="0.25">
      <c r="A366">
        <v>8505529</v>
      </c>
      <c r="B366" t="s">
        <v>914</v>
      </c>
      <c r="C366" t="s">
        <v>242</v>
      </c>
      <c r="D366" t="s">
        <v>86</v>
      </c>
      <c r="E366" t="s">
        <v>87</v>
      </c>
      <c r="F366" t="s">
        <v>41</v>
      </c>
      <c r="G366">
        <v>5624</v>
      </c>
      <c r="H366" t="s">
        <v>41</v>
      </c>
      <c r="I366" t="s">
        <v>243</v>
      </c>
      <c r="K366">
        <v>2531518.4865600001</v>
      </c>
      <c r="L366">
        <v>1155924.5745600001</v>
      </c>
      <c r="M366">
        <v>407</v>
      </c>
      <c r="N366" t="s">
        <v>915</v>
      </c>
    </row>
    <row r="367" spans="1:14" x14ac:dyDescent="0.25">
      <c r="A367">
        <v>8506907</v>
      </c>
      <c r="B367" t="s">
        <v>916</v>
      </c>
      <c r="C367" t="s">
        <v>242</v>
      </c>
      <c r="D367" t="s">
        <v>86</v>
      </c>
      <c r="E367" t="s">
        <v>87</v>
      </c>
      <c r="F367" t="s">
        <v>41</v>
      </c>
      <c r="G367">
        <v>5624</v>
      </c>
      <c r="H367" t="s">
        <v>41</v>
      </c>
      <c r="I367" t="s">
        <v>243</v>
      </c>
      <c r="K367">
        <v>2531636.30999</v>
      </c>
      <c r="L367">
        <v>1156046.1685299999</v>
      </c>
      <c r="M367">
        <v>417</v>
      </c>
      <c r="N367" t="s">
        <v>917</v>
      </c>
    </row>
    <row r="368" spans="1:14" x14ac:dyDescent="0.25">
      <c r="A368">
        <v>8509514</v>
      </c>
      <c r="B368" t="s">
        <v>918</v>
      </c>
      <c r="C368" t="s">
        <v>242</v>
      </c>
      <c r="D368" t="s">
        <v>86</v>
      </c>
      <c r="E368" t="s">
        <v>87</v>
      </c>
      <c r="F368" t="s">
        <v>41</v>
      </c>
      <c r="G368">
        <v>5624</v>
      </c>
      <c r="H368" t="s">
        <v>41</v>
      </c>
      <c r="I368" t="s">
        <v>243</v>
      </c>
      <c r="K368">
        <v>2532123.3609199999</v>
      </c>
      <c r="L368">
        <v>1156617.46957</v>
      </c>
      <c r="M368">
        <v>477</v>
      </c>
      <c r="N368" t="s">
        <v>919</v>
      </c>
    </row>
    <row r="369" spans="1:14" x14ac:dyDescent="0.25">
      <c r="A369">
        <v>8501117</v>
      </c>
      <c r="B369" t="s">
        <v>41</v>
      </c>
      <c r="C369" t="s">
        <v>132</v>
      </c>
      <c r="D369" t="s">
        <v>112</v>
      </c>
      <c r="E369" t="s">
        <v>87</v>
      </c>
      <c r="F369" t="s">
        <v>41</v>
      </c>
      <c r="G369">
        <v>5624</v>
      </c>
      <c r="H369" t="s">
        <v>41</v>
      </c>
      <c r="I369" t="s">
        <v>133</v>
      </c>
      <c r="K369">
        <v>2531984.5660000001</v>
      </c>
      <c r="L369">
        <v>1155530.145</v>
      </c>
      <c r="M369">
        <v>406.8</v>
      </c>
      <c r="N369" t="s">
        <v>920</v>
      </c>
    </row>
    <row r="370" spans="1:14" x14ac:dyDescent="0.25">
      <c r="A370">
        <v>8595216</v>
      </c>
      <c r="B370" t="s">
        <v>921</v>
      </c>
      <c r="C370" t="s">
        <v>85</v>
      </c>
      <c r="D370" t="s">
        <v>86</v>
      </c>
      <c r="E370" t="s">
        <v>87</v>
      </c>
      <c r="F370" t="s">
        <v>41</v>
      </c>
      <c r="G370">
        <v>5624</v>
      </c>
      <c r="H370" t="s">
        <v>41</v>
      </c>
      <c r="I370" t="s">
        <v>89</v>
      </c>
      <c r="K370">
        <v>2531993.3170799999</v>
      </c>
      <c r="L370">
        <v>1155456.17983</v>
      </c>
      <c r="M370">
        <v>404.5</v>
      </c>
      <c r="N370" t="s">
        <v>922</v>
      </c>
    </row>
    <row r="371" spans="1:14" x14ac:dyDescent="0.25">
      <c r="A371">
        <v>8581914</v>
      </c>
      <c r="B371" t="s">
        <v>923</v>
      </c>
      <c r="C371" t="s">
        <v>242</v>
      </c>
      <c r="D371" t="s">
        <v>86</v>
      </c>
      <c r="E371" t="s">
        <v>87</v>
      </c>
      <c r="F371" t="s">
        <v>41</v>
      </c>
      <c r="G371">
        <v>5624</v>
      </c>
      <c r="H371" t="s">
        <v>41</v>
      </c>
      <c r="I371" t="s">
        <v>243</v>
      </c>
      <c r="K371">
        <v>2532020</v>
      </c>
      <c r="L371">
        <v>1155520</v>
      </c>
      <c r="M371">
        <v>410</v>
      </c>
      <c r="N371" t="s">
        <v>924</v>
      </c>
    </row>
    <row r="372" spans="1:14" x14ac:dyDescent="0.25">
      <c r="A372">
        <v>8581920</v>
      </c>
      <c r="B372" t="s">
        <v>925</v>
      </c>
      <c r="C372" t="s">
        <v>242</v>
      </c>
      <c r="D372" t="s">
        <v>86</v>
      </c>
      <c r="E372" t="s">
        <v>87</v>
      </c>
      <c r="F372" t="s">
        <v>41</v>
      </c>
      <c r="G372">
        <v>5624</v>
      </c>
      <c r="H372" t="s">
        <v>41</v>
      </c>
      <c r="I372" t="s">
        <v>243</v>
      </c>
      <c r="K372">
        <v>2532141</v>
      </c>
      <c r="L372">
        <v>1156421</v>
      </c>
      <c r="M372">
        <v>467</v>
      </c>
      <c r="N372" t="s">
        <v>926</v>
      </c>
    </row>
    <row r="373" spans="1:14" x14ac:dyDescent="0.25">
      <c r="A373">
        <v>8581921</v>
      </c>
      <c r="B373" t="s">
        <v>927</v>
      </c>
      <c r="C373" t="s">
        <v>242</v>
      </c>
      <c r="D373" t="s">
        <v>86</v>
      </c>
      <c r="E373" t="s">
        <v>87</v>
      </c>
      <c r="F373" t="s">
        <v>41</v>
      </c>
      <c r="G373">
        <v>5624</v>
      </c>
      <c r="H373" t="s">
        <v>41</v>
      </c>
      <c r="I373" t="s">
        <v>243</v>
      </c>
      <c r="K373">
        <v>2532420</v>
      </c>
      <c r="L373">
        <v>1156200</v>
      </c>
      <c r="M373">
        <v>470</v>
      </c>
      <c r="N373" t="s">
        <v>928</v>
      </c>
    </row>
    <row r="374" spans="1:14" x14ac:dyDescent="0.25">
      <c r="A374">
        <v>8515313</v>
      </c>
      <c r="B374" t="s">
        <v>929</v>
      </c>
      <c r="C374" t="s">
        <v>132</v>
      </c>
      <c r="E374" t="s">
        <v>87</v>
      </c>
      <c r="F374" t="s">
        <v>41</v>
      </c>
      <c r="G374">
        <v>5624</v>
      </c>
      <c r="H374" t="s">
        <v>41</v>
      </c>
      <c r="I374" t="s">
        <v>133</v>
      </c>
      <c r="J374" t="s">
        <v>130</v>
      </c>
      <c r="K374">
        <v>2532268.2579999999</v>
      </c>
      <c r="L374">
        <v>1155225.247</v>
      </c>
      <c r="M374">
        <v>406.3</v>
      </c>
      <c r="N374" t="s">
        <v>930</v>
      </c>
    </row>
    <row r="375" spans="1:14" x14ac:dyDescent="0.25">
      <c r="A375">
        <v>8515312</v>
      </c>
      <c r="B375" t="s">
        <v>931</v>
      </c>
      <c r="C375" t="s">
        <v>132</v>
      </c>
      <c r="E375" t="s">
        <v>87</v>
      </c>
      <c r="F375" t="s">
        <v>41</v>
      </c>
      <c r="G375">
        <v>5624</v>
      </c>
      <c r="H375" t="s">
        <v>41</v>
      </c>
      <c r="I375" t="s">
        <v>133</v>
      </c>
      <c r="J375" t="s">
        <v>130</v>
      </c>
      <c r="K375">
        <v>2532488.449</v>
      </c>
      <c r="L375">
        <v>1155231.902</v>
      </c>
      <c r="M375">
        <v>410.49</v>
      </c>
      <c r="N375" t="s">
        <v>932</v>
      </c>
    </row>
    <row r="376" spans="1:14" x14ac:dyDescent="0.25">
      <c r="A376">
        <v>8506903</v>
      </c>
      <c r="B376" t="s">
        <v>933</v>
      </c>
      <c r="C376" t="s">
        <v>242</v>
      </c>
      <c r="D376" t="s">
        <v>86</v>
      </c>
      <c r="E376" t="s">
        <v>87</v>
      </c>
      <c r="F376" t="s">
        <v>41</v>
      </c>
      <c r="G376">
        <v>5624</v>
      </c>
      <c r="H376" t="s">
        <v>41</v>
      </c>
      <c r="I376" t="s">
        <v>243</v>
      </c>
      <c r="K376">
        <v>2531901</v>
      </c>
      <c r="L376">
        <v>1156383.3999999999</v>
      </c>
      <c r="M376">
        <v>460</v>
      </c>
      <c r="N376" t="s">
        <v>934</v>
      </c>
    </row>
    <row r="377" spans="1:14" x14ac:dyDescent="0.25">
      <c r="A377">
        <v>8581917</v>
      </c>
      <c r="B377" t="s">
        <v>935</v>
      </c>
      <c r="C377" t="s">
        <v>242</v>
      </c>
      <c r="D377" t="s">
        <v>86</v>
      </c>
      <c r="E377" t="s">
        <v>87</v>
      </c>
      <c r="F377" t="s">
        <v>41</v>
      </c>
      <c r="G377">
        <v>5624</v>
      </c>
      <c r="H377" t="s">
        <v>41</v>
      </c>
      <c r="I377" t="s">
        <v>243</v>
      </c>
      <c r="K377">
        <v>2531961</v>
      </c>
      <c r="L377">
        <v>1156056</v>
      </c>
      <c r="M377">
        <v>440</v>
      </c>
      <c r="N377" t="s">
        <v>936</v>
      </c>
    </row>
    <row r="378" spans="1:14" x14ac:dyDescent="0.25">
      <c r="A378">
        <v>8581922</v>
      </c>
      <c r="B378" t="s">
        <v>937</v>
      </c>
      <c r="C378" t="s">
        <v>242</v>
      </c>
      <c r="D378" t="s">
        <v>86</v>
      </c>
      <c r="E378" t="s">
        <v>87</v>
      </c>
      <c r="F378" t="s">
        <v>41</v>
      </c>
      <c r="G378">
        <v>5624</v>
      </c>
      <c r="H378" t="s">
        <v>41</v>
      </c>
      <c r="I378" t="s">
        <v>243</v>
      </c>
      <c r="K378">
        <v>2532570</v>
      </c>
      <c r="L378">
        <v>1156183</v>
      </c>
      <c r="M378">
        <v>462</v>
      </c>
      <c r="N378" t="s">
        <v>938</v>
      </c>
    </row>
    <row r="379" spans="1:14" x14ac:dyDescent="0.25">
      <c r="A379">
        <v>8581918</v>
      </c>
      <c r="B379" t="s">
        <v>939</v>
      </c>
      <c r="C379" t="s">
        <v>242</v>
      </c>
      <c r="D379" t="s">
        <v>86</v>
      </c>
      <c r="E379" t="s">
        <v>87</v>
      </c>
      <c r="F379" t="s">
        <v>41</v>
      </c>
      <c r="G379">
        <v>5624</v>
      </c>
      <c r="H379" t="s">
        <v>41</v>
      </c>
      <c r="I379" t="s">
        <v>243</v>
      </c>
      <c r="K379">
        <v>2531996</v>
      </c>
      <c r="L379">
        <v>1155800</v>
      </c>
      <c r="M379">
        <v>415</v>
      </c>
      <c r="N379" t="s">
        <v>940</v>
      </c>
    </row>
    <row r="380" spans="1:14" x14ac:dyDescent="0.25">
      <c r="A380">
        <v>8594177</v>
      </c>
      <c r="B380" t="s">
        <v>941</v>
      </c>
      <c r="C380" t="s">
        <v>242</v>
      </c>
      <c r="D380" t="s">
        <v>86</v>
      </c>
      <c r="E380" t="s">
        <v>87</v>
      </c>
      <c r="F380" t="s">
        <v>41</v>
      </c>
      <c r="G380">
        <v>5624</v>
      </c>
      <c r="H380" t="s">
        <v>41</v>
      </c>
      <c r="I380" t="s">
        <v>243</v>
      </c>
      <c r="K380">
        <v>2532760</v>
      </c>
      <c r="L380">
        <v>1156315</v>
      </c>
      <c r="M380">
        <v>460</v>
      </c>
      <c r="N380" t="s">
        <v>942</v>
      </c>
    </row>
    <row r="381" spans="1:14" x14ac:dyDescent="0.25">
      <c r="A381">
        <v>8595214</v>
      </c>
      <c r="B381" t="s">
        <v>943</v>
      </c>
      <c r="C381" t="s">
        <v>85</v>
      </c>
      <c r="D381" t="s">
        <v>86</v>
      </c>
      <c r="E381" t="s">
        <v>87</v>
      </c>
      <c r="F381" t="s">
        <v>41</v>
      </c>
      <c r="G381">
        <v>5624</v>
      </c>
      <c r="H381" t="s">
        <v>41</v>
      </c>
      <c r="I381" t="s">
        <v>89</v>
      </c>
      <c r="K381">
        <v>2532192</v>
      </c>
      <c r="L381">
        <v>1155291</v>
      </c>
      <c r="M381">
        <v>412</v>
      </c>
      <c r="N381" t="s">
        <v>944</v>
      </c>
    </row>
    <row r="382" spans="1:14" x14ac:dyDescent="0.25">
      <c r="A382">
        <v>8570359</v>
      </c>
      <c r="B382" t="s">
        <v>945</v>
      </c>
      <c r="C382" t="s">
        <v>94</v>
      </c>
      <c r="D382" t="s">
        <v>86</v>
      </c>
      <c r="E382" t="s">
        <v>87</v>
      </c>
      <c r="F382" t="s">
        <v>946</v>
      </c>
      <c r="G382">
        <v>5663</v>
      </c>
      <c r="H382" t="s">
        <v>946</v>
      </c>
      <c r="I382" t="s">
        <v>96</v>
      </c>
      <c r="K382">
        <v>2552004</v>
      </c>
      <c r="L382">
        <v>1170792</v>
      </c>
      <c r="M382">
        <v>640</v>
      </c>
      <c r="N382" t="s">
        <v>947</v>
      </c>
    </row>
    <row r="383" spans="1:14" x14ac:dyDescent="0.25">
      <c r="A383">
        <v>8570360</v>
      </c>
      <c r="B383" t="s">
        <v>948</v>
      </c>
      <c r="C383" t="s">
        <v>94</v>
      </c>
      <c r="D383" t="s">
        <v>86</v>
      </c>
      <c r="E383" t="s">
        <v>87</v>
      </c>
      <c r="F383" t="s">
        <v>946</v>
      </c>
      <c r="G383">
        <v>5663</v>
      </c>
      <c r="H383" t="s">
        <v>946</v>
      </c>
      <c r="I383" t="s">
        <v>96</v>
      </c>
      <c r="K383">
        <v>2551755</v>
      </c>
      <c r="L383">
        <v>1171262</v>
      </c>
      <c r="M383">
        <v>675</v>
      </c>
      <c r="N383" t="s">
        <v>949</v>
      </c>
    </row>
    <row r="384" spans="1:14" x14ac:dyDescent="0.25">
      <c r="A384">
        <v>8570358</v>
      </c>
      <c r="B384" t="s">
        <v>950</v>
      </c>
      <c r="C384" t="s">
        <v>94</v>
      </c>
      <c r="D384" t="s">
        <v>86</v>
      </c>
      <c r="E384" t="s">
        <v>87</v>
      </c>
      <c r="F384" t="s">
        <v>946</v>
      </c>
      <c r="G384">
        <v>5663</v>
      </c>
      <c r="H384" t="s">
        <v>946</v>
      </c>
      <c r="I384" t="s">
        <v>96</v>
      </c>
      <c r="K384">
        <v>2551858</v>
      </c>
      <c r="L384">
        <v>1170602</v>
      </c>
      <c r="M384">
        <v>628</v>
      </c>
      <c r="N384" t="s">
        <v>951</v>
      </c>
    </row>
    <row r="385" spans="1:14" x14ac:dyDescent="0.25">
      <c r="A385">
        <v>8570357</v>
      </c>
      <c r="B385" t="s">
        <v>952</v>
      </c>
      <c r="C385" t="s">
        <v>94</v>
      </c>
      <c r="D385" t="s">
        <v>86</v>
      </c>
      <c r="E385" t="s">
        <v>87</v>
      </c>
      <c r="F385" t="s">
        <v>946</v>
      </c>
      <c r="G385">
        <v>5663</v>
      </c>
      <c r="H385" t="s">
        <v>946</v>
      </c>
      <c r="I385" t="s">
        <v>96</v>
      </c>
      <c r="K385">
        <v>2551718</v>
      </c>
      <c r="L385">
        <v>1170510</v>
      </c>
      <c r="M385">
        <v>628</v>
      </c>
      <c r="N385" t="s">
        <v>953</v>
      </c>
    </row>
    <row r="386" spans="1:14" x14ac:dyDescent="0.25">
      <c r="A386">
        <v>8579303</v>
      </c>
      <c r="B386" t="s">
        <v>954</v>
      </c>
      <c r="C386" t="s">
        <v>338</v>
      </c>
      <c r="D386" t="s">
        <v>86</v>
      </c>
      <c r="E386" t="s">
        <v>87</v>
      </c>
      <c r="F386" t="s">
        <v>955</v>
      </c>
      <c r="G386">
        <v>5904</v>
      </c>
      <c r="H386" t="s">
        <v>955</v>
      </c>
      <c r="I386" t="s">
        <v>340</v>
      </c>
      <c r="K386">
        <v>2536413.44233</v>
      </c>
      <c r="L386">
        <v>1181170.7849999999</v>
      </c>
      <c r="M386">
        <v>520</v>
      </c>
      <c r="N386" t="s">
        <v>956</v>
      </c>
    </row>
    <row r="387" spans="1:14" x14ac:dyDescent="0.25">
      <c r="A387">
        <v>8579302</v>
      </c>
      <c r="B387" t="s">
        <v>957</v>
      </c>
      <c r="C387" t="s">
        <v>338</v>
      </c>
      <c r="D387" t="s">
        <v>86</v>
      </c>
      <c r="E387" t="s">
        <v>87</v>
      </c>
      <c r="F387" t="s">
        <v>955</v>
      </c>
      <c r="G387">
        <v>5904</v>
      </c>
      <c r="H387" t="s">
        <v>955</v>
      </c>
      <c r="I387" t="s">
        <v>340</v>
      </c>
      <c r="K387">
        <v>2536043.7189500001</v>
      </c>
      <c r="L387">
        <v>1181113.85773</v>
      </c>
      <c r="M387">
        <v>528</v>
      </c>
      <c r="N387" t="s">
        <v>958</v>
      </c>
    </row>
    <row r="388" spans="1:14" x14ac:dyDescent="0.25">
      <c r="A388">
        <v>8579301</v>
      </c>
      <c r="B388" t="s">
        <v>959</v>
      </c>
      <c r="C388" t="s">
        <v>338</v>
      </c>
      <c r="D388" t="s">
        <v>86</v>
      </c>
      <c r="E388" t="s">
        <v>87</v>
      </c>
      <c r="F388" t="s">
        <v>955</v>
      </c>
      <c r="G388">
        <v>5904</v>
      </c>
      <c r="H388" t="s">
        <v>955</v>
      </c>
      <c r="I388" t="s">
        <v>340</v>
      </c>
      <c r="K388">
        <v>2535800</v>
      </c>
      <c r="L388">
        <v>1181100.0009999999</v>
      </c>
      <c r="M388">
        <v>532</v>
      </c>
      <c r="N388" t="s">
        <v>960</v>
      </c>
    </row>
    <row r="389" spans="1:14" x14ac:dyDescent="0.25">
      <c r="A389">
        <v>8595656</v>
      </c>
      <c r="B389" t="s">
        <v>961</v>
      </c>
      <c r="C389" t="s">
        <v>338</v>
      </c>
      <c r="D389" t="s">
        <v>86</v>
      </c>
      <c r="E389" t="s">
        <v>87</v>
      </c>
      <c r="F389" t="s">
        <v>955</v>
      </c>
      <c r="G389">
        <v>5904</v>
      </c>
      <c r="H389" t="s">
        <v>955</v>
      </c>
      <c r="I389" t="s">
        <v>340</v>
      </c>
      <c r="K389">
        <v>2536409</v>
      </c>
      <c r="L389">
        <v>1181000.0009999999</v>
      </c>
      <c r="M389">
        <v>504</v>
      </c>
      <c r="N389" t="s">
        <v>962</v>
      </c>
    </row>
    <row r="390" spans="1:14" x14ac:dyDescent="0.25">
      <c r="A390">
        <v>8570274</v>
      </c>
      <c r="B390" t="s">
        <v>963</v>
      </c>
      <c r="C390" t="s">
        <v>94</v>
      </c>
      <c r="D390" t="s">
        <v>86</v>
      </c>
      <c r="E390" t="s">
        <v>87</v>
      </c>
      <c r="F390" t="s">
        <v>964</v>
      </c>
      <c r="G390">
        <v>5553</v>
      </c>
      <c r="H390" t="s">
        <v>964</v>
      </c>
      <c r="I390" t="s">
        <v>96</v>
      </c>
      <c r="K390">
        <v>2540623</v>
      </c>
      <c r="L390">
        <v>1186460</v>
      </c>
      <c r="M390">
        <v>447</v>
      </c>
      <c r="N390" t="s">
        <v>965</v>
      </c>
    </row>
    <row r="391" spans="1:14" x14ac:dyDescent="0.25">
      <c r="A391">
        <v>8511686</v>
      </c>
      <c r="B391" t="s">
        <v>966</v>
      </c>
      <c r="C391" t="s">
        <v>94</v>
      </c>
      <c r="D391" t="s">
        <v>86</v>
      </c>
      <c r="E391" t="s">
        <v>87</v>
      </c>
      <c r="F391" t="s">
        <v>964</v>
      </c>
      <c r="G391">
        <v>5553</v>
      </c>
      <c r="H391" t="s">
        <v>964</v>
      </c>
      <c r="I391" t="s">
        <v>96</v>
      </c>
      <c r="K391">
        <v>2540343.9586</v>
      </c>
      <c r="L391">
        <v>1186959.75391</v>
      </c>
      <c r="M391">
        <v>459.5</v>
      </c>
      <c r="N391" t="s">
        <v>967</v>
      </c>
    </row>
    <row r="392" spans="1:14" x14ac:dyDescent="0.25">
      <c r="A392">
        <v>8504989</v>
      </c>
      <c r="B392" t="s">
        <v>968</v>
      </c>
      <c r="C392" t="s">
        <v>94</v>
      </c>
      <c r="D392" t="s">
        <v>86</v>
      </c>
      <c r="E392" t="s">
        <v>87</v>
      </c>
      <c r="F392" t="s">
        <v>964</v>
      </c>
      <c r="G392">
        <v>5553</v>
      </c>
      <c r="H392" t="s">
        <v>964</v>
      </c>
      <c r="I392" t="s">
        <v>96</v>
      </c>
      <c r="K392">
        <v>2540551</v>
      </c>
      <c r="L392">
        <v>1187007</v>
      </c>
      <c r="M392">
        <v>457</v>
      </c>
      <c r="N392" t="s">
        <v>969</v>
      </c>
    </row>
    <row r="393" spans="1:14" x14ac:dyDescent="0.25">
      <c r="A393">
        <v>8570389</v>
      </c>
      <c r="B393" t="s">
        <v>970</v>
      </c>
      <c r="C393" t="s">
        <v>94</v>
      </c>
      <c r="D393" t="s">
        <v>86</v>
      </c>
      <c r="E393" t="s">
        <v>87</v>
      </c>
      <c r="F393" t="s">
        <v>971</v>
      </c>
      <c r="G393">
        <v>5812</v>
      </c>
      <c r="H393" t="s">
        <v>971</v>
      </c>
      <c r="I393" t="s">
        <v>96</v>
      </c>
      <c r="K393">
        <v>2550264</v>
      </c>
      <c r="L393">
        <v>1178994</v>
      </c>
      <c r="M393">
        <v>692</v>
      </c>
      <c r="N393" t="s">
        <v>972</v>
      </c>
    </row>
    <row r="394" spans="1:14" x14ac:dyDescent="0.25">
      <c r="A394">
        <v>8570390</v>
      </c>
      <c r="B394" t="s">
        <v>973</v>
      </c>
      <c r="C394" t="s">
        <v>94</v>
      </c>
      <c r="D394" t="s">
        <v>86</v>
      </c>
      <c r="E394" t="s">
        <v>87</v>
      </c>
      <c r="F394" t="s">
        <v>971</v>
      </c>
      <c r="G394">
        <v>5812</v>
      </c>
      <c r="H394" t="s">
        <v>971</v>
      </c>
      <c r="I394" t="s">
        <v>96</v>
      </c>
      <c r="K394">
        <v>2549729</v>
      </c>
      <c r="L394">
        <v>1178702</v>
      </c>
      <c r="M394">
        <v>691</v>
      </c>
      <c r="N394" t="s">
        <v>974</v>
      </c>
    </row>
    <row r="395" spans="1:14" x14ac:dyDescent="0.25">
      <c r="A395">
        <v>8579740</v>
      </c>
      <c r="B395" t="s">
        <v>975</v>
      </c>
      <c r="C395" t="s">
        <v>338</v>
      </c>
      <c r="D395" t="s">
        <v>86</v>
      </c>
      <c r="E395" t="s">
        <v>87</v>
      </c>
      <c r="F395" t="s">
        <v>976</v>
      </c>
      <c r="G395">
        <v>5905</v>
      </c>
      <c r="H395" t="s">
        <v>976</v>
      </c>
      <c r="I395" t="s">
        <v>340</v>
      </c>
      <c r="K395">
        <v>2533871.4473600001</v>
      </c>
      <c r="L395">
        <v>1181664.08825</v>
      </c>
      <c r="M395">
        <v>528</v>
      </c>
      <c r="N395" t="s">
        <v>977</v>
      </c>
    </row>
    <row r="396" spans="1:14" x14ac:dyDescent="0.25">
      <c r="A396">
        <v>8510929</v>
      </c>
      <c r="B396" t="s">
        <v>978</v>
      </c>
      <c r="C396" t="s">
        <v>338</v>
      </c>
      <c r="D396" t="s">
        <v>86</v>
      </c>
      <c r="E396" t="s">
        <v>87</v>
      </c>
      <c r="F396" t="s">
        <v>976</v>
      </c>
      <c r="G396">
        <v>5905</v>
      </c>
      <c r="H396" t="s">
        <v>979</v>
      </c>
      <c r="I396" t="s">
        <v>340</v>
      </c>
      <c r="K396">
        <v>2534401.9992800001</v>
      </c>
      <c r="L396">
        <v>1182749.6095100001</v>
      </c>
      <c r="M396">
        <v>483</v>
      </c>
      <c r="N396" t="s">
        <v>980</v>
      </c>
    </row>
    <row r="397" spans="1:14" x14ac:dyDescent="0.25">
      <c r="A397">
        <v>8595250</v>
      </c>
      <c r="B397" t="s">
        <v>981</v>
      </c>
      <c r="C397" t="s">
        <v>338</v>
      </c>
      <c r="D397" t="s">
        <v>86</v>
      </c>
      <c r="E397" t="s">
        <v>87</v>
      </c>
      <c r="F397" t="s">
        <v>976</v>
      </c>
      <c r="G397">
        <v>5905</v>
      </c>
      <c r="H397" t="s">
        <v>979</v>
      </c>
      <c r="I397" t="s">
        <v>340</v>
      </c>
      <c r="J397" t="s">
        <v>982</v>
      </c>
      <c r="K397">
        <v>2534425</v>
      </c>
      <c r="L397">
        <v>1183025.0009999999</v>
      </c>
      <c r="M397">
        <v>507</v>
      </c>
      <c r="N397" t="s">
        <v>983</v>
      </c>
    </row>
    <row r="398" spans="1:14" x14ac:dyDescent="0.25">
      <c r="A398">
        <v>8570336</v>
      </c>
      <c r="B398" t="s">
        <v>984</v>
      </c>
      <c r="C398" t="s">
        <v>338</v>
      </c>
      <c r="D398" t="s">
        <v>86</v>
      </c>
      <c r="E398" t="s">
        <v>87</v>
      </c>
      <c r="F398" t="s">
        <v>976</v>
      </c>
      <c r="G398">
        <v>5905</v>
      </c>
      <c r="H398" t="s">
        <v>976</v>
      </c>
      <c r="I398" t="s">
        <v>340</v>
      </c>
      <c r="K398">
        <v>2534037.8177399999</v>
      </c>
      <c r="L398">
        <v>1181757.9926</v>
      </c>
      <c r="M398">
        <v>515</v>
      </c>
      <c r="N398" t="s">
        <v>985</v>
      </c>
    </row>
    <row r="399" spans="1:14" x14ac:dyDescent="0.25">
      <c r="A399">
        <v>8595204</v>
      </c>
      <c r="B399" t="s">
        <v>986</v>
      </c>
      <c r="C399" t="s">
        <v>338</v>
      </c>
      <c r="D399" t="s">
        <v>86</v>
      </c>
      <c r="E399" t="s">
        <v>87</v>
      </c>
      <c r="F399" t="s">
        <v>976</v>
      </c>
      <c r="G399">
        <v>5905</v>
      </c>
      <c r="H399" t="s">
        <v>976</v>
      </c>
      <c r="I399" t="s">
        <v>340</v>
      </c>
      <c r="K399">
        <v>2533554.3686199998</v>
      </c>
      <c r="L399">
        <v>1181645.86146</v>
      </c>
      <c r="M399">
        <v>531.1</v>
      </c>
      <c r="N399" t="s">
        <v>987</v>
      </c>
    </row>
    <row r="400" spans="1:14" x14ac:dyDescent="0.25">
      <c r="A400">
        <v>8570334</v>
      </c>
      <c r="B400" t="s">
        <v>988</v>
      </c>
      <c r="C400" t="s">
        <v>338</v>
      </c>
      <c r="D400" t="s">
        <v>86</v>
      </c>
      <c r="E400" t="s">
        <v>87</v>
      </c>
      <c r="F400" t="s">
        <v>976</v>
      </c>
      <c r="G400">
        <v>5905</v>
      </c>
      <c r="H400" t="s">
        <v>979</v>
      </c>
      <c r="I400" t="s">
        <v>340</v>
      </c>
      <c r="K400">
        <v>2534727</v>
      </c>
      <c r="L400">
        <v>1182763.0009999999</v>
      </c>
      <c r="M400">
        <v>482</v>
      </c>
      <c r="N400" t="s">
        <v>989</v>
      </c>
    </row>
    <row r="401" spans="1:14" x14ac:dyDescent="0.25">
      <c r="A401">
        <v>8504293</v>
      </c>
      <c r="B401" t="s">
        <v>979</v>
      </c>
      <c r="C401" t="s">
        <v>338</v>
      </c>
      <c r="D401" t="s">
        <v>112</v>
      </c>
      <c r="E401" t="s">
        <v>87</v>
      </c>
      <c r="F401" t="s">
        <v>976</v>
      </c>
      <c r="G401">
        <v>5905</v>
      </c>
      <c r="H401" t="s">
        <v>979</v>
      </c>
      <c r="I401" t="s">
        <v>372</v>
      </c>
      <c r="K401">
        <v>2534459.2198000001</v>
      </c>
      <c r="L401">
        <v>1183047.5285</v>
      </c>
      <c r="M401">
        <v>507</v>
      </c>
      <c r="N401" t="s">
        <v>990</v>
      </c>
    </row>
    <row r="402" spans="1:14" x14ac:dyDescent="0.25">
      <c r="A402">
        <v>8570335</v>
      </c>
      <c r="B402" t="s">
        <v>991</v>
      </c>
      <c r="C402" t="s">
        <v>338</v>
      </c>
      <c r="D402" t="s">
        <v>86</v>
      </c>
      <c r="E402" t="s">
        <v>87</v>
      </c>
      <c r="F402" t="s">
        <v>976</v>
      </c>
      <c r="G402">
        <v>5905</v>
      </c>
      <c r="H402" t="s">
        <v>991</v>
      </c>
      <c r="I402" t="s">
        <v>340</v>
      </c>
      <c r="K402">
        <v>2534681.10262</v>
      </c>
      <c r="L402">
        <v>1182053.1916100001</v>
      </c>
      <c r="M402">
        <v>463</v>
      </c>
      <c r="N402" t="s">
        <v>992</v>
      </c>
    </row>
    <row r="403" spans="1:14" x14ac:dyDescent="0.25">
      <c r="A403">
        <v>8510432</v>
      </c>
      <c r="B403" t="s">
        <v>993</v>
      </c>
      <c r="C403" t="s">
        <v>994</v>
      </c>
      <c r="D403" t="s">
        <v>86</v>
      </c>
      <c r="E403" t="s">
        <v>87</v>
      </c>
      <c r="F403" t="s">
        <v>995</v>
      </c>
      <c r="G403">
        <v>5882</v>
      </c>
      <c r="H403" t="s">
        <v>995</v>
      </c>
      <c r="I403" t="s">
        <v>996</v>
      </c>
      <c r="K403">
        <v>2553722</v>
      </c>
      <c r="L403">
        <v>1147700</v>
      </c>
      <c r="M403">
        <v>658</v>
      </c>
      <c r="N403" t="s">
        <v>997</v>
      </c>
    </row>
    <row r="404" spans="1:14" x14ac:dyDescent="0.25">
      <c r="A404">
        <v>8510434</v>
      </c>
      <c r="B404" t="s">
        <v>998</v>
      </c>
      <c r="C404" t="s">
        <v>994</v>
      </c>
      <c r="D404" t="s">
        <v>86</v>
      </c>
      <c r="E404" t="s">
        <v>87</v>
      </c>
      <c r="F404" t="s">
        <v>995</v>
      </c>
      <c r="G404">
        <v>5882</v>
      </c>
      <c r="H404" t="s">
        <v>999</v>
      </c>
      <c r="I404" t="s">
        <v>996</v>
      </c>
      <c r="K404">
        <v>2553393</v>
      </c>
      <c r="L404">
        <v>1148057</v>
      </c>
      <c r="M404">
        <v>812</v>
      </c>
      <c r="N404" t="s">
        <v>1000</v>
      </c>
    </row>
    <row r="405" spans="1:14" x14ac:dyDescent="0.25">
      <c r="A405">
        <v>8510433</v>
      </c>
      <c r="B405" t="s">
        <v>1001</v>
      </c>
      <c r="C405" t="s">
        <v>994</v>
      </c>
      <c r="D405" t="s">
        <v>86</v>
      </c>
      <c r="E405" t="s">
        <v>87</v>
      </c>
      <c r="F405" t="s">
        <v>995</v>
      </c>
      <c r="G405">
        <v>5882</v>
      </c>
      <c r="H405" t="s">
        <v>995</v>
      </c>
      <c r="I405" t="s">
        <v>996</v>
      </c>
      <c r="K405">
        <v>2553481</v>
      </c>
      <c r="L405">
        <v>1147465</v>
      </c>
      <c r="M405">
        <v>590</v>
      </c>
      <c r="N405" t="s">
        <v>1002</v>
      </c>
    </row>
    <row r="406" spans="1:14" x14ac:dyDescent="0.25">
      <c r="A406">
        <v>8501255</v>
      </c>
      <c r="B406" t="s">
        <v>1003</v>
      </c>
      <c r="C406" t="s">
        <v>994</v>
      </c>
      <c r="D406" t="s">
        <v>1004</v>
      </c>
      <c r="E406" t="s">
        <v>87</v>
      </c>
      <c r="F406" t="s">
        <v>995</v>
      </c>
      <c r="G406">
        <v>5882</v>
      </c>
      <c r="H406" t="s">
        <v>999</v>
      </c>
      <c r="I406" t="s">
        <v>996</v>
      </c>
      <c r="J406" t="s">
        <v>1005</v>
      </c>
      <c r="K406">
        <v>2553384</v>
      </c>
      <c r="L406">
        <v>1148022</v>
      </c>
      <c r="M406">
        <v>806</v>
      </c>
      <c r="N406" t="s">
        <v>1006</v>
      </c>
    </row>
    <row r="407" spans="1:14" x14ac:dyDescent="0.25">
      <c r="A407">
        <v>8579154</v>
      </c>
      <c r="B407" t="s">
        <v>1007</v>
      </c>
      <c r="C407" t="s">
        <v>650</v>
      </c>
      <c r="D407" t="s">
        <v>86</v>
      </c>
      <c r="E407" t="s">
        <v>87</v>
      </c>
      <c r="F407" t="s">
        <v>995</v>
      </c>
      <c r="G407">
        <v>5882</v>
      </c>
      <c r="H407" t="s">
        <v>995</v>
      </c>
      <c r="I407" t="s">
        <v>651</v>
      </c>
      <c r="K407">
        <v>2551911.304</v>
      </c>
      <c r="L407">
        <v>1146854.18</v>
      </c>
      <c r="M407">
        <v>398</v>
      </c>
      <c r="N407" t="s">
        <v>1008</v>
      </c>
    </row>
    <row r="408" spans="1:14" x14ac:dyDescent="0.25">
      <c r="A408">
        <v>8501254</v>
      </c>
      <c r="B408" t="s">
        <v>1009</v>
      </c>
      <c r="C408" t="s">
        <v>994</v>
      </c>
      <c r="D408" t="s">
        <v>1004</v>
      </c>
      <c r="E408" t="s">
        <v>87</v>
      </c>
      <c r="F408" t="s">
        <v>995</v>
      </c>
      <c r="G408">
        <v>5882</v>
      </c>
      <c r="H408" t="s">
        <v>995</v>
      </c>
      <c r="I408" t="s">
        <v>996</v>
      </c>
      <c r="J408" t="s">
        <v>1010</v>
      </c>
      <c r="K408">
        <v>2553447</v>
      </c>
      <c r="L408">
        <v>1147702</v>
      </c>
      <c r="M408">
        <v>657</v>
      </c>
      <c r="N408" t="s">
        <v>1011</v>
      </c>
    </row>
    <row r="409" spans="1:14" x14ac:dyDescent="0.25">
      <c r="A409">
        <v>8501252</v>
      </c>
      <c r="B409" t="s">
        <v>1012</v>
      </c>
      <c r="C409" t="s">
        <v>994</v>
      </c>
      <c r="D409" t="s">
        <v>1004</v>
      </c>
      <c r="E409" t="s">
        <v>87</v>
      </c>
      <c r="F409" t="s">
        <v>995</v>
      </c>
      <c r="G409">
        <v>5882</v>
      </c>
      <c r="H409" t="s">
        <v>995</v>
      </c>
      <c r="I409" t="s">
        <v>996</v>
      </c>
      <c r="J409" t="s">
        <v>1013</v>
      </c>
      <c r="K409">
        <v>2553649</v>
      </c>
      <c r="L409">
        <v>1147126</v>
      </c>
      <c r="M409">
        <v>496</v>
      </c>
      <c r="N409" t="s">
        <v>1014</v>
      </c>
    </row>
    <row r="410" spans="1:14" x14ac:dyDescent="0.25">
      <c r="A410">
        <v>8501253</v>
      </c>
      <c r="B410" t="s">
        <v>1015</v>
      </c>
      <c r="C410" t="s">
        <v>994</v>
      </c>
      <c r="D410" t="s">
        <v>1004</v>
      </c>
      <c r="E410" t="s">
        <v>87</v>
      </c>
      <c r="F410" t="s">
        <v>995</v>
      </c>
      <c r="G410">
        <v>5882</v>
      </c>
      <c r="H410" t="s">
        <v>995</v>
      </c>
      <c r="I410" t="s">
        <v>996</v>
      </c>
      <c r="J410" t="s">
        <v>1016</v>
      </c>
      <c r="K410">
        <v>2553493</v>
      </c>
      <c r="L410">
        <v>1147479</v>
      </c>
      <c r="M410">
        <v>589</v>
      </c>
      <c r="N410" t="s">
        <v>1017</v>
      </c>
    </row>
    <row r="411" spans="1:14" x14ac:dyDescent="0.25">
      <c r="A411">
        <v>8504712</v>
      </c>
      <c r="B411" t="s">
        <v>1018</v>
      </c>
      <c r="C411" t="s">
        <v>650</v>
      </c>
      <c r="D411" t="s">
        <v>86</v>
      </c>
      <c r="E411" t="s">
        <v>87</v>
      </c>
      <c r="F411" t="s">
        <v>995</v>
      </c>
      <c r="G411">
        <v>5882</v>
      </c>
      <c r="H411" t="s">
        <v>995</v>
      </c>
      <c r="I411" t="s">
        <v>651</v>
      </c>
      <c r="K411">
        <v>2553808</v>
      </c>
      <c r="L411">
        <v>1147490</v>
      </c>
      <c r="M411">
        <v>599</v>
      </c>
      <c r="N411" t="s">
        <v>1019</v>
      </c>
    </row>
    <row r="412" spans="1:14" x14ac:dyDescent="0.25">
      <c r="A412">
        <v>8501345</v>
      </c>
      <c r="B412" t="s">
        <v>1020</v>
      </c>
      <c r="C412" t="s">
        <v>101</v>
      </c>
      <c r="D412" t="s">
        <v>86</v>
      </c>
      <c r="E412" t="s">
        <v>87</v>
      </c>
      <c r="F412" t="s">
        <v>1021</v>
      </c>
      <c r="G412">
        <v>5841</v>
      </c>
      <c r="H412" t="s">
        <v>1022</v>
      </c>
      <c r="I412" t="s">
        <v>103</v>
      </c>
      <c r="K412">
        <v>2576073</v>
      </c>
      <c r="L412">
        <v>1142571</v>
      </c>
      <c r="M412">
        <v>1093</v>
      </c>
      <c r="N412" t="s">
        <v>1023</v>
      </c>
    </row>
    <row r="413" spans="1:14" x14ac:dyDescent="0.25">
      <c r="A413">
        <v>8501700</v>
      </c>
      <c r="B413" t="s">
        <v>1024</v>
      </c>
      <c r="C413" t="s">
        <v>101</v>
      </c>
      <c r="D413" t="s">
        <v>86</v>
      </c>
      <c r="E413" t="s">
        <v>87</v>
      </c>
      <c r="F413" t="s">
        <v>1021</v>
      </c>
      <c r="G413">
        <v>5841</v>
      </c>
      <c r="H413" t="s">
        <v>1022</v>
      </c>
      <c r="I413" t="s">
        <v>103</v>
      </c>
      <c r="K413">
        <v>2576646</v>
      </c>
      <c r="L413">
        <v>1141597</v>
      </c>
      <c r="M413">
        <v>1208</v>
      </c>
      <c r="N413" t="s">
        <v>1025</v>
      </c>
    </row>
    <row r="414" spans="1:14" x14ac:dyDescent="0.25">
      <c r="A414">
        <v>8507929</v>
      </c>
      <c r="B414" t="s">
        <v>1026</v>
      </c>
      <c r="C414" t="s">
        <v>101</v>
      </c>
      <c r="D414" t="s">
        <v>86</v>
      </c>
      <c r="E414" t="s">
        <v>87</v>
      </c>
      <c r="F414" t="s">
        <v>1021</v>
      </c>
      <c r="G414">
        <v>5841</v>
      </c>
      <c r="H414" t="s">
        <v>1022</v>
      </c>
      <c r="I414" t="s">
        <v>103</v>
      </c>
      <c r="K414">
        <v>2577120</v>
      </c>
      <c r="L414">
        <v>1141668</v>
      </c>
      <c r="M414">
        <v>1127</v>
      </c>
      <c r="N414" t="s">
        <v>1027</v>
      </c>
    </row>
    <row r="415" spans="1:14" x14ac:dyDescent="0.25">
      <c r="A415">
        <v>8501394</v>
      </c>
      <c r="B415" t="s">
        <v>1021</v>
      </c>
      <c r="C415" t="s">
        <v>1028</v>
      </c>
      <c r="D415" t="s">
        <v>112</v>
      </c>
      <c r="E415" t="s">
        <v>87</v>
      </c>
      <c r="F415" t="s">
        <v>1021</v>
      </c>
      <c r="G415">
        <v>5841</v>
      </c>
      <c r="H415" t="s">
        <v>1021</v>
      </c>
      <c r="I415" t="s">
        <v>1029</v>
      </c>
      <c r="K415">
        <v>2576457.22957</v>
      </c>
      <c r="L415">
        <v>1147094.49284</v>
      </c>
      <c r="M415">
        <v>968</v>
      </c>
      <c r="N415" t="s">
        <v>1030</v>
      </c>
    </row>
    <row r="416" spans="1:14" x14ac:dyDescent="0.25">
      <c r="A416">
        <v>8501348</v>
      </c>
      <c r="B416" t="s">
        <v>1031</v>
      </c>
      <c r="C416" t="s">
        <v>101</v>
      </c>
      <c r="D416" t="s">
        <v>86</v>
      </c>
      <c r="E416" t="s">
        <v>87</v>
      </c>
      <c r="F416" t="s">
        <v>1021</v>
      </c>
      <c r="G416">
        <v>5841</v>
      </c>
      <c r="H416" t="s">
        <v>1032</v>
      </c>
      <c r="I416" t="s">
        <v>103</v>
      </c>
      <c r="K416">
        <v>2575075</v>
      </c>
      <c r="L416">
        <v>1145975</v>
      </c>
      <c r="M416">
        <v>891</v>
      </c>
      <c r="N416" t="s">
        <v>1033</v>
      </c>
    </row>
    <row r="417" spans="1:14" x14ac:dyDescent="0.25">
      <c r="A417">
        <v>8501372</v>
      </c>
      <c r="B417" t="s">
        <v>1034</v>
      </c>
      <c r="C417" t="s">
        <v>1035</v>
      </c>
      <c r="D417" t="s">
        <v>1036</v>
      </c>
      <c r="E417" t="s">
        <v>87</v>
      </c>
      <c r="F417" t="s">
        <v>1021</v>
      </c>
      <c r="G417">
        <v>5841</v>
      </c>
      <c r="H417" t="s">
        <v>1021</v>
      </c>
      <c r="I417" t="s">
        <v>1037</v>
      </c>
      <c r="J417" t="s">
        <v>1038</v>
      </c>
      <c r="K417">
        <v>2577254</v>
      </c>
      <c r="L417">
        <v>1145635</v>
      </c>
      <c r="M417">
        <v>1216</v>
      </c>
      <c r="N417" t="s">
        <v>1039</v>
      </c>
    </row>
    <row r="418" spans="1:14" x14ac:dyDescent="0.25">
      <c r="A418">
        <v>8501701</v>
      </c>
      <c r="B418" t="s">
        <v>1040</v>
      </c>
      <c r="C418" t="s">
        <v>101</v>
      </c>
      <c r="D418" t="s">
        <v>86</v>
      </c>
      <c r="E418" t="s">
        <v>87</v>
      </c>
      <c r="F418" t="s">
        <v>1021</v>
      </c>
      <c r="G418">
        <v>5841</v>
      </c>
      <c r="H418" t="s">
        <v>1022</v>
      </c>
      <c r="I418" t="s">
        <v>103</v>
      </c>
      <c r="K418">
        <v>2576525</v>
      </c>
      <c r="L418">
        <v>1142366</v>
      </c>
      <c r="M418">
        <v>1110</v>
      </c>
      <c r="N418" t="s">
        <v>1041</v>
      </c>
    </row>
    <row r="419" spans="1:14" x14ac:dyDescent="0.25">
      <c r="A419">
        <v>8501799</v>
      </c>
      <c r="B419" t="s">
        <v>1042</v>
      </c>
      <c r="C419" t="s">
        <v>101</v>
      </c>
      <c r="D419" t="s">
        <v>86</v>
      </c>
      <c r="E419" t="s">
        <v>87</v>
      </c>
      <c r="F419" t="s">
        <v>1021</v>
      </c>
      <c r="G419">
        <v>5841</v>
      </c>
      <c r="H419" t="s">
        <v>1043</v>
      </c>
      <c r="I419" t="s">
        <v>103</v>
      </c>
      <c r="J419" t="s">
        <v>1044</v>
      </c>
      <c r="K419">
        <v>2574481</v>
      </c>
      <c r="L419">
        <v>1141040</v>
      </c>
      <c r="M419">
        <v>1383</v>
      </c>
      <c r="N419" t="s">
        <v>1045</v>
      </c>
    </row>
    <row r="420" spans="1:14" x14ac:dyDescent="0.25">
      <c r="A420">
        <v>8507221</v>
      </c>
      <c r="B420" t="s">
        <v>1046</v>
      </c>
      <c r="C420" t="s">
        <v>101</v>
      </c>
      <c r="D420" t="s">
        <v>86</v>
      </c>
      <c r="E420" t="s">
        <v>87</v>
      </c>
      <c r="F420" t="s">
        <v>1021</v>
      </c>
      <c r="G420">
        <v>5841</v>
      </c>
      <c r="H420" t="s">
        <v>1032</v>
      </c>
      <c r="I420" t="s">
        <v>103</v>
      </c>
      <c r="K420">
        <v>2575792</v>
      </c>
      <c r="L420">
        <v>1145837</v>
      </c>
      <c r="M420">
        <v>927</v>
      </c>
      <c r="N420" t="s">
        <v>1047</v>
      </c>
    </row>
    <row r="421" spans="1:14" x14ac:dyDescent="0.25">
      <c r="A421">
        <v>8507925</v>
      </c>
      <c r="B421" t="s">
        <v>1048</v>
      </c>
      <c r="C421" t="s">
        <v>101</v>
      </c>
      <c r="D421" t="s">
        <v>86</v>
      </c>
      <c r="E421" t="s">
        <v>87</v>
      </c>
      <c r="F421" t="s">
        <v>1021</v>
      </c>
      <c r="G421">
        <v>5841</v>
      </c>
      <c r="H421" t="s">
        <v>1032</v>
      </c>
      <c r="I421" t="s">
        <v>103</v>
      </c>
      <c r="K421">
        <v>2575125</v>
      </c>
      <c r="L421">
        <v>1145203</v>
      </c>
      <c r="M421">
        <v>932</v>
      </c>
      <c r="N421" t="s">
        <v>1049</v>
      </c>
    </row>
    <row r="422" spans="1:14" x14ac:dyDescent="0.25">
      <c r="A422">
        <v>8507931</v>
      </c>
      <c r="B422" t="s">
        <v>1050</v>
      </c>
      <c r="C422" t="s">
        <v>101</v>
      </c>
      <c r="D422" t="s">
        <v>86</v>
      </c>
      <c r="E422" t="s">
        <v>87</v>
      </c>
      <c r="F422" t="s">
        <v>1021</v>
      </c>
      <c r="G422">
        <v>5841</v>
      </c>
      <c r="H422" t="s">
        <v>1022</v>
      </c>
      <c r="I422" t="s">
        <v>103</v>
      </c>
      <c r="K422">
        <v>2575866</v>
      </c>
      <c r="L422">
        <v>1142940</v>
      </c>
      <c r="M422">
        <v>1096</v>
      </c>
      <c r="N422" t="s">
        <v>1051</v>
      </c>
    </row>
    <row r="423" spans="1:14" x14ac:dyDescent="0.25">
      <c r="A423">
        <v>8501388</v>
      </c>
      <c r="B423" t="s">
        <v>1052</v>
      </c>
      <c r="C423" t="s">
        <v>1028</v>
      </c>
      <c r="D423" t="s">
        <v>112</v>
      </c>
      <c r="E423" t="s">
        <v>87</v>
      </c>
      <c r="F423" t="s">
        <v>1021</v>
      </c>
      <c r="G423">
        <v>5841</v>
      </c>
      <c r="H423" t="s">
        <v>1053</v>
      </c>
      <c r="I423" t="s">
        <v>1029</v>
      </c>
      <c r="K423">
        <v>2579509.639</v>
      </c>
      <c r="L423">
        <v>1147384.808</v>
      </c>
      <c r="M423">
        <v>990.8</v>
      </c>
      <c r="N423" t="s">
        <v>1054</v>
      </c>
    </row>
    <row r="424" spans="1:14" x14ac:dyDescent="0.25">
      <c r="A424">
        <v>8570619</v>
      </c>
      <c r="B424" t="s">
        <v>1055</v>
      </c>
      <c r="C424" t="s">
        <v>101</v>
      </c>
      <c r="D424" t="s">
        <v>86</v>
      </c>
      <c r="E424" t="s">
        <v>87</v>
      </c>
      <c r="F424" t="s">
        <v>1021</v>
      </c>
      <c r="G424">
        <v>5841</v>
      </c>
      <c r="H424" t="s">
        <v>1021</v>
      </c>
      <c r="I424" t="s">
        <v>103</v>
      </c>
      <c r="K424">
        <v>2575971</v>
      </c>
      <c r="L424">
        <v>1146715</v>
      </c>
      <c r="M424">
        <v>934</v>
      </c>
      <c r="N424" t="s">
        <v>1056</v>
      </c>
    </row>
    <row r="425" spans="1:14" x14ac:dyDescent="0.25">
      <c r="A425">
        <v>8511913</v>
      </c>
      <c r="B425" t="s">
        <v>1057</v>
      </c>
      <c r="C425" t="s">
        <v>1028</v>
      </c>
      <c r="D425" t="s">
        <v>86</v>
      </c>
      <c r="E425" t="s">
        <v>87</v>
      </c>
      <c r="F425" t="s">
        <v>1021</v>
      </c>
      <c r="G425">
        <v>5841</v>
      </c>
      <c r="H425" t="s">
        <v>1021</v>
      </c>
      <c r="I425" t="s">
        <v>1029</v>
      </c>
      <c r="K425">
        <v>2577336</v>
      </c>
      <c r="L425">
        <v>1147218</v>
      </c>
      <c r="M425">
        <v>984.6</v>
      </c>
      <c r="N425" t="s">
        <v>1058</v>
      </c>
    </row>
    <row r="426" spans="1:14" x14ac:dyDescent="0.25">
      <c r="A426">
        <v>8511914</v>
      </c>
      <c r="B426" t="s">
        <v>1059</v>
      </c>
      <c r="C426" t="s">
        <v>1028</v>
      </c>
      <c r="D426" t="s">
        <v>86</v>
      </c>
      <c r="E426" t="s">
        <v>87</v>
      </c>
      <c r="F426" t="s">
        <v>1021</v>
      </c>
      <c r="G426">
        <v>5841</v>
      </c>
      <c r="H426" t="s">
        <v>1021</v>
      </c>
      <c r="I426" t="s">
        <v>1029</v>
      </c>
      <c r="K426">
        <v>2578279</v>
      </c>
      <c r="L426">
        <v>1146967</v>
      </c>
      <c r="M426">
        <v>999</v>
      </c>
      <c r="N426" t="s">
        <v>1060</v>
      </c>
    </row>
    <row r="427" spans="1:14" x14ac:dyDescent="0.25">
      <c r="A427">
        <v>8530674</v>
      </c>
      <c r="B427" t="s">
        <v>1061</v>
      </c>
      <c r="C427" t="s">
        <v>1035</v>
      </c>
      <c r="D427" t="s">
        <v>1036</v>
      </c>
      <c r="E427" t="s">
        <v>87</v>
      </c>
      <c r="F427" t="s">
        <v>1021</v>
      </c>
      <c r="G427">
        <v>5841</v>
      </c>
      <c r="H427" t="s">
        <v>1021</v>
      </c>
      <c r="I427" t="s">
        <v>1037</v>
      </c>
      <c r="J427" t="s">
        <v>1062</v>
      </c>
      <c r="K427">
        <v>2576606</v>
      </c>
      <c r="L427">
        <v>1147068</v>
      </c>
      <c r="M427">
        <v>958</v>
      </c>
      <c r="N427" t="s">
        <v>1063</v>
      </c>
    </row>
    <row r="428" spans="1:14" x14ac:dyDescent="0.25">
      <c r="A428">
        <v>8570618</v>
      </c>
      <c r="B428" t="s">
        <v>1064</v>
      </c>
      <c r="C428" t="s">
        <v>101</v>
      </c>
      <c r="D428" t="s">
        <v>86</v>
      </c>
      <c r="E428" t="s">
        <v>87</v>
      </c>
      <c r="F428" t="s">
        <v>1021</v>
      </c>
      <c r="G428">
        <v>5841</v>
      </c>
      <c r="H428" t="s">
        <v>1021</v>
      </c>
      <c r="I428" t="s">
        <v>103</v>
      </c>
      <c r="K428">
        <v>2576481</v>
      </c>
      <c r="L428">
        <v>1147064</v>
      </c>
      <c r="M428">
        <v>963</v>
      </c>
      <c r="N428" t="s">
        <v>1065</v>
      </c>
    </row>
    <row r="429" spans="1:14" x14ac:dyDescent="0.25">
      <c r="A429">
        <v>8501198</v>
      </c>
      <c r="B429" t="s">
        <v>1066</v>
      </c>
      <c r="C429" t="s">
        <v>1028</v>
      </c>
      <c r="D429" t="s">
        <v>112</v>
      </c>
      <c r="E429" t="s">
        <v>87</v>
      </c>
      <c r="F429" t="s">
        <v>1021</v>
      </c>
      <c r="G429">
        <v>5841</v>
      </c>
      <c r="H429" t="s">
        <v>1021</v>
      </c>
      <c r="I429" t="s">
        <v>1029</v>
      </c>
      <c r="K429">
        <v>2577359</v>
      </c>
      <c r="L429">
        <v>1147218</v>
      </c>
      <c r="M429">
        <v>985</v>
      </c>
      <c r="N429" t="s">
        <v>1067</v>
      </c>
    </row>
    <row r="430" spans="1:14" x14ac:dyDescent="0.25">
      <c r="A430">
        <v>8501347</v>
      </c>
      <c r="B430" t="s">
        <v>1068</v>
      </c>
      <c r="C430" t="s">
        <v>101</v>
      </c>
      <c r="D430" t="s">
        <v>86</v>
      </c>
      <c r="E430" t="s">
        <v>87</v>
      </c>
      <c r="F430" t="s">
        <v>1021</v>
      </c>
      <c r="G430">
        <v>5841</v>
      </c>
      <c r="H430" t="s">
        <v>1032</v>
      </c>
      <c r="I430" t="s">
        <v>103</v>
      </c>
      <c r="K430">
        <v>2574470</v>
      </c>
      <c r="L430">
        <v>1145545</v>
      </c>
      <c r="M430">
        <v>889</v>
      </c>
      <c r="N430" t="s">
        <v>1069</v>
      </c>
    </row>
    <row r="431" spans="1:14" x14ac:dyDescent="0.25">
      <c r="A431">
        <v>8501349</v>
      </c>
      <c r="B431" t="s">
        <v>1070</v>
      </c>
      <c r="C431" t="s">
        <v>101</v>
      </c>
      <c r="D431" t="s">
        <v>86</v>
      </c>
      <c r="E431" t="s">
        <v>87</v>
      </c>
      <c r="F431" t="s">
        <v>1021</v>
      </c>
      <c r="G431">
        <v>5841</v>
      </c>
      <c r="H431" t="s">
        <v>1032</v>
      </c>
      <c r="I431" t="s">
        <v>103</v>
      </c>
      <c r="K431">
        <v>2575617</v>
      </c>
      <c r="L431">
        <v>1145293</v>
      </c>
      <c r="M431">
        <v>977</v>
      </c>
      <c r="N431" t="s">
        <v>1071</v>
      </c>
    </row>
    <row r="432" spans="1:14" x14ac:dyDescent="0.25">
      <c r="A432">
        <v>8501763</v>
      </c>
      <c r="B432" t="s">
        <v>1072</v>
      </c>
      <c r="C432" t="s">
        <v>101</v>
      </c>
      <c r="D432" t="s">
        <v>86</v>
      </c>
      <c r="E432" t="s">
        <v>87</v>
      </c>
      <c r="F432" t="s">
        <v>1021</v>
      </c>
      <c r="G432">
        <v>5841</v>
      </c>
      <c r="H432" t="s">
        <v>1022</v>
      </c>
      <c r="I432" t="s">
        <v>103</v>
      </c>
      <c r="K432">
        <v>2577439</v>
      </c>
      <c r="L432">
        <v>1141432</v>
      </c>
      <c r="M432">
        <v>1137</v>
      </c>
      <c r="N432" t="s">
        <v>1073</v>
      </c>
    </row>
    <row r="433" spans="1:14" x14ac:dyDescent="0.25">
      <c r="A433">
        <v>8501395</v>
      </c>
      <c r="B433" t="s">
        <v>1074</v>
      </c>
      <c r="C433" t="s">
        <v>1028</v>
      </c>
      <c r="D433" t="s">
        <v>112</v>
      </c>
      <c r="E433" t="s">
        <v>87</v>
      </c>
      <c r="F433" t="s">
        <v>1021</v>
      </c>
      <c r="G433">
        <v>5841</v>
      </c>
      <c r="H433" t="s">
        <v>1021</v>
      </c>
      <c r="I433" t="s">
        <v>1029</v>
      </c>
      <c r="K433">
        <v>2578212</v>
      </c>
      <c r="L433">
        <v>1147022</v>
      </c>
      <c r="M433">
        <v>1002</v>
      </c>
      <c r="N433" t="s">
        <v>1075</v>
      </c>
    </row>
    <row r="434" spans="1:14" x14ac:dyDescent="0.25">
      <c r="A434">
        <v>8501343</v>
      </c>
      <c r="B434" t="s">
        <v>1076</v>
      </c>
      <c r="C434" t="s">
        <v>101</v>
      </c>
      <c r="D434" t="s">
        <v>86</v>
      </c>
      <c r="E434" t="s">
        <v>87</v>
      </c>
      <c r="F434" t="s">
        <v>1021</v>
      </c>
      <c r="G434">
        <v>5841</v>
      </c>
      <c r="H434" t="s">
        <v>1032</v>
      </c>
      <c r="I434" t="s">
        <v>103</v>
      </c>
      <c r="K434">
        <v>2575340</v>
      </c>
      <c r="L434">
        <v>1144986</v>
      </c>
      <c r="M434">
        <v>999</v>
      </c>
      <c r="N434" t="s">
        <v>1077</v>
      </c>
    </row>
    <row r="435" spans="1:14" x14ac:dyDescent="0.25">
      <c r="A435">
        <v>8501344</v>
      </c>
      <c r="B435" t="s">
        <v>1078</v>
      </c>
      <c r="C435" t="s">
        <v>101</v>
      </c>
      <c r="D435" t="s">
        <v>86</v>
      </c>
      <c r="E435" t="s">
        <v>87</v>
      </c>
      <c r="F435" t="s">
        <v>1021</v>
      </c>
      <c r="G435">
        <v>5841</v>
      </c>
      <c r="H435" t="s">
        <v>1043</v>
      </c>
      <c r="I435" t="s">
        <v>103</v>
      </c>
      <c r="K435">
        <v>2574991</v>
      </c>
      <c r="L435">
        <v>1141795</v>
      </c>
      <c r="M435">
        <v>1340</v>
      </c>
      <c r="N435" t="s">
        <v>1079</v>
      </c>
    </row>
    <row r="436" spans="1:14" x14ac:dyDescent="0.25">
      <c r="A436">
        <v>8501373</v>
      </c>
      <c r="B436" t="s">
        <v>1080</v>
      </c>
      <c r="C436" t="s">
        <v>1035</v>
      </c>
      <c r="D436" t="s">
        <v>692</v>
      </c>
      <c r="E436" t="s">
        <v>87</v>
      </c>
      <c r="F436" t="s">
        <v>1021</v>
      </c>
      <c r="G436">
        <v>5841</v>
      </c>
      <c r="H436" t="s">
        <v>1021</v>
      </c>
      <c r="I436" t="s">
        <v>1037</v>
      </c>
      <c r="J436" t="s">
        <v>1081</v>
      </c>
      <c r="K436">
        <v>2577500</v>
      </c>
      <c r="L436">
        <v>1144100</v>
      </c>
      <c r="M436">
        <v>1630</v>
      </c>
      <c r="N436" t="s">
        <v>1082</v>
      </c>
    </row>
    <row r="437" spans="1:14" x14ac:dyDescent="0.25">
      <c r="A437">
        <v>8511915</v>
      </c>
      <c r="B437" t="s">
        <v>1083</v>
      </c>
      <c r="C437" t="s">
        <v>1028</v>
      </c>
      <c r="D437" t="s">
        <v>86</v>
      </c>
      <c r="E437" t="s">
        <v>87</v>
      </c>
      <c r="F437" t="s">
        <v>1021</v>
      </c>
      <c r="G437">
        <v>5841</v>
      </c>
      <c r="H437" t="s">
        <v>1053</v>
      </c>
      <c r="I437" t="s">
        <v>1029</v>
      </c>
      <c r="K437">
        <v>2579526</v>
      </c>
      <c r="L437">
        <v>1147393</v>
      </c>
      <c r="M437">
        <v>991</v>
      </c>
      <c r="N437" t="s">
        <v>1084</v>
      </c>
    </row>
    <row r="438" spans="1:14" x14ac:dyDescent="0.25">
      <c r="A438">
        <v>8531214</v>
      </c>
      <c r="B438" t="s">
        <v>1085</v>
      </c>
      <c r="C438" t="s">
        <v>1035</v>
      </c>
      <c r="E438" t="s">
        <v>87</v>
      </c>
      <c r="F438" t="s">
        <v>1021</v>
      </c>
      <c r="G438">
        <v>5841</v>
      </c>
      <c r="H438" t="s">
        <v>1021</v>
      </c>
      <c r="I438" t="s">
        <v>1037</v>
      </c>
      <c r="J438" t="s">
        <v>1086</v>
      </c>
      <c r="K438">
        <v>2577243</v>
      </c>
      <c r="L438">
        <v>1145627</v>
      </c>
      <c r="M438">
        <v>1216</v>
      </c>
      <c r="N438" t="s">
        <v>1087</v>
      </c>
    </row>
    <row r="439" spans="1:14" x14ac:dyDescent="0.25">
      <c r="A439">
        <v>8594263</v>
      </c>
      <c r="B439" t="s">
        <v>1088</v>
      </c>
      <c r="C439" t="s">
        <v>206</v>
      </c>
      <c r="D439" t="s">
        <v>86</v>
      </c>
      <c r="E439" t="s">
        <v>87</v>
      </c>
      <c r="F439" t="s">
        <v>1089</v>
      </c>
      <c r="G439">
        <v>5707</v>
      </c>
      <c r="H439" t="s">
        <v>1089</v>
      </c>
      <c r="I439" t="s">
        <v>208</v>
      </c>
      <c r="K439">
        <v>2501902.82907</v>
      </c>
      <c r="L439">
        <v>1133674.5711699999</v>
      </c>
      <c r="M439">
        <v>477.9</v>
      </c>
      <c r="N439" t="s">
        <v>1090</v>
      </c>
    </row>
    <row r="440" spans="1:14" x14ac:dyDescent="0.25">
      <c r="A440">
        <v>8579319</v>
      </c>
      <c r="B440" t="s">
        <v>1091</v>
      </c>
      <c r="C440" t="s">
        <v>206</v>
      </c>
      <c r="D440" t="s">
        <v>86</v>
      </c>
      <c r="E440" t="s">
        <v>87</v>
      </c>
      <c r="F440" t="s">
        <v>1089</v>
      </c>
      <c r="G440">
        <v>5707</v>
      </c>
      <c r="H440" t="s">
        <v>1089</v>
      </c>
      <c r="I440" t="s">
        <v>208</v>
      </c>
      <c r="K440">
        <v>2501030.4460399998</v>
      </c>
      <c r="L440">
        <v>1133501.3519600001</v>
      </c>
      <c r="M440">
        <v>467.6</v>
      </c>
      <c r="N440" t="s">
        <v>1092</v>
      </c>
    </row>
    <row r="441" spans="1:14" x14ac:dyDescent="0.25">
      <c r="A441">
        <v>8595239</v>
      </c>
      <c r="B441" t="s">
        <v>1093</v>
      </c>
      <c r="C441" t="s">
        <v>206</v>
      </c>
      <c r="D441" t="s">
        <v>86</v>
      </c>
      <c r="E441" t="s">
        <v>87</v>
      </c>
      <c r="F441" t="s">
        <v>1089</v>
      </c>
      <c r="G441">
        <v>5707</v>
      </c>
      <c r="H441" t="s">
        <v>1089</v>
      </c>
      <c r="I441" t="s">
        <v>208</v>
      </c>
      <c r="K441">
        <v>2501466.8087399998</v>
      </c>
      <c r="L441">
        <v>1133211.2734900001</v>
      </c>
      <c r="M441">
        <v>472.5</v>
      </c>
      <c r="N441" t="s">
        <v>1094</v>
      </c>
    </row>
    <row r="442" spans="1:14" x14ac:dyDescent="0.25">
      <c r="A442">
        <v>8579317</v>
      </c>
      <c r="B442" t="s">
        <v>1095</v>
      </c>
      <c r="C442" t="s">
        <v>206</v>
      </c>
      <c r="D442" t="s">
        <v>86</v>
      </c>
      <c r="E442" t="s">
        <v>87</v>
      </c>
      <c r="F442" t="s">
        <v>1089</v>
      </c>
      <c r="G442">
        <v>5707</v>
      </c>
      <c r="H442" t="s">
        <v>1089</v>
      </c>
      <c r="I442" t="s">
        <v>208</v>
      </c>
      <c r="K442">
        <v>2501729</v>
      </c>
      <c r="L442">
        <v>1133266</v>
      </c>
      <c r="M442">
        <v>479</v>
      </c>
      <c r="N442" t="s">
        <v>1096</v>
      </c>
    </row>
    <row r="443" spans="1:14" x14ac:dyDescent="0.25">
      <c r="A443">
        <v>8579318</v>
      </c>
      <c r="B443" t="s">
        <v>1097</v>
      </c>
      <c r="C443" t="s">
        <v>206</v>
      </c>
      <c r="D443" t="s">
        <v>86</v>
      </c>
      <c r="E443" t="s">
        <v>87</v>
      </c>
      <c r="F443" t="s">
        <v>1089</v>
      </c>
      <c r="G443">
        <v>5707</v>
      </c>
      <c r="H443" t="s">
        <v>1089</v>
      </c>
      <c r="I443" t="s">
        <v>208</v>
      </c>
      <c r="J443" t="s">
        <v>1098</v>
      </c>
      <c r="K443">
        <v>2501249</v>
      </c>
      <c r="L443">
        <v>1132214</v>
      </c>
      <c r="M443">
        <v>471</v>
      </c>
      <c r="N443" t="s">
        <v>1099</v>
      </c>
    </row>
    <row r="444" spans="1:14" x14ac:dyDescent="0.25">
      <c r="A444">
        <v>8588298</v>
      </c>
      <c r="B444" t="s">
        <v>1100</v>
      </c>
      <c r="C444" t="s">
        <v>206</v>
      </c>
      <c r="D444" t="s">
        <v>86</v>
      </c>
      <c r="E444" t="s">
        <v>87</v>
      </c>
      <c r="F444" t="s">
        <v>1100</v>
      </c>
      <c r="G444">
        <v>5708</v>
      </c>
      <c r="H444" t="s">
        <v>1100</v>
      </c>
      <c r="I444" t="s">
        <v>208</v>
      </c>
      <c r="K444">
        <v>2499419</v>
      </c>
      <c r="L444">
        <v>1130099</v>
      </c>
      <c r="M444">
        <v>468</v>
      </c>
      <c r="N444" t="s">
        <v>1101</v>
      </c>
    </row>
    <row r="445" spans="1:14" x14ac:dyDescent="0.25">
      <c r="A445">
        <v>8504987</v>
      </c>
      <c r="B445" t="s">
        <v>1102</v>
      </c>
      <c r="C445" t="s">
        <v>94</v>
      </c>
      <c r="D445" t="s">
        <v>86</v>
      </c>
      <c r="E445" t="s">
        <v>87</v>
      </c>
      <c r="F445" t="s">
        <v>1103</v>
      </c>
      <c r="G445">
        <v>5907</v>
      </c>
      <c r="H445" t="s">
        <v>1103</v>
      </c>
      <c r="I445" t="s">
        <v>96</v>
      </c>
      <c r="K445">
        <v>2549542</v>
      </c>
      <c r="L445">
        <v>1180828</v>
      </c>
      <c r="M445">
        <v>659</v>
      </c>
      <c r="N445" t="s">
        <v>1104</v>
      </c>
    </row>
    <row r="446" spans="1:14" x14ac:dyDescent="0.25">
      <c r="A446">
        <v>8570135</v>
      </c>
      <c r="B446" t="s">
        <v>1105</v>
      </c>
      <c r="C446" t="s">
        <v>85</v>
      </c>
      <c r="D446" t="s">
        <v>86</v>
      </c>
      <c r="E446" t="s">
        <v>87</v>
      </c>
      <c r="F446" t="s">
        <v>1106</v>
      </c>
      <c r="G446">
        <v>5475</v>
      </c>
      <c r="H446" t="s">
        <v>1106</v>
      </c>
      <c r="I446" t="s">
        <v>89</v>
      </c>
      <c r="K446">
        <v>2524925</v>
      </c>
      <c r="L446">
        <v>1162250</v>
      </c>
      <c r="M446">
        <v>572</v>
      </c>
      <c r="N446" t="s">
        <v>1107</v>
      </c>
    </row>
    <row r="447" spans="1:14" x14ac:dyDescent="0.25">
      <c r="A447">
        <v>8570136</v>
      </c>
      <c r="B447" t="s">
        <v>1108</v>
      </c>
      <c r="C447" t="s">
        <v>85</v>
      </c>
      <c r="D447" t="s">
        <v>86</v>
      </c>
      <c r="E447" t="s">
        <v>87</v>
      </c>
      <c r="F447" t="s">
        <v>1106</v>
      </c>
      <c r="G447">
        <v>5475</v>
      </c>
      <c r="H447" t="s">
        <v>1106</v>
      </c>
      <c r="I447" t="s">
        <v>89</v>
      </c>
      <c r="K447">
        <v>2524267.2669299999</v>
      </c>
      <c r="L447">
        <v>1162486.66392</v>
      </c>
      <c r="M447">
        <v>611.5</v>
      </c>
      <c r="N447" t="s">
        <v>1109</v>
      </c>
    </row>
    <row r="448" spans="1:14" x14ac:dyDescent="0.25">
      <c r="A448">
        <v>8507227</v>
      </c>
      <c r="B448" t="s">
        <v>1110</v>
      </c>
      <c r="C448" t="s">
        <v>242</v>
      </c>
      <c r="D448" t="s">
        <v>86</v>
      </c>
      <c r="E448" t="s">
        <v>87</v>
      </c>
      <c r="F448" t="s">
        <v>42</v>
      </c>
      <c r="G448">
        <v>5627</v>
      </c>
      <c r="H448" t="s">
        <v>42</v>
      </c>
      <c r="I448" t="s">
        <v>243</v>
      </c>
      <c r="K448">
        <v>2533580</v>
      </c>
      <c r="L448">
        <v>1153574</v>
      </c>
      <c r="M448">
        <v>404</v>
      </c>
      <c r="N448" t="s">
        <v>1111</v>
      </c>
    </row>
    <row r="449" spans="1:14" x14ac:dyDescent="0.25">
      <c r="A449">
        <v>8593866</v>
      </c>
      <c r="B449" t="s">
        <v>1112</v>
      </c>
      <c r="C449" t="s">
        <v>242</v>
      </c>
      <c r="D449" t="s">
        <v>86</v>
      </c>
      <c r="E449" t="s">
        <v>87</v>
      </c>
      <c r="F449" t="s">
        <v>42</v>
      </c>
      <c r="G449">
        <v>5627</v>
      </c>
      <c r="H449" t="s">
        <v>42</v>
      </c>
      <c r="I449" t="s">
        <v>243</v>
      </c>
      <c r="K449">
        <v>2534059</v>
      </c>
      <c r="L449">
        <v>1153950</v>
      </c>
      <c r="M449">
        <v>409</v>
      </c>
      <c r="N449" t="s">
        <v>1113</v>
      </c>
    </row>
    <row r="450" spans="1:14" x14ac:dyDescent="0.25">
      <c r="A450">
        <v>8593869</v>
      </c>
      <c r="B450" t="s">
        <v>1114</v>
      </c>
      <c r="C450" t="s">
        <v>242</v>
      </c>
      <c r="D450" t="s">
        <v>86</v>
      </c>
      <c r="E450" t="s">
        <v>87</v>
      </c>
      <c r="F450" t="s">
        <v>42</v>
      </c>
      <c r="G450">
        <v>5627</v>
      </c>
      <c r="H450" t="s">
        <v>42</v>
      </c>
      <c r="I450" t="s">
        <v>243</v>
      </c>
      <c r="K450">
        <v>2533869</v>
      </c>
      <c r="L450">
        <v>1154252</v>
      </c>
      <c r="M450">
        <v>416</v>
      </c>
      <c r="N450" t="s">
        <v>1115</v>
      </c>
    </row>
    <row r="451" spans="1:14" x14ac:dyDescent="0.25">
      <c r="A451">
        <v>8593867</v>
      </c>
      <c r="B451" t="s">
        <v>1116</v>
      </c>
      <c r="C451" t="s">
        <v>242</v>
      </c>
      <c r="D451" t="s">
        <v>86</v>
      </c>
      <c r="E451" t="s">
        <v>87</v>
      </c>
      <c r="F451" t="s">
        <v>42</v>
      </c>
      <c r="G451">
        <v>5627</v>
      </c>
      <c r="H451" t="s">
        <v>42</v>
      </c>
      <c r="I451" t="s">
        <v>243</v>
      </c>
      <c r="K451">
        <v>2533535.1</v>
      </c>
      <c r="L451">
        <v>1153397.8</v>
      </c>
      <c r="M451">
        <v>398</v>
      </c>
      <c r="N451" t="s">
        <v>1117</v>
      </c>
    </row>
    <row r="452" spans="1:14" x14ac:dyDescent="0.25">
      <c r="A452">
        <v>8512025</v>
      </c>
      <c r="B452" t="s">
        <v>1118</v>
      </c>
      <c r="C452" t="s">
        <v>242</v>
      </c>
      <c r="D452" t="s">
        <v>86</v>
      </c>
      <c r="E452" t="s">
        <v>87</v>
      </c>
      <c r="F452" t="s">
        <v>42</v>
      </c>
      <c r="G452">
        <v>5627</v>
      </c>
      <c r="H452" t="s">
        <v>42</v>
      </c>
      <c r="I452" t="s">
        <v>243</v>
      </c>
      <c r="K452">
        <v>2533454.7106900001</v>
      </c>
      <c r="L452">
        <v>1153127.15827</v>
      </c>
      <c r="M452">
        <v>396.1</v>
      </c>
      <c r="N452" t="s">
        <v>1119</v>
      </c>
    </row>
    <row r="453" spans="1:14" x14ac:dyDescent="0.25">
      <c r="A453">
        <v>8512033</v>
      </c>
      <c r="B453" t="s">
        <v>1120</v>
      </c>
      <c r="C453" t="s">
        <v>242</v>
      </c>
      <c r="D453" t="s">
        <v>86</v>
      </c>
      <c r="E453" t="s">
        <v>87</v>
      </c>
      <c r="F453" t="s">
        <v>42</v>
      </c>
      <c r="G453">
        <v>5627</v>
      </c>
      <c r="H453" t="s">
        <v>42</v>
      </c>
      <c r="I453" t="s">
        <v>243</v>
      </c>
      <c r="K453">
        <v>2533928.5916499998</v>
      </c>
      <c r="L453">
        <v>1153897.98407</v>
      </c>
      <c r="M453">
        <v>408.3</v>
      </c>
      <c r="N453" t="s">
        <v>1121</v>
      </c>
    </row>
    <row r="454" spans="1:14" x14ac:dyDescent="0.25">
      <c r="A454">
        <v>8593868</v>
      </c>
      <c r="B454" t="s">
        <v>1122</v>
      </c>
      <c r="C454" t="s">
        <v>242</v>
      </c>
      <c r="D454" t="s">
        <v>86</v>
      </c>
      <c r="E454" t="s">
        <v>87</v>
      </c>
      <c r="F454" t="s">
        <v>42</v>
      </c>
      <c r="G454">
        <v>5627</v>
      </c>
      <c r="H454" t="s">
        <v>42</v>
      </c>
      <c r="I454" t="s">
        <v>243</v>
      </c>
      <c r="K454">
        <v>2533691</v>
      </c>
      <c r="L454">
        <v>1153816</v>
      </c>
      <c r="M454">
        <v>405</v>
      </c>
      <c r="N454" t="s">
        <v>1123</v>
      </c>
    </row>
    <row r="455" spans="1:14" x14ac:dyDescent="0.25">
      <c r="A455">
        <v>8501216</v>
      </c>
      <c r="B455" t="s">
        <v>1124</v>
      </c>
      <c r="C455" t="s">
        <v>242</v>
      </c>
      <c r="D455" t="s">
        <v>1125</v>
      </c>
      <c r="E455" t="s">
        <v>87</v>
      </c>
      <c r="F455" t="s">
        <v>42</v>
      </c>
      <c r="G455">
        <v>5627</v>
      </c>
      <c r="H455" t="s">
        <v>42</v>
      </c>
      <c r="I455" t="s">
        <v>243</v>
      </c>
      <c r="K455">
        <v>2533089</v>
      </c>
      <c r="L455">
        <v>1153312</v>
      </c>
      <c r="M455">
        <v>396</v>
      </c>
      <c r="N455" t="s">
        <v>1126</v>
      </c>
    </row>
    <row r="456" spans="1:14" x14ac:dyDescent="0.25">
      <c r="A456">
        <v>8510422</v>
      </c>
      <c r="B456" t="s">
        <v>1127</v>
      </c>
      <c r="C456" t="s">
        <v>242</v>
      </c>
      <c r="D456" t="s">
        <v>86</v>
      </c>
      <c r="E456" t="s">
        <v>87</v>
      </c>
      <c r="F456" t="s">
        <v>42</v>
      </c>
      <c r="G456">
        <v>5627</v>
      </c>
      <c r="H456" t="s">
        <v>42</v>
      </c>
      <c r="I456" t="s">
        <v>243</v>
      </c>
      <c r="K456">
        <v>2534386.71129</v>
      </c>
      <c r="L456">
        <v>1153398.2786900001</v>
      </c>
      <c r="M456">
        <v>404</v>
      </c>
      <c r="N456" t="s">
        <v>1128</v>
      </c>
    </row>
    <row r="457" spans="1:14" x14ac:dyDescent="0.25">
      <c r="A457">
        <v>8501211</v>
      </c>
      <c r="B457" t="s">
        <v>1129</v>
      </c>
      <c r="C457" t="s">
        <v>242</v>
      </c>
      <c r="D457" t="s">
        <v>1130</v>
      </c>
      <c r="E457" t="s">
        <v>87</v>
      </c>
      <c r="F457" t="s">
        <v>42</v>
      </c>
      <c r="G457">
        <v>5627</v>
      </c>
      <c r="H457" t="s">
        <v>42</v>
      </c>
      <c r="I457" t="s">
        <v>243</v>
      </c>
      <c r="K457">
        <v>2534478</v>
      </c>
      <c r="L457">
        <v>1152904</v>
      </c>
      <c r="M457">
        <v>388</v>
      </c>
      <c r="N457" t="s">
        <v>1131</v>
      </c>
    </row>
    <row r="458" spans="1:14" x14ac:dyDescent="0.25">
      <c r="A458">
        <v>8595602</v>
      </c>
      <c r="B458" t="s">
        <v>1132</v>
      </c>
      <c r="C458" t="s">
        <v>242</v>
      </c>
      <c r="D458" t="s">
        <v>86</v>
      </c>
      <c r="E458" t="s">
        <v>87</v>
      </c>
      <c r="F458" t="s">
        <v>42</v>
      </c>
      <c r="G458">
        <v>5627</v>
      </c>
      <c r="H458" t="s">
        <v>42</v>
      </c>
      <c r="I458" t="s">
        <v>243</v>
      </c>
      <c r="K458">
        <v>2534420.2472600001</v>
      </c>
      <c r="L458">
        <v>1153186.9750300001</v>
      </c>
      <c r="M458">
        <v>393</v>
      </c>
      <c r="N458" t="s">
        <v>1133</v>
      </c>
    </row>
    <row r="459" spans="1:14" x14ac:dyDescent="0.25">
      <c r="A459">
        <v>8591933</v>
      </c>
      <c r="B459" t="s">
        <v>1134</v>
      </c>
      <c r="C459" t="s">
        <v>242</v>
      </c>
      <c r="D459" t="s">
        <v>86</v>
      </c>
      <c r="E459" t="s">
        <v>87</v>
      </c>
      <c r="F459" t="s">
        <v>42</v>
      </c>
      <c r="G459">
        <v>5627</v>
      </c>
      <c r="H459" t="s">
        <v>42</v>
      </c>
      <c r="I459" t="s">
        <v>243</v>
      </c>
      <c r="K459">
        <v>2533594</v>
      </c>
      <c r="L459">
        <v>1154023</v>
      </c>
      <c r="M459">
        <v>410</v>
      </c>
      <c r="N459" t="s">
        <v>1135</v>
      </c>
    </row>
    <row r="460" spans="1:14" x14ac:dyDescent="0.25">
      <c r="A460">
        <v>8594986</v>
      </c>
      <c r="B460" t="s">
        <v>1136</v>
      </c>
      <c r="C460" t="s">
        <v>242</v>
      </c>
      <c r="D460" t="s">
        <v>86</v>
      </c>
      <c r="E460" t="s">
        <v>87</v>
      </c>
      <c r="F460" t="s">
        <v>42</v>
      </c>
      <c r="G460">
        <v>5627</v>
      </c>
      <c r="H460" t="s">
        <v>42</v>
      </c>
      <c r="I460" t="s">
        <v>243</v>
      </c>
      <c r="K460">
        <v>2533735</v>
      </c>
      <c r="L460">
        <v>1153276</v>
      </c>
      <c r="M460">
        <v>395</v>
      </c>
      <c r="N460" t="s">
        <v>1137</v>
      </c>
    </row>
    <row r="461" spans="1:14" x14ac:dyDescent="0.25">
      <c r="A461">
        <v>8501217</v>
      </c>
      <c r="B461" t="s">
        <v>1138</v>
      </c>
      <c r="C461" t="s">
        <v>242</v>
      </c>
      <c r="D461" t="s">
        <v>1130</v>
      </c>
      <c r="E461" t="s">
        <v>87</v>
      </c>
      <c r="F461" t="s">
        <v>42</v>
      </c>
      <c r="G461">
        <v>5627</v>
      </c>
      <c r="H461" t="s">
        <v>42</v>
      </c>
      <c r="I461" t="s">
        <v>243</v>
      </c>
      <c r="K461">
        <v>2533358</v>
      </c>
      <c r="L461">
        <v>1153861</v>
      </c>
      <c r="M461">
        <v>403</v>
      </c>
      <c r="N461" t="s">
        <v>1139</v>
      </c>
    </row>
    <row r="462" spans="1:14" x14ac:dyDescent="0.25">
      <c r="A462">
        <v>8501212</v>
      </c>
      <c r="B462" t="s">
        <v>1140</v>
      </c>
      <c r="C462" t="s">
        <v>242</v>
      </c>
      <c r="D462" t="s">
        <v>1130</v>
      </c>
      <c r="E462" t="s">
        <v>87</v>
      </c>
      <c r="F462" t="s">
        <v>42</v>
      </c>
      <c r="G462">
        <v>5627</v>
      </c>
      <c r="H462" t="s">
        <v>42</v>
      </c>
      <c r="I462" t="s">
        <v>243</v>
      </c>
      <c r="K462">
        <v>2534033</v>
      </c>
      <c r="L462">
        <v>1152995</v>
      </c>
      <c r="M462">
        <v>385</v>
      </c>
      <c r="N462" t="s">
        <v>1141</v>
      </c>
    </row>
    <row r="463" spans="1:14" x14ac:dyDescent="0.25">
      <c r="A463">
        <v>8511875</v>
      </c>
      <c r="B463" t="s">
        <v>1142</v>
      </c>
      <c r="C463" t="s">
        <v>242</v>
      </c>
      <c r="D463" t="s">
        <v>86</v>
      </c>
      <c r="E463" t="s">
        <v>87</v>
      </c>
      <c r="F463" t="s">
        <v>42</v>
      </c>
      <c r="G463">
        <v>5627</v>
      </c>
      <c r="H463" t="s">
        <v>42</v>
      </c>
      <c r="I463" t="s">
        <v>243</v>
      </c>
      <c r="K463">
        <v>2533963.9862600002</v>
      </c>
      <c r="L463">
        <v>1154361.0070799999</v>
      </c>
      <c r="M463">
        <v>416.2</v>
      </c>
      <c r="N463" t="s">
        <v>1143</v>
      </c>
    </row>
    <row r="464" spans="1:14" x14ac:dyDescent="0.25">
      <c r="A464">
        <v>8512032</v>
      </c>
      <c r="B464" t="s">
        <v>1144</v>
      </c>
      <c r="C464" t="s">
        <v>242</v>
      </c>
      <c r="D464" t="s">
        <v>86</v>
      </c>
      <c r="E464" t="s">
        <v>87</v>
      </c>
      <c r="F464" t="s">
        <v>42</v>
      </c>
      <c r="G464">
        <v>5627</v>
      </c>
      <c r="H464" t="s">
        <v>42</v>
      </c>
      <c r="I464" t="s">
        <v>243</v>
      </c>
      <c r="K464">
        <v>2534041.5301399999</v>
      </c>
      <c r="L464">
        <v>1153756.5344</v>
      </c>
      <c r="M464">
        <v>403.9</v>
      </c>
      <c r="N464" t="s">
        <v>1145</v>
      </c>
    </row>
    <row r="465" spans="1:14" x14ac:dyDescent="0.25">
      <c r="A465">
        <v>8594987</v>
      </c>
      <c r="B465" t="s">
        <v>1146</v>
      </c>
      <c r="C465" t="s">
        <v>242</v>
      </c>
      <c r="D465" t="s">
        <v>86</v>
      </c>
      <c r="E465" t="s">
        <v>87</v>
      </c>
      <c r="F465" t="s">
        <v>42</v>
      </c>
      <c r="G465">
        <v>5627</v>
      </c>
      <c r="H465" t="s">
        <v>42</v>
      </c>
      <c r="I465" t="s">
        <v>243</v>
      </c>
      <c r="K465">
        <v>2534069</v>
      </c>
      <c r="L465">
        <v>1153126</v>
      </c>
      <c r="M465">
        <v>401</v>
      </c>
      <c r="N465" t="s">
        <v>1147</v>
      </c>
    </row>
    <row r="466" spans="1:14" x14ac:dyDescent="0.25">
      <c r="A466">
        <v>8577649</v>
      </c>
      <c r="B466" t="s">
        <v>1148</v>
      </c>
      <c r="C466" t="s">
        <v>94</v>
      </c>
      <c r="D466" t="s">
        <v>86</v>
      </c>
      <c r="E466" t="s">
        <v>87</v>
      </c>
      <c r="F466" t="s">
        <v>1149</v>
      </c>
      <c r="G466">
        <v>5665</v>
      </c>
      <c r="H466" t="s">
        <v>1149</v>
      </c>
      <c r="I466" t="s">
        <v>96</v>
      </c>
      <c r="K466">
        <v>2552796</v>
      </c>
      <c r="L466">
        <v>1167911</v>
      </c>
      <c r="M466">
        <v>727</v>
      </c>
      <c r="N466" t="s">
        <v>1150</v>
      </c>
    </row>
    <row r="467" spans="1:14" x14ac:dyDescent="0.25">
      <c r="A467">
        <v>8577650</v>
      </c>
      <c r="B467" t="s">
        <v>1151</v>
      </c>
      <c r="C467" t="s">
        <v>94</v>
      </c>
      <c r="D467" t="s">
        <v>86</v>
      </c>
      <c r="E467" t="s">
        <v>87</v>
      </c>
      <c r="F467" t="s">
        <v>1149</v>
      </c>
      <c r="G467">
        <v>5665</v>
      </c>
      <c r="H467" t="s">
        <v>1149</v>
      </c>
      <c r="I467" t="s">
        <v>96</v>
      </c>
      <c r="K467">
        <v>2551792</v>
      </c>
      <c r="L467">
        <v>1167562</v>
      </c>
      <c r="M467">
        <v>686</v>
      </c>
      <c r="N467" t="s">
        <v>1152</v>
      </c>
    </row>
    <row r="468" spans="1:14" x14ac:dyDescent="0.25">
      <c r="A468">
        <v>8577648</v>
      </c>
      <c r="B468" t="s">
        <v>1153</v>
      </c>
      <c r="C468" t="s">
        <v>94</v>
      </c>
      <c r="D468" t="s">
        <v>86</v>
      </c>
      <c r="E468" t="s">
        <v>87</v>
      </c>
      <c r="F468" t="s">
        <v>1149</v>
      </c>
      <c r="G468">
        <v>5665</v>
      </c>
      <c r="H468" t="s">
        <v>1149</v>
      </c>
      <c r="I468" t="s">
        <v>96</v>
      </c>
      <c r="K468">
        <v>2553363</v>
      </c>
      <c r="L468">
        <v>1168599</v>
      </c>
      <c r="M468">
        <v>711</v>
      </c>
      <c r="N468" t="s">
        <v>1154</v>
      </c>
    </row>
    <row r="469" spans="1:14" x14ac:dyDescent="0.25">
      <c r="A469">
        <v>8504903</v>
      </c>
      <c r="B469" t="s">
        <v>1155</v>
      </c>
      <c r="C469" t="s">
        <v>94</v>
      </c>
      <c r="D469" t="s">
        <v>86</v>
      </c>
      <c r="E469" t="s">
        <v>87</v>
      </c>
      <c r="F469" t="s">
        <v>1149</v>
      </c>
      <c r="G469">
        <v>5665</v>
      </c>
      <c r="H469" t="s">
        <v>1149</v>
      </c>
      <c r="I469" t="s">
        <v>96</v>
      </c>
      <c r="K469">
        <v>2551212</v>
      </c>
      <c r="L469">
        <v>1166853</v>
      </c>
      <c r="M469">
        <v>617</v>
      </c>
      <c r="N469" t="s">
        <v>1156</v>
      </c>
    </row>
    <row r="470" spans="1:14" x14ac:dyDescent="0.25">
      <c r="A470">
        <v>8501111</v>
      </c>
      <c r="B470" t="s">
        <v>1157</v>
      </c>
      <c r="C470" t="s">
        <v>132</v>
      </c>
      <c r="D470" t="s">
        <v>112</v>
      </c>
      <c r="E470" t="s">
        <v>87</v>
      </c>
      <c r="F470" t="s">
        <v>1158</v>
      </c>
      <c r="G470">
        <v>5749</v>
      </c>
      <c r="H470" t="s">
        <v>1157</v>
      </c>
      <c r="I470" t="s">
        <v>133</v>
      </c>
      <c r="K470">
        <v>2534414.9190000002</v>
      </c>
      <c r="L470">
        <v>1175523.4750000001</v>
      </c>
      <c r="M470">
        <v>438.19</v>
      </c>
      <c r="N470" t="s">
        <v>1159</v>
      </c>
    </row>
    <row r="471" spans="1:14" x14ac:dyDescent="0.25">
      <c r="A471">
        <v>8507443</v>
      </c>
      <c r="B471" t="s">
        <v>1160</v>
      </c>
      <c r="C471" t="s">
        <v>338</v>
      </c>
      <c r="E471" t="s">
        <v>87</v>
      </c>
      <c r="F471" t="s">
        <v>1158</v>
      </c>
      <c r="G471">
        <v>5749</v>
      </c>
      <c r="H471" t="s">
        <v>1158</v>
      </c>
      <c r="I471" t="s">
        <v>372</v>
      </c>
      <c r="K471">
        <v>2532776</v>
      </c>
      <c r="L471">
        <v>1173947</v>
      </c>
      <c r="M471">
        <v>439</v>
      </c>
      <c r="N471" t="s">
        <v>1161</v>
      </c>
    </row>
    <row r="472" spans="1:14" x14ac:dyDescent="0.25">
      <c r="A472">
        <v>8511085</v>
      </c>
      <c r="B472" t="s">
        <v>1162</v>
      </c>
      <c r="C472" t="s">
        <v>94</v>
      </c>
      <c r="D472" t="s">
        <v>86</v>
      </c>
      <c r="E472" t="s">
        <v>87</v>
      </c>
      <c r="F472" t="s">
        <v>1158</v>
      </c>
      <c r="G472">
        <v>5749</v>
      </c>
      <c r="H472" t="s">
        <v>1157</v>
      </c>
      <c r="I472" t="s">
        <v>96</v>
      </c>
      <c r="K472">
        <v>2534430</v>
      </c>
      <c r="L472">
        <v>1175521</v>
      </c>
      <c r="M472">
        <v>440</v>
      </c>
      <c r="N472" t="s">
        <v>1163</v>
      </c>
    </row>
    <row r="473" spans="1:14" x14ac:dyDescent="0.25">
      <c r="A473">
        <v>8570200</v>
      </c>
      <c r="B473" t="s">
        <v>1164</v>
      </c>
      <c r="C473" t="s">
        <v>94</v>
      </c>
      <c r="D473" t="s">
        <v>86</v>
      </c>
      <c r="E473" t="s">
        <v>87</v>
      </c>
      <c r="F473" t="s">
        <v>1158</v>
      </c>
      <c r="G473">
        <v>5749</v>
      </c>
      <c r="H473" t="s">
        <v>1158</v>
      </c>
      <c r="I473" t="s">
        <v>96</v>
      </c>
      <c r="K473">
        <v>2533422</v>
      </c>
      <c r="L473">
        <v>1173584</v>
      </c>
      <c r="M473">
        <v>448</v>
      </c>
      <c r="N473" t="s">
        <v>1165</v>
      </c>
    </row>
    <row r="474" spans="1:14" x14ac:dyDescent="0.25">
      <c r="A474">
        <v>8510402</v>
      </c>
      <c r="B474" t="s">
        <v>1166</v>
      </c>
      <c r="C474" t="s">
        <v>94</v>
      </c>
      <c r="D474" t="s">
        <v>86</v>
      </c>
      <c r="E474" t="s">
        <v>87</v>
      </c>
      <c r="F474" t="s">
        <v>1158</v>
      </c>
      <c r="G474">
        <v>5749</v>
      </c>
      <c r="H474" t="s">
        <v>1158</v>
      </c>
      <c r="I474" t="s">
        <v>96</v>
      </c>
      <c r="K474">
        <v>2534052</v>
      </c>
      <c r="L474">
        <v>1173260</v>
      </c>
      <c r="M474">
        <v>473</v>
      </c>
      <c r="N474" t="s">
        <v>1167</v>
      </c>
    </row>
    <row r="475" spans="1:14" x14ac:dyDescent="0.25">
      <c r="A475">
        <v>8570198</v>
      </c>
      <c r="B475" t="s">
        <v>1168</v>
      </c>
      <c r="C475" t="s">
        <v>94</v>
      </c>
      <c r="D475" t="s">
        <v>86</v>
      </c>
      <c r="E475" t="s">
        <v>87</v>
      </c>
      <c r="F475" t="s">
        <v>1158</v>
      </c>
      <c r="G475">
        <v>5749</v>
      </c>
      <c r="H475" t="s">
        <v>1169</v>
      </c>
      <c r="I475" t="s">
        <v>96</v>
      </c>
      <c r="K475">
        <v>2535927</v>
      </c>
      <c r="L475">
        <v>1172892</v>
      </c>
      <c r="M475">
        <v>562</v>
      </c>
      <c r="N475" t="s">
        <v>1170</v>
      </c>
    </row>
    <row r="476" spans="1:14" x14ac:dyDescent="0.25">
      <c r="A476">
        <v>8570197</v>
      </c>
      <c r="B476" t="s">
        <v>1171</v>
      </c>
      <c r="C476" t="s">
        <v>94</v>
      </c>
      <c r="D476" t="s">
        <v>86</v>
      </c>
      <c r="E476" t="s">
        <v>87</v>
      </c>
      <c r="F476" t="s">
        <v>1158</v>
      </c>
      <c r="G476">
        <v>5749</v>
      </c>
      <c r="H476" t="s">
        <v>1169</v>
      </c>
      <c r="I476" t="s">
        <v>96</v>
      </c>
      <c r="K476">
        <v>2536289</v>
      </c>
      <c r="L476">
        <v>1172819</v>
      </c>
      <c r="M476">
        <v>589</v>
      </c>
      <c r="N476" t="s">
        <v>1172</v>
      </c>
    </row>
    <row r="477" spans="1:14" x14ac:dyDescent="0.25">
      <c r="A477">
        <v>8515317</v>
      </c>
      <c r="B477" t="s">
        <v>1173</v>
      </c>
      <c r="C477" t="s">
        <v>132</v>
      </c>
      <c r="E477" t="s">
        <v>87</v>
      </c>
      <c r="F477" t="s">
        <v>1158</v>
      </c>
      <c r="G477">
        <v>5749</v>
      </c>
      <c r="H477" t="s">
        <v>1158</v>
      </c>
      <c r="I477" t="s">
        <v>133</v>
      </c>
      <c r="J477" t="s">
        <v>130</v>
      </c>
      <c r="K477">
        <v>2533413.912</v>
      </c>
      <c r="L477">
        <v>1173441.436</v>
      </c>
      <c r="M477">
        <v>447.16399999999999</v>
      </c>
      <c r="N477" t="s">
        <v>1174</v>
      </c>
    </row>
    <row r="478" spans="1:14" x14ac:dyDescent="0.25">
      <c r="A478">
        <v>8570196</v>
      </c>
      <c r="B478" t="s">
        <v>1175</v>
      </c>
      <c r="C478" t="s">
        <v>94</v>
      </c>
      <c r="D478" t="s">
        <v>86</v>
      </c>
      <c r="E478" t="s">
        <v>87</v>
      </c>
      <c r="F478" t="s">
        <v>1158</v>
      </c>
      <c r="G478">
        <v>5749</v>
      </c>
      <c r="H478" t="s">
        <v>1169</v>
      </c>
      <c r="I478" t="s">
        <v>96</v>
      </c>
      <c r="K478">
        <v>2537238</v>
      </c>
      <c r="L478">
        <v>1172186</v>
      </c>
      <c r="M478">
        <v>605</v>
      </c>
      <c r="N478" t="s">
        <v>1176</v>
      </c>
    </row>
    <row r="479" spans="1:14" x14ac:dyDescent="0.25">
      <c r="A479">
        <v>8501112</v>
      </c>
      <c r="B479" t="s">
        <v>1158</v>
      </c>
      <c r="C479" t="s">
        <v>132</v>
      </c>
      <c r="D479" t="s">
        <v>112</v>
      </c>
      <c r="E479" t="s">
        <v>87</v>
      </c>
      <c r="F479" t="s">
        <v>1158</v>
      </c>
      <c r="G479">
        <v>5749</v>
      </c>
      <c r="H479" t="s">
        <v>1158</v>
      </c>
      <c r="I479" t="s">
        <v>133</v>
      </c>
      <c r="K479">
        <v>2533438.2790000001</v>
      </c>
      <c r="L479">
        <v>1173578.838</v>
      </c>
      <c r="M479">
        <v>447.09</v>
      </c>
      <c r="N479" t="s">
        <v>1177</v>
      </c>
    </row>
    <row r="480" spans="1:14" x14ac:dyDescent="0.25">
      <c r="A480">
        <v>8570199</v>
      </c>
      <c r="B480" t="s">
        <v>1178</v>
      </c>
      <c r="C480" t="s">
        <v>94</v>
      </c>
      <c r="D480" t="s">
        <v>86</v>
      </c>
      <c r="E480" t="s">
        <v>87</v>
      </c>
      <c r="F480" t="s">
        <v>1158</v>
      </c>
      <c r="G480">
        <v>5749</v>
      </c>
      <c r="H480" t="s">
        <v>1169</v>
      </c>
      <c r="I480" t="s">
        <v>96</v>
      </c>
      <c r="K480">
        <v>2535791</v>
      </c>
      <c r="L480">
        <v>1172775</v>
      </c>
      <c r="M480">
        <v>557</v>
      </c>
      <c r="N480" t="s">
        <v>1179</v>
      </c>
    </row>
    <row r="481" spans="1:14" x14ac:dyDescent="0.25">
      <c r="A481">
        <v>8504988</v>
      </c>
      <c r="B481" t="s">
        <v>1180</v>
      </c>
      <c r="C481" t="s">
        <v>94</v>
      </c>
      <c r="D481" t="s">
        <v>86</v>
      </c>
      <c r="E481" t="s">
        <v>87</v>
      </c>
      <c r="F481" t="s">
        <v>1181</v>
      </c>
      <c r="G481">
        <v>5908</v>
      </c>
      <c r="H481" t="s">
        <v>1181</v>
      </c>
      <c r="I481" t="s">
        <v>96</v>
      </c>
      <c r="K481">
        <v>2548841</v>
      </c>
      <c r="L481">
        <v>1180142</v>
      </c>
      <c r="M481">
        <v>670</v>
      </c>
      <c r="N481" t="s">
        <v>1182</v>
      </c>
    </row>
    <row r="482" spans="1:14" x14ac:dyDescent="0.25">
      <c r="A482">
        <v>8570392</v>
      </c>
      <c r="B482" t="s">
        <v>1183</v>
      </c>
      <c r="C482" t="s">
        <v>94</v>
      </c>
      <c r="D482" t="s">
        <v>86</v>
      </c>
      <c r="E482" t="s">
        <v>87</v>
      </c>
      <c r="F482" t="s">
        <v>1181</v>
      </c>
      <c r="G482">
        <v>5908</v>
      </c>
      <c r="H482" t="s">
        <v>1181</v>
      </c>
      <c r="I482" t="s">
        <v>96</v>
      </c>
      <c r="K482">
        <v>2548492</v>
      </c>
      <c r="L482">
        <v>1180189</v>
      </c>
      <c r="M482">
        <v>637</v>
      </c>
      <c r="N482" t="s">
        <v>1184</v>
      </c>
    </row>
    <row r="483" spans="1:14" x14ac:dyDescent="0.25">
      <c r="A483">
        <v>8570391</v>
      </c>
      <c r="B483" t="s">
        <v>1185</v>
      </c>
      <c r="C483" t="s">
        <v>94</v>
      </c>
      <c r="D483" t="s">
        <v>86</v>
      </c>
      <c r="E483" t="s">
        <v>87</v>
      </c>
      <c r="F483" t="s">
        <v>1181</v>
      </c>
      <c r="G483">
        <v>5908</v>
      </c>
      <c r="H483" t="s">
        <v>1181</v>
      </c>
      <c r="I483" t="s">
        <v>96</v>
      </c>
      <c r="K483">
        <v>2549587</v>
      </c>
      <c r="L483">
        <v>1179575</v>
      </c>
      <c r="M483">
        <v>683</v>
      </c>
      <c r="N483" t="s">
        <v>1186</v>
      </c>
    </row>
    <row r="484" spans="1:14" x14ac:dyDescent="0.25">
      <c r="A484">
        <v>8504458</v>
      </c>
      <c r="B484" t="s">
        <v>1187</v>
      </c>
      <c r="C484" t="s">
        <v>338</v>
      </c>
      <c r="D484" t="s">
        <v>86</v>
      </c>
      <c r="E484" t="s">
        <v>87</v>
      </c>
      <c r="F484" t="s">
        <v>1188</v>
      </c>
      <c r="G484">
        <v>5909</v>
      </c>
      <c r="H484" t="s">
        <v>1188</v>
      </c>
      <c r="I484" t="s">
        <v>340</v>
      </c>
      <c r="K484">
        <v>2541149</v>
      </c>
      <c r="L484">
        <v>1181308.0009999999</v>
      </c>
      <c r="M484">
        <v>488</v>
      </c>
      <c r="N484" t="s">
        <v>1189</v>
      </c>
    </row>
    <row r="485" spans="1:14" x14ac:dyDescent="0.25">
      <c r="A485">
        <v>8511679</v>
      </c>
      <c r="B485" t="s">
        <v>1190</v>
      </c>
      <c r="C485" t="s">
        <v>94</v>
      </c>
      <c r="D485" t="s">
        <v>86</v>
      </c>
      <c r="E485" t="s">
        <v>87</v>
      </c>
      <c r="F485" t="s">
        <v>1188</v>
      </c>
      <c r="G485">
        <v>5909</v>
      </c>
      <c r="H485" t="s">
        <v>1188</v>
      </c>
      <c r="I485" t="s">
        <v>96</v>
      </c>
      <c r="K485">
        <v>2541576.5488399998</v>
      </c>
      <c r="L485">
        <v>1181597.36849</v>
      </c>
      <c r="M485">
        <v>560.4</v>
      </c>
      <c r="N485" t="s">
        <v>1191</v>
      </c>
    </row>
    <row r="486" spans="1:14" x14ac:dyDescent="0.25">
      <c r="A486">
        <v>8501169</v>
      </c>
      <c r="B486" t="s">
        <v>1192</v>
      </c>
      <c r="C486" t="s">
        <v>238</v>
      </c>
      <c r="D486" t="s">
        <v>112</v>
      </c>
      <c r="E486" t="s">
        <v>87</v>
      </c>
      <c r="F486" t="s">
        <v>43</v>
      </c>
      <c r="G486">
        <v>5582</v>
      </c>
      <c r="H486" t="s">
        <v>43</v>
      </c>
      <c r="I486" t="s">
        <v>239</v>
      </c>
      <c r="K486">
        <v>2536179.7259999998</v>
      </c>
      <c r="L486">
        <v>1159570.747</v>
      </c>
      <c r="M486">
        <v>605.20000000000005</v>
      </c>
      <c r="N486" t="s">
        <v>1193</v>
      </c>
    </row>
    <row r="487" spans="1:14" x14ac:dyDescent="0.25">
      <c r="A487">
        <v>8510738</v>
      </c>
      <c r="B487" t="s">
        <v>1194</v>
      </c>
      <c r="C487" t="s">
        <v>242</v>
      </c>
      <c r="D487" t="s">
        <v>86</v>
      </c>
      <c r="E487" t="s">
        <v>87</v>
      </c>
      <c r="F487" t="s">
        <v>43</v>
      </c>
      <c r="G487">
        <v>5582</v>
      </c>
      <c r="H487" t="s">
        <v>43</v>
      </c>
      <c r="I487" t="s">
        <v>243</v>
      </c>
      <c r="K487">
        <v>2536270.1557900002</v>
      </c>
      <c r="L487">
        <v>1160312.15331</v>
      </c>
      <c r="M487">
        <v>617</v>
      </c>
      <c r="N487" t="s">
        <v>1195</v>
      </c>
    </row>
    <row r="488" spans="1:14" x14ac:dyDescent="0.25">
      <c r="A488">
        <v>8577645</v>
      </c>
      <c r="B488" t="s">
        <v>1196</v>
      </c>
      <c r="C488" t="s">
        <v>242</v>
      </c>
      <c r="D488" t="s">
        <v>86</v>
      </c>
      <c r="E488" t="s">
        <v>87</v>
      </c>
      <c r="F488" t="s">
        <v>43</v>
      </c>
      <c r="G488">
        <v>5582</v>
      </c>
      <c r="H488" t="s">
        <v>43</v>
      </c>
      <c r="I488" t="s">
        <v>243</v>
      </c>
      <c r="K488">
        <v>2535497</v>
      </c>
      <c r="L488">
        <v>1159275</v>
      </c>
      <c r="M488">
        <v>595</v>
      </c>
      <c r="N488" t="s">
        <v>1197</v>
      </c>
    </row>
    <row r="489" spans="1:14" x14ac:dyDescent="0.25">
      <c r="A489">
        <v>8570064</v>
      </c>
      <c r="B489" t="s">
        <v>1198</v>
      </c>
      <c r="C489" t="s">
        <v>94</v>
      </c>
      <c r="D489" t="s">
        <v>86</v>
      </c>
      <c r="E489" t="s">
        <v>87</v>
      </c>
      <c r="F489" t="s">
        <v>43</v>
      </c>
      <c r="G489">
        <v>5582</v>
      </c>
      <c r="H489" t="s">
        <v>43</v>
      </c>
      <c r="I489" t="s">
        <v>96</v>
      </c>
      <c r="K489">
        <v>2536016</v>
      </c>
      <c r="L489">
        <v>1159852</v>
      </c>
      <c r="M489">
        <v>604</v>
      </c>
      <c r="N489" t="s">
        <v>1199</v>
      </c>
    </row>
    <row r="490" spans="1:14" x14ac:dyDescent="0.25">
      <c r="A490">
        <v>8595147</v>
      </c>
      <c r="B490" t="s">
        <v>1200</v>
      </c>
      <c r="C490" t="s">
        <v>242</v>
      </c>
      <c r="D490" t="s">
        <v>86</v>
      </c>
      <c r="E490" t="s">
        <v>87</v>
      </c>
      <c r="F490" t="s">
        <v>43</v>
      </c>
      <c r="G490">
        <v>5582</v>
      </c>
      <c r="H490" t="s">
        <v>43</v>
      </c>
      <c r="I490" t="s">
        <v>243</v>
      </c>
      <c r="K490">
        <v>2535123</v>
      </c>
      <c r="L490">
        <v>1158887</v>
      </c>
      <c r="M490">
        <v>578</v>
      </c>
      <c r="N490" t="s">
        <v>1201</v>
      </c>
    </row>
    <row r="491" spans="1:14" x14ac:dyDescent="0.25">
      <c r="A491">
        <v>8570063</v>
      </c>
      <c r="B491" t="s">
        <v>1202</v>
      </c>
      <c r="C491" t="s">
        <v>94</v>
      </c>
      <c r="D491" t="s">
        <v>86</v>
      </c>
      <c r="E491" t="s">
        <v>87</v>
      </c>
      <c r="F491" t="s">
        <v>43</v>
      </c>
      <c r="G491">
        <v>5582</v>
      </c>
      <c r="H491" t="s">
        <v>43</v>
      </c>
      <c r="I491" t="s">
        <v>96</v>
      </c>
      <c r="K491">
        <v>2536115</v>
      </c>
      <c r="L491">
        <v>1159551</v>
      </c>
      <c r="M491">
        <v>603</v>
      </c>
      <c r="N491" t="s">
        <v>1203</v>
      </c>
    </row>
    <row r="492" spans="1:14" x14ac:dyDescent="0.25">
      <c r="A492">
        <v>8580603</v>
      </c>
      <c r="B492" t="s">
        <v>1204</v>
      </c>
      <c r="C492" t="s">
        <v>206</v>
      </c>
      <c r="D492" t="s">
        <v>86</v>
      </c>
      <c r="E492" t="s">
        <v>87</v>
      </c>
      <c r="F492" t="s">
        <v>1205</v>
      </c>
      <c r="G492">
        <v>5709</v>
      </c>
      <c r="H492" t="s">
        <v>1205</v>
      </c>
      <c r="I492" t="s">
        <v>208</v>
      </c>
      <c r="K492">
        <v>2502675</v>
      </c>
      <c r="L492">
        <v>1139450</v>
      </c>
      <c r="M492">
        <v>532</v>
      </c>
      <c r="N492" t="s">
        <v>1206</v>
      </c>
    </row>
    <row r="493" spans="1:14" x14ac:dyDescent="0.25">
      <c r="A493">
        <v>8570006</v>
      </c>
      <c r="B493" t="s">
        <v>1207</v>
      </c>
      <c r="C493" t="s">
        <v>206</v>
      </c>
      <c r="D493" t="s">
        <v>86</v>
      </c>
      <c r="E493" t="s">
        <v>87</v>
      </c>
      <c r="F493" t="s">
        <v>1205</v>
      </c>
      <c r="G493">
        <v>5709</v>
      </c>
      <c r="H493" t="s">
        <v>1205</v>
      </c>
      <c r="I493" t="s">
        <v>208</v>
      </c>
      <c r="K493">
        <v>2502851.7573699998</v>
      </c>
      <c r="L493">
        <v>1139562.0752300001</v>
      </c>
      <c r="M493">
        <v>527.6</v>
      </c>
      <c r="N493" t="s">
        <v>1208</v>
      </c>
    </row>
    <row r="494" spans="1:14" x14ac:dyDescent="0.25">
      <c r="A494">
        <v>8501966</v>
      </c>
      <c r="B494" t="s">
        <v>1209</v>
      </c>
      <c r="C494" t="s">
        <v>206</v>
      </c>
      <c r="D494" t="s">
        <v>86</v>
      </c>
      <c r="E494" t="s">
        <v>87</v>
      </c>
      <c r="F494" t="s">
        <v>1205</v>
      </c>
      <c r="G494">
        <v>5709</v>
      </c>
      <c r="H494" t="s">
        <v>1205</v>
      </c>
      <c r="I494" t="s">
        <v>208</v>
      </c>
      <c r="K494">
        <v>2502556.4498700001</v>
      </c>
      <c r="L494">
        <v>1139563.98945</v>
      </c>
      <c r="M494">
        <v>533.9</v>
      </c>
      <c r="N494" t="s">
        <v>1210</v>
      </c>
    </row>
    <row r="495" spans="1:14" x14ac:dyDescent="0.25">
      <c r="A495">
        <v>8570590</v>
      </c>
      <c r="B495" t="s">
        <v>1211</v>
      </c>
      <c r="C495" t="s">
        <v>94</v>
      </c>
      <c r="D495" t="s">
        <v>86</v>
      </c>
      <c r="E495" t="s">
        <v>87</v>
      </c>
      <c r="F495" t="s">
        <v>1212</v>
      </c>
      <c r="G495">
        <v>5403</v>
      </c>
      <c r="H495" t="s">
        <v>1212</v>
      </c>
      <c r="I495" t="s">
        <v>96</v>
      </c>
      <c r="J495" t="s">
        <v>1213</v>
      </c>
      <c r="K495">
        <v>2558041</v>
      </c>
      <c r="L495">
        <v>1133295</v>
      </c>
      <c r="M495">
        <v>380</v>
      </c>
      <c r="N495" t="s">
        <v>1214</v>
      </c>
    </row>
    <row r="496" spans="1:14" x14ac:dyDescent="0.25">
      <c r="A496">
        <v>8570589</v>
      </c>
      <c r="B496" t="s">
        <v>1215</v>
      </c>
      <c r="C496" t="s">
        <v>94</v>
      </c>
      <c r="D496" t="s">
        <v>86</v>
      </c>
      <c r="E496" t="s">
        <v>87</v>
      </c>
      <c r="F496" t="s">
        <v>1212</v>
      </c>
      <c r="G496">
        <v>5403</v>
      </c>
      <c r="H496" t="s">
        <v>1212</v>
      </c>
      <c r="I496" t="s">
        <v>96</v>
      </c>
      <c r="K496">
        <v>2558514</v>
      </c>
      <c r="L496">
        <v>1133952</v>
      </c>
      <c r="M496">
        <v>380</v>
      </c>
      <c r="N496" t="s">
        <v>1216</v>
      </c>
    </row>
    <row r="497" spans="1:14" x14ac:dyDescent="0.25">
      <c r="A497">
        <v>8595610</v>
      </c>
      <c r="B497" t="s">
        <v>1217</v>
      </c>
      <c r="C497" t="s">
        <v>85</v>
      </c>
      <c r="D497" t="s">
        <v>86</v>
      </c>
      <c r="E497" t="s">
        <v>87</v>
      </c>
      <c r="F497" t="s">
        <v>1218</v>
      </c>
      <c r="G497">
        <v>5476</v>
      </c>
      <c r="H497" t="s">
        <v>1218</v>
      </c>
      <c r="I497" t="s">
        <v>89</v>
      </c>
      <c r="K497">
        <v>2526489</v>
      </c>
      <c r="L497">
        <v>1166133</v>
      </c>
      <c r="M497">
        <v>577</v>
      </c>
      <c r="N497" t="s">
        <v>1219</v>
      </c>
    </row>
    <row r="498" spans="1:14" x14ac:dyDescent="0.25">
      <c r="A498">
        <v>8504563</v>
      </c>
      <c r="B498" t="s">
        <v>1220</v>
      </c>
      <c r="C498" t="s">
        <v>301</v>
      </c>
      <c r="D498" t="s">
        <v>302</v>
      </c>
      <c r="E498" t="s">
        <v>87</v>
      </c>
      <c r="F498" t="s">
        <v>1220</v>
      </c>
      <c r="G498">
        <v>5813</v>
      </c>
      <c r="H498" t="s">
        <v>1220</v>
      </c>
      <c r="I498" t="s">
        <v>303</v>
      </c>
      <c r="K498">
        <v>2558702</v>
      </c>
      <c r="L498">
        <v>1194435</v>
      </c>
      <c r="M498">
        <v>430</v>
      </c>
      <c r="N498" t="s">
        <v>1221</v>
      </c>
    </row>
    <row r="499" spans="1:14" x14ac:dyDescent="0.25">
      <c r="A499">
        <v>8583485</v>
      </c>
      <c r="B499" t="s">
        <v>1222</v>
      </c>
      <c r="C499" t="s">
        <v>94</v>
      </c>
      <c r="D499" t="s">
        <v>86</v>
      </c>
      <c r="E499" t="s">
        <v>87</v>
      </c>
      <c r="F499" t="s">
        <v>1220</v>
      </c>
      <c r="G499">
        <v>5813</v>
      </c>
      <c r="H499" t="s">
        <v>1220</v>
      </c>
      <c r="I499" t="s">
        <v>96</v>
      </c>
      <c r="K499">
        <v>2559729</v>
      </c>
      <c r="L499">
        <v>1193135</v>
      </c>
      <c r="M499">
        <v>466</v>
      </c>
      <c r="N499" t="s">
        <v>1223</v>
      </c>
    </row>
    <row r="500" spans="1:14" x14ac:dyDescent="0.25">
      <c r="A500">
        <v>8570416</v>
      </c>
      <c r="B500" t="s">
        <v>1224</v>
      </c>
      <c r="C500" t="s">
        <v>94</v>
      </c>
      <c r="D500" t="s">
        <v>86</v>
      </c>
      <c r="E500" t="s">
        <v>87</v>
      </c>
      <c r="F500" t="s">
        <v>1220</v>
      </c>
      <c r="G500">
        <v>5813</v>
      </c>
      <c r="H500" t="s">
        <v>1220</v>
      </c>
      <c r="I500" t="s">
        <v>96</v>
      </c>
      <c r="K500">
        <v>2559226</v>
      </c>
      <c r="L500">
        <v>1193448</v>
      </c>
      <c r="M500">
        <v>434</v>
      </c>
      <c r="N500" t="s">
        <v>1225</v>
      </c>
    </row>
    <row r="501" spans="1:14" x14ac:dyDescent="0.25">
      <c r="A501">
        <v>8570415</v>
      </c>
      <c r="B501" t="s">
        <v>1226</v>
      </c>
      <c r="C501" t="s">
        <v>94</v>
      </c>
      <c r="D501" t="s">
        <v>86</v>
      </c>
      <c r="E501" t="s">
        <v>87</v>
      </c>
      <c r="F501" t="s">
        <v>1220</v>
      </c>
      <c r="G501">
        <v>5813</v>
      </c>
      <c r="H501" t="s">
        <v>1220</v>
      </c>
      <c r="I501" t="s">
        <v>96</v>
      </c>
      <c r="K501">
        <v>2559393</v>
      </c>
      <c r="L501">
        <v>1193144</v>
      </c>
      <c r="M501">
        <v>453</v>
      </c>
      <c r="N501" t="s">
        <v>1227</v>
      </c>
    </row>
    <row r="502" spans="1:14" x14ac:dyDescent="0.25">
      <c r="A502">
        <v>8505039</v>
      </c>
      <c r="B502" t="s">
        <v>1228</v>
      </c>
      <c r="C502" t="s">
        <v>94</v>
      </c>
      <c r="D502" t="s">
        <v>86</v>
      </c>
      <c r="E502" t="s">
        <v>87</v>
      </c>
      <c r="F502" t="s">
        <v>1220</v>
      </c>
      <c r="G502">
        <v>5813</v>
      </c>
      <c r="H502" t="s">
        <v>1220</v>
      </c>
      <c r="I502" t="s">
        <v>96</v>
      </c>
      <c r="K502">
        <v>2559474</v>
      </c>
      <c r="L502">
        <v>1193088</v>
      </c>
      <c r="M502">
        <v>456</v>
      </c>
      <c r="N502" t="s">
        <v>1229</v>
      </c>
    </row>
    <row r="503" spans="1:14" x14ac:dyDescent="0.25">
      <c r="A503">
        <v>8570565</v>
      </c>
      <c r="B503" t="s">
        <v>1230</v>
      </c>
      <c r="C503" t="s">
        <v>94</v>
      </c>
      <c r="D503" t="s">
        <v>86</v>
      </c>
      <c r="E503" t="s">
        <v>87</v>
      </c>
      <c r="F503" t="s">
        <v>1231</v>
      </c>
      <c r="G503">
        <v>5601</v>
      </c>
      <c r="H503" t="s">
        <v>1231</v>
      </c>
      <c r="I503" t="s">
        <v>96</v>
      </c>
      <c r="K503">
        <v>2548965</v>
      </c>
      <c r="L503">
        <v>1148347</v>
      </c>
      <c r="M503">
        <v>595</v>
      </c>
      <c r="N503" t="s">
        <v>1232</v>
      </c>
    </row>
    <row r="504" spans="1:14" x14ac:dyDescent="0.25">
      <c r="A504">
        <v>8504013</v>
      </c>
      <c r="B504" t="s">
        <v>1233</v>
      </c>
      <c r="C504" t="s">
        <v>132</v>
      </c>
      <c r="D504" t="s">
        <v>112</v>
      </c>
      <c r="E504" t="s">
        <v>87</v>
      </c>
      <c r="F504" t="s">
        <v>1231</v>
      </c>
      <c r="G504">
        <v>5601</v>
      </c>
      <c r="H504" t="s">
        <v>1231</v>
      </c>
      <c r="I504" t="s">
        <v>133</v>
      </c>
      <c r="K504">
        <v>2549309.699</v>
      </c>
      <c r="L504">
        <v>1147962.476</v>
      </c>
      <c r="M504">
        <v>559.64599999999996</v>
      </c>
      <c r="N504" t="s">
        <v>1234</v>
      </c>
    </row>
    <row r="505" spans="1:14" x14ac:dyDescent="0.25">
      <c r="A505">
        <v>8570564</v>
      </c>
      <c r="B505" t="s">
        <v>1235</v>
      </c>
      <c r="C505" t="s">
        <v>94</v>
      </c>
      <c r="D505" t="s">
        <v>86</v>
      </c>
      <c r="E505" t="s">
        <v>87</v>
      </c>
      <c r="F505" t="s">
        <v>1231</v>
      </c>
      <c r="G505">
        <v>5601</v>
      </c>
      <c r="H505" t="s">
        <v>1231</v>
      </c>
      <c r="I505" t="s">
        <v>96</v>
      </c>
      <c r="K505">
        <v>2549329</v>
      </c>
      <c r="L505">
        <v>1147975</v>
      </c>
      <c r="M505">
        <v>555</v>
      </c>
      <c r="N505" t="s">
        <v>1236</v>
      </c>
    </row>
    <row r="506" spans="1:14" x14ac:dyDescent="0.25">
      <c r="A506">
        <v>8501757</v>
      </c>
      <c r="B506" t="s">
        <v>1237</v>
      </c>
      <c r="C506" t="s">
        <v>94</v>
      </c>
      <c r="D506" t="s">
        <v>86</v>
      </c>
      <c r="E506" t="s">
        <v>87</v>
      </c>
      <c r="F506" t="s">
        <v>1231</v>
      </c>
      <c r="G506">
        <v>5601</v>
      </c>
      <c r="H506" t="s">
        <v>1231</v>
      </c>
      <c r="I506" t="s">
        <v>96</v>
      </c>
      <c r="K506">
        <v>2549151</v>
      </c>
      <c r="L506">
        <v>1148067</v>
      </c>
      <c r="M506">
        <v>579</v>
      </c>
      <c r="N506" t="s">
        <v>1238</v>
      </c>
    </row>
    <row r="507" spans="1:14" x14ac:dyDescent="0.25">
      <c r="A507">
        <v>8510994</v>
      </c>
      <c r="B507" t="s">
        <v>1239</v>
      </c>
      <c r="C507" t="s">
        <v>85</v>
      </c>
      <c r="D507" t="s">
        <v>86</v>
      </c>
      <c r="E507" t="s">
        <v>87</v>
      </c>
      <c r="F507" t="s">
        <v>1240</v>
      </c>
      <c r="G507">
        <v>5628</v>
      </c>
      <c r="H507" t="s">
        <v>1240</v>
      </c>
      <c r="I507" t="s">
        <v>89</v>
      </c>
      <c r="K507">
        <v>2526190.9167999998</v>
      </c>
      <c r="L507">
        <v>1152538.91655</v>
      </c>
      <c r="M507">
        <v>447</v>
      </c>
      <c r="N507" t="s">
        <v>1241</v>
      </c>
    </row>
    <row r="508" spans="1:14" x14ac:dyDescent="0.25">
      <c r="A508">
        <v>8501081</v>
      </c>
      <c r="B508" t="s">
        <v>1240</v>
      </c>
      <c r="C508" t="s">
        <v>353</v>
      </c>
      <c r="D508" t="s">
        <v>112</v>
      </c>
      <c r="E508" t="s">
        <v>87</v>
      </c>
      <c r="F508" t="s">
        <v>1240</v>
      </c>
      <c r="G508">
        <v>5628</v>
      </c>
      <c r="H508" t="s">
        <v>1240</v>
      </c>
      <c r="I508" t="s">
        <v>354</v>
      </c>
      <c r="K508">
        <v>2525838.3569999998</v>
      </c>
      <c r="L508">
        <v>1152093.0789999999</v>
      </c>
      <c r="M508">
        <v>432.5</v>
      </c>
      <c r="N508" t="s">
        <v>1242</v>
      </c>
    </row>
    <row r="509" spans="1:14" x14ac:dyDescent="0.25">
      <c r="A509">
        <v>8570076</v>
      </c>
      <c r="B509" t="s">
        <v>1243</v>
      </c>
      <c r="C509" t="s">
        <v>85</v>
      </c>
      <c r="D509" t="s">
        <v>86</v>
      </c>
      <c r="E509" t="s">
        <v>87</v>
      </c>
      <c r="F509" t="s">
        <v>1244</v>
      </c>
      <c r="G509">
        <v>5629</v>
      </c>
      <c r="H509" t="s">
        <v>1244</v>
      </c>
      <c r="I509" t="s">
        <v>89</v>
      </c>
      <c r="K509">
        <v>2524171</v>
      </c>
      <c r="L509">
        <v>1155546</v>
      </c>
      <c r="M509">
        <v>527</v>
      </c>
      <c r="N509" t="s">
        <v>1245</v>
      </c>
    </row>
    <row r="510" spans="1:14" x14ac:dyDescent="0.25">
      <c r="A510">
        <v>8570011</v>
      </c>
      <c r="B510" t="s">
        <v>1246</v>
      </c>
      <c r="C510" t="s">
        <v>94</v>
      </c>
      <c r="D510" t="s">
        <v>86</v>
      </c>
      <c r="E510" t="s">
        <v>87</v>
      </c>
      <c r="F510" t="s">
        <v>1247</v>
      </c>
      <c r="G510">
        <v>5710</v>
      </c>
      <c r="H510" t="s">
        <v>1247</v>
      </c>
      <c r="I510" t="s">
        <v>96</v>
      </c>
      <c r="K510">
        <v>2508123</v>
      </c>
      <c r="L510">
        <v>1142528</v>
      </c>
      <c r="M510">
        <v>478</v>
      </c>
      <c r="N510" t="s">
        <v>1248</v>
      </c>
    </row>
    <row r="511" spans="1:14" x14ac:dyDescent="0.25">
      <c r="A511">
        <v>8501296</v>
      </c>
      <c r="B511" t="s">
        <v>1249</v>
      </c>
      <c r="C511" t="s">
        <v>94</v>
      </c>
      <c r="D511" t="s">
        <v>86</v>
      </c>
      <c r="E511" t="s">
        <v>87</v>
      </c>
      <c r="F511" t="s">
        <v>1247</v>
      </c>
      <c r="G511">
        <v>5710</v>
      </c>
      <c r="H511" t="s">
        <v>1247</v>
      </c>
      <c r="I511" t="s">
        <v>96</v>
      </c>
      <c r="K511">
        <v>2507498</v>
      </c>
      <c r="L511">
        <v>1142149</v>
      </c>
      <c r="M511">
        <v>475</v>
      </c>
      <c r="N511" t="s">
        <v>1250</v>
      </c>
    </row>
    <row r="512" spans="1:14" x14ac:dyDescent="0.25">
      <c r="A512">
        <v>8587581</v>
      </c>
      <c r="B512" t="s">
        <v>1251</v>
      </c>
      <c r="C512" t="s">
        <v>206</v>
      </c>
      <c r="D512" t="s">
        <v>86</v>
      </c>
      <c r="E512" t="s">
        <v>87</v>
      </c>
      <c r="F512" t="s">
        <v>1252</v>
      </c>
      <c r="G512">
        <v>5711</v>
      </c>
      <c r="H512" t="s">
        <v>1252</v>
      </c>
      <c r="I512" t="s">
        <v>208</v>
      </c>
      <c r="K512">
        <v>2502560</v>
      </c>
      <c r="L512">
        <v>1130896</v>
      </c>
      <c r="M512">
        <v>428</v>
      </c>
      <c r="N512" t="s">
        <v>1253</v>
      </c>
    </row>
    <row r="513" spans="1:14" x14ac:dyDescent="0.25">
      <c r="A513">
        <v>8512304</v>
      </c>
      <c r="B513" t="s">
        <v>1254</v>
      </c>
      <c r="C513" t="s">
        <v>206</v>
      </c>
      <c r="D513" t="s">
        <v>86</v>
      </c>
      <c r="E513" t="s">
        <v>87</v>
      </c>
      <c r="F513" t="s">
        <v>1252</v>
      </c>
      <c r="G513">
        <v>5711</v>
      </c>
      <c r="H513" t="s">
        <v>1252</v>
      </c>
      <c r="I513" t="s">
        <v>208</v>
      </c>
      <c r="K513">
        <v>2501316</v>
      </c>
      <c r="L513">
        <v>1131792</v>
      </c>
      <c r="M513">
        <v>464.9</v>
      </c>
      <c r="N513" t="s">
        <v>1255</v>
      </c>
    </row>
    <row r="514" spans="1:14" x14ac:dyDescent="0.25">
      <c r="A514">
        <v>8587575</v>
      </c>
      <c r="B514" t="s">
        <v>1256</v>
      </c>
      <c r="C514" t="s">
        <v>206</v>
      </c>
      <c r="D514" t="s">
        <v>86</v>
      </c>
      <c r="E514" t="s">
        <v>87</v>
      </c>
      <c r="F514" t="s">
        <v>1252</v>
      </c>
      <c r="G514">
        <v>5711</v>
      </c>
      <c r="H514" t="s">
        <v>1252</v>
      </c>
      <c r="I514" t="s">
        <v>208</v>
      </c>
      <c r="K514">
        <v>2502700</v>
      </c>
      <c r="L514">
        <v>1130400</v>
      </c>
      <c r="M514">
        <v>415</v>
      </c>
      <c r="N514" t="s">
        <v>1257</v>
      </c>
    </row>
    <row r="515" spans="1:14" x14ac:dyDescent="0.25">
      <c r="A515">
        <v>8504203</v>
      </c>
      <c r="B515" t="s">
        <v>1258</v>
      </c>
      <c r="C515" t="s">
        <v>132</v>
      </c>
      <c r="D515" t="s">
        <v>112</v>
      </c>
      <c r="E515" t="s">
        <v>87</v>
      </c>
      <c r="F515" t="s">
        <v>1258</v>
      </c>
      <c r="G515">
        <v>5554</v>
      </c>
      <c r="H515" t="s">
        <v>1258</v>
      </c>
      <c r="I515" t="s">
        <v>133</v>
      </c>
      <c r="K515">
        <v>2545432.736</v>
      </c>
      <c r="L515">
        <v>1189110.287</v>
      </c>
      <c r="M515">
        <v>429.5</v>
      </c>
      <c r="N515" t="s">
        <v>1259</v>
      </c>
    </row>
    <row r="516" spans="1:14" x14ac:dyDescent="0.25">
      <c r="A516">
        <v>8507656</v>
      </c>
      <c r="B516" t="s">
        <v>1260</v>
      </c>
      <c r="C516" t="s">
        <v>94</v>
      </c>
      <c r="D516" t="s">
        <v>86</v>
      </c>
      <c r="E516" t="s">
        <v>87</v>
      </c>
      <c r="F516" t="s">
        <v>1258</v>
      </c>
      <c r="G516">
        <v>5554</v>
      </c>
      <c r="H516" t="s">
        <v>1258</v>
      </c>
      <c r="I516" t="s">
        <v>96</v>
      </c>
      <c r="K516">
        <v>2545889</v>
      </c>
      <c r="L516">
        <v>1191620</v>
      </c>
      <c r="M516">
        <v>684</v>
      </c>
      <c r="N516" t="s">
        <v>1261</v>
      </c>
    </row>
    <row r="517" spans="1:14" x14ac:dyDescent="0.25">
      <c r="A517">
        <v>8573440</v>
      </c>
      <c r="B517" t="s">
        <v>1262</v>
      </c>
      <c r="C517" t="s">
        <v>94</v>
      </c>
      <c r="D517" t="s">
        <v>86</v>
      </c>
      <c r="E517" t="s">
        <v>87</v>
      </c>
      <c r="F517" t="s">
        <v>1258</v>
      </c>
      <c r="G517">
        <v>5554</v>
      </c>
      <c r="H517" t="s">
        <v>1258</v>
      </c>
      <c r="I517" t="s">
        <v>96</v>
      </c>
      <c r="K517">
        <v>2547627</v>
      </c>
      <c r="L517">
        <v>1191179</v>
      </c>
      <c r="M517">
        <v>479</v>
      </c>
      <c r="N517" t="s">
        <v>1263</v>
      </c>
    </row>
    <row r="518" spans="1:14" x14ac:dyDescent="0.25">
      <c r="A518">
        <v>8504556</v>
      </c>
      <c r="B518" t="s">
        <v>1264</v>
      </c>
      <c r="C518" t="s">
        <v>301</v>
      </c>
      <c r="D518" t="s">
        <v>302</v>
      </c>
      <c r="E518" t="s">
        <v>87</v>
      </c>
      <c r="F518" t="s">
        <v>1258</v>
      </c>
      <c r="G518">
        <v>5554</v>
      </c>
      <c r="H518" t="s">
        <v>1258</v>
      </c>
      <c r="I518" t="s">
        <v>303</v>
      </c>
      <c r="K518">
        <v>2545237.25593</v>
      </c>
      <c r="L518">
        <v>1188748.01187</v>
      </c>
      <c r="M518">
        <v>431</v>
      </c>
      <c r="N518" t="s">
        <v>1265</v>
      </c>
    </row>
    <row r="519" spans="1:14" x14ac:dyDescent="0.25">
      <c r="A519">
        <v>8570282</v>
      </c>
      <c r="B519" t="s">
        <v>1266</v>
      </c>
      <c r="C519" t="s">
        <v>94</v>
      </c>
      <c r="D519" t="s">
        <v>86</v>
      </c>
      <c r="E519" t="s">
        <v>87</v>
      </c>
      <c r="F519" t="s">
        <v>1258</v>
      </c>
      <c r="G519">
        <v>5554</v>
      </c>
      <c r="H519" t="s">
        <v>1258</v>
      </c>
      <c r="I519" t="s">
        <v>96</v>
      </c>
      <c r="K519">
        <v>2545913</v>
      </c>
      <c r="L519">
        <v>1190392</v>
      </c>
      <c r="M519">
        <v>579</v>
      </c>
      <c r="N519" t="s">
        <v>1267</v>
      </c>
    </row>
    <row r="520" spans="1:14" x14ac:dyDescent="0.25">
      <c r="A520">
        <v>8581625</v>
      </c>
      <c r="B520" t="s">
        <v>1268</v>
      </c>
      <c r="C520" t="s">
        <v>94</v>
      </c>
      <c r="D520" t="s">
        <v>86</v>
      </c>
      <c r="E520" t="s">
        <v>87</v>
      </c>
      <c r="F520" t="s">
        <v>1258</v>
      </c>
      <c r="G520">
        <v>5554</v>
      </c>
      <c r="H520" t="s">
        <v>1258</v>
      </c>
      <c r="I520" t="s">
        <v>96</v>
      </c>
      <c r="K520">
        <v>2547431</v>
      </c>
      <c r="L520">
        <v>1190580</v>
      </c>
      <c r="M520">
        <v>457</v>
      </c>
      <c r="N520" t="s">
        <v>1269</v>
      </c>
    </row>
    <row r="521" spans="1:14" x14ac:dyDescent="0.25">
      <c r="A521">
        <v>8515758</v>
      </c>
      <c r="B521" t="s">
        <v>1270</v>
      </c>
      <c r="C521" t="s">
        <v>132</v>
      </c>
      <c r="E521" t="s">
        <v>87</v>
      </c>
      <c r="F521" t="s">
        <v>1258</v>
      </c>
      <c r="G521">
        <v>5554</v>
      </c>
      <c r="H521" t="s">
        <v>1258</v>
      </c>
      <c r="I521" t="s">
        <v>133</v>
      </c>
      <c r="J521" t="s">
        <v>130</v>
      </c>
      <c r="K521">
        <v>2546828.7940000002</v>
      </c>
      <c r="L521">
        <v>1190060.1399999999</v>
      </c>
      <c r="M521">
        <v>437.54599999999999</v>
      </c>
      <c r="N521" t="s">
        <v>1271</v>
      </c>
    </row>
    <row r="522" spans="1:14" x14ac:dyDescent="0.25">
      <c r="A522">
        <v>8570283</v>
      </c>
      <c r="B522" t="s">
        <v>1272</v>
      </c>
      <c r="C522" t="s">
        <v>94</v>
      </c>
      <c r="D522" t="s">
        <v>86</v>
      </c>
      <c r="E522" t="s">
        <v>87</v>
      </c>
      <c r="F522" t="s">
        <v>1258</v>
      </c>
      <c r="G522">
        <v>5554</v>
      </c>
      <c r="H522" t="s">
        <v>1258</v>
      </c>
      <c r="I522" t="s">
        <v>96</v>
      </c>
      <c r="K522">
        <v>2546057</v>
      </c>
      <c r="L522">
        <v>1191323</v>
      </c>
      <c r="M522">
        <v>645</v>
      </c>
      <c r="N522" t="s">
        <v>1273</v>
      </c>
    </row>
    <row r="523" spans="1:14" x14ac:dyDescent="0.25">
      <c r="A523">
        <v>8583309</v>
      </c>
      <c r="B523" t="s">
        <v>1274</v>
      </c>
      <c r="C523" t="s">
        <v>94</v>
      </c>
      <c r="D523" t="s">
        <v>86</v>
      </c>
      <c r="E523" t="s">
        <v>87</v>
      </c>
      <c r="F523" t="s">
        <v>1258</v>
      </c>
      <c r="G523">
        <v>5554</v>
      </c>
      <c r="H523" t="s">
        <v>1258</v>
      </c>
      <c r="I523" t="s">
        <v>96</v>
      </c>
      <c r="K523">
        <v>2545179</v>
      </c>
      <c r="L523">
        <v>1189211</v>
      </c>
      <c r="M523">
        <v>445</v>
      </c>
      <c r="N523" t="s">
        <v>1275</v>
      </c>
    </row>
    <row r="524" spans="1:14" x14ac:dyDescent="0.25">
      <c r="A524">
        <v>8570281</v>
      </c>
      <c r="B524" t="s">
        <v>1276</v>
      </c>
      <c r="C524" t="s">
        <v>94</v>
      </c>
      <c r="D524" t="s">
        <v>86</v>
      </c>
      <c r="E524" t="s">
        <v>87</v>
      </c>
      <c r="F524" t="s">
        <v>1258</v>
      </c>
      <c r="G524">
        <v>5554</v>
      </c>
      <c r="H524" t="s">
        <v>1258</v>
      </c>
      <c r="I524" t="s">
        <v>96</v>
      </c>
      <c r="K524">
        <v>2545196</v>
      </c>
      <c r="L524">
        <v>1189812</v>
      </c>
      <c r="M524">
        <v>491</v>
      </c>
      <c r="N524" t="s">
        <v>1277</v>
      </c>
    </row>
    <row r="525" spans="1:14" x14ac:dyDescent="0.25">
      <c r="A525">
        <v>8570280</v>
      </c>
      <c r="B525" t="s">
        <v>1278</v>
      </c>
      <c r="C525" t="s">
        <v>94</v>
      </c>
      <c r="D525" t="s">
        <v>86</v>
      </c>
      <c r="E525" t="s">
        <v>87</v>
      </c>
      <c r="F525" t="s">
        <v>1258</v>
      </c>
      <c r="G525">
        <v>5554</v>
      </c>
      <c r="H525" t="s">
        <v>1258</v>
      </c>
      <c r="I525" t="s">
        <v>96</v>
      </c>
      <c r="K525">
        <v>2545131</v>
      </c>
      <c r="L525">
        <v>1189565</v>
      </c>
      <c r="M525">
        <v>468</v>
      </c>
      <c r="N525" t="s">
        <v>1279</v>
      </c>
    </row>
    <row r="526" spans="1:14" x14ac:dyDescent="0.25">
      <c r="A526">
        <v>8501316</v>
      </c>
      <c r="B526" t="s">
        <v>1280</v>
      </c>
      <c r="C526" t="s">
        <v>778</v>
      </c>
      <c r="D526" t="s">
        <v>302</v>
      </c>
      <c r="E526" t="s">
        <v>87</v>
      </c>
      <c r="F526" t="s">
        <v>1281</v>
      </c>
      <c r="G526">
        <v>5712</v>
      </c>
      <c r="H526" t="s">
        <v>1281</v>
      </c>
      <c r="I526" t="s">
        <v>780</v>
      </c>
      <c r="K526">
        <v>2504046.7377200001</v>
      </c>
      <c r="L526">
        <v>1130051.01926</v>
      </c>
      <c r="M526">
        <v>374</v>
      </c>
      <c r="N526" t="s">
        <v>1282</v>
      </c>
    </row>
    <row r="527" spans="1:14" x14ac:dyDescent="0.25">
      <c r="A527">
        <v>8587576</v>
      </c>
      <c r="B527" t="s">
        <v>1283</v>
      </c>
      <c r="C527" t="s">
        <v>206</v>
      </c>
      <c r="D527" t="s">
        <v>86</v>
      </c>
      <c r="E527" t="s">
        <v>87</v>
      </c>
      <c r="F527" t="s">
        <v>1281</v>
      </c>
      <c r="G527">
        <v>5712</v>
      </c>
      <c r="H527" t="s">
        <v>1281</v>
      </c>
      <c r="I527" t="s">
        <v>208</v>
      </c>
      <c r="K527">
        <v>2503700</v>
      </c>
      <c r="L527">
        <v>1130900</v>
      </c>
      <c r="M527">
        <v>404</v>
      </c>
      <c r="N527" t="s">
        <v>1284</v>
      </c>
    </row>
    <row r="528" spans="1:14" x14ac:dyDescent="0.25">
      <c r="A528">
        <v>8588669</v>
      </c>
      <c r="B528" t="s">
        <v>1285</v>
      </c>
      <c r="C528" t="s">
        <v>206</v>
      </c>
      <c r="D528" t="s">
        <v>86</v>
      </c>
      <c r="E528" t="s">
        <v>87</v>
      </c>
      <c r="F528" t="s">
        <v>1281</v>
      </c>
      <c r="G528">
        <v>5712</v>
      </c>
      <c r="H528" t="s">
        <v>1281</v>
      </c>
      <c r="I528" t="s">
        <v>208</v>
      </c>
      <c r="K528">
        <v>2503577.5896000001</v>
      </c>
      <c r="L528">
        <v>1131236.5036299999</v>
      </c>
      <c r="M528">
        <v>409.3</v>
      </c>
      <c r="N528" t="s">
        <v>1286</v>
      </c>
    </row>
    <row r="529" spans="1:14" x14ac:dyDescent="0.25">
      <c r="A529">
        <v>8587577</v>
      </c>
      <c r="B529" t="s">
        <v>1287</v>
      </c>
      <c r="C529" t="s">
        <v>206</v>
      </c>
      <c r="D529" t="s">
        <v>86</v>
      </c>
      <c r="E529" t="s">
        <v>87</v>
      </c>
      <c r="F529" t="s">
        <v>1281</v>
      </c>
      <c r="G529">
        <v>5712</v>
      </c>
      <c r="H529" t="s">
        <v>1281</v>
      </c>
      <c r="I529" t="s">
        <v>208</v>
      </c>
      <c r="K529">
        <v>2503685.8661099998</v>
      </c>
      <c r="L529">
        <v>1130302.3511399999</v>
      </c>
      <c r="M529">
        <v>393.6</v>
      </c>
      <c r="N529" t="s">
        <v>1288</v>
      </c>
    </row>
    <row r="530" spans="1:14" x14ac:dyDescent="0.25">
      <c r="A530">
        <v>8595171</v>
      </c>
      <c r="B530" t="s">
        <v>1289</v>
      </c>
      <c r="C530" t="s">
        <v>206</v>
      </c>
      <c r="D530" t="s">
        <v>86</v>
      </c>
      <c r="E530" t="s">
        <v>87</v>
      </c>
      <c r="F530" t="s">
        <v>1281</v>
      </c>
      <c r="G530">
        <v>5712</v>
      </c>
      <c r="H530" t="s">
        <v>1281</v>
      </c>
      <c r="I530" t="s">
        <v>208</v>
      </c>
      <c r="K530">
        <v>2503358.6926000002</v>
      </c>
      <c r="L530">
        <v>1131346.9431499999</v>
      </c>
      <c r="M530">
        <v>417.2</v>
      </c>
      <c r="N530" t="s">
        <v>1290</v>
      </c>
    </row>
    <row r="531" spans="1:14" x14ac:dyDescent="0.25">
      <c r="A531">
        <v>8595172</v>
      </c>
      <c r="B531" t="s">
        <v>1291</v>
      </c>
      <c r="C531" t="s">
        <v>206</v>
      </c>
      <c r="D531" t="s">
        <v>86</v>
      </c>
      <c r="E531" t="s">
        <v>87</v>
      </c>
      <c r="F531" t="s">
        <v>1281</v>
      </c>
      <c r="G531">
        <v>5712</v>
      </c>
      <c r="H531" t="s">
        <v>1281</v>
      </c>
      <c r="I531" t="s">
        <v>208</v>
      </c>
      <c r="K531">
        <v>2503022.5233300002</v>
      </c>
      <c r="L531">
        <v>1131606.26349</v>
      </c>
      <c r="M531">
        <v>422.9</v>
      </c>
      <c r="N531" t="s">
        <v>1292</v>
      </c>
    </row>
    <row r="532" spans="1:14" x14ac:dyDescent="0.25">
      <c r="A532">
        <v>8501023</v>
      </c>
      <c r="B532" t="s">
        <v>1281</v>
      </c>
      <c r="C532" t="s">
        <v>132</v>
      </c>
      <c r="D532" t="s">
        <v>112</v>
      </c>
      <c r="E532" t="s">
        <v>87</v>
      </c>
      <c r="F532" t="s">
        <v>1281</v>
      </c>
      <c r="G532">
        <v>5712</v>
      </c>
      <c r="H532" t="s">
        <v>1281</v>
      </c>
      <c r="I532" t="s">
        <v>133</v>
      </c>
      <c r="K532">
        <v>2503660.6490000002</v>
      </c>
      <c r="L532">
        <v>1130324.449</v>
      </c>
      <c r="M532">
        <v>393.654</v>
      </c>
      <c r="N532" t="s">
        <v>1293</v>
      </c>
    </row>
    <row r="533" spans="1:14" x14ac:dyDescent="0.25">
      <c r="A533">
        <v>8595173</v>
      </c>
      <c r="B533" t="s">
        <v>1294</v>
      </c>
      <c r="C533" t="s">
        <v>206</v>
      </c>
      <c r="D533" t="s">
        <v>86</v>
      </c>
      <c r="E533" t="s">
        <v>87</v>
      </c>
      <c r="F533" t="s">
        <v>1281</v>
      </c>
      <c r="G533">
        <v>5712</v>
      </c>
      <c r="H533" t="s">
        <v>1281</v>
      </c>
      <c r="I533" t="s">
        <v>208</v>
      </c>
      <c r="K533">
        <v>2503399.6766900001</v>
      </c>
      <c r="L533">
        <v>1130016.2080000001</v>
      </c>
      <c r="M533">
        <v>400</v>
      </c>
      <c r="N533" t="s">
        <v>1295</v>
      </c>
    </row>
    <row r="534" spans="1:14" x14ac:dyDescent="0.25">
      <c r="A534">
        <v>8580398</v>
      </c>
      <c r="B534" t="s">
        <v>1296</v>
      </c>
      <c r="C534" t="s">
        <v>101</v>
      </c>
      <c r="D534" t="s">
        <v>86</v>
      </c>
      <c r="E534" t="s">
        <v>87</v>
      </c>
      <c r="F534" t="s">
        <v>1297</v>
      </c>
      <c r="G534">
        <v>5404</v>
      </c>
      <c r="H534" t="s">
        <v>1297</v>
      </c>
      <c r="I534" t="s">
        <v>103</v>
      </c>
      <c r="K534">
        <v>2564504</v>
      </c>
      <c r="L534">
        <v>1134391</v>
      </c>
      <c r="M534">
        <v>1225</v>
      </c>
      <c r="N534" t="s">
        <v>1298</v>
      </c>
    </row>
    <row r="535" spans="1:14" x14ac:dyDescent="0.25">
      <c r="A535">
        <v>8582430</v>
      </c>
      <c r="B535" t="s">
        <v>1299</v>
      </c>
      <c r="C535" t="s">
        <v>101</v>
      </c>
      <c r="D535" t="s">
        <v>86</v>
      </c>
      <c r="E535" t="s">
        <v>87</v>
      </c>
      <c r="F535" t="s">
        <v>1297</v>
      </c>
      <c r="G535">
        <v>5404</v>
      </c>
      <c r="H535" t="s">
        <v>1297</v>
      </c>
      <c r="I535" t="s">
        <v>103</v>
      </c>
      <c r="K535">
        <v>2564234</v>
      </c>
      <c r="L535">
        <v>1134163</v>
      </c>
      <c r="M535">
        <v>1188</v>
      </c>
      <c r="N535" t="s">
        <v>1300</v>
      </c>
    </row>
    <row r="536" spans="1:14" x14ac:dyDescent="0.25">
      <c r="A536">
        <v>8583404</v>
      </c>
      <c r="B536" t="s">
        <v>1301</v>
      </c>
      <c r="C536" t="s">
        <v>101</v>
      </c>
      <c r="D536" t="s">
        <v>86</v>
      </c>
      <c r="E536" t="s">
        <v>87</v>
      </c>
      <c r="F536" t="s">
        <v>1297</v>
      </c>
      <c r="G536">
        <v>5404</v>
      </c>
      <c r="H536" t="s">
        <v>1297</v>
      </c>
      <c r="I536" t="s">
        <v>103</v>
      </c>
      <c r="K536">
        <v>2562857</v>
      </c>
      <c r="L536">
        <v>1132359</v>
      </c>
      <c r="M536">
        <v>782</v>
      </c>
      <c r="N536" t="s">
        <v>1302</v>
      </c>
    </row>
    <row r="537" spans="1:14" x14ac:dyDescent="0.25">
      <c r="A537">
        <v>8583765</v>
      </c>
      <c r="B537" t="s">
        <v>1303</v>
      </c>
      <c r="C537" t="s">
        <v>101</v>
      </c>
      <c r="D537" t="s">
        <v>86</v>
      </c>
      <c r="E537" t="s">
        <v>87</v>
      </c>
      <c r="F537" t="s">
        <v>1297</v>
      </c>
      <c r="G537">
        <v>5404</v>
      </c>
      <c r="H537" t="s">
        <v>1297</v>
      </c>
      <c r="I537" t="s">
        <v>103</v>
      </c>
      <c r="K537">
        <v>2563367</v>
      </c>
      <c r="L537">
        <v>1132749</v>
      </c>
      <c r="M537">
        <v>830</v>
      </c>
      <c r="N537" t="s">
        <v>1304</v>
      </c>
    </row>
    <row r="538" spans="1:14" x14ac:dyDescent="0.25">
      <c r="A538">
        <v>8570606</v>
      </c>
      <c r="B538" t="s">
        <v>1305</v>
      </c>
      <c r="C538" t="s">
        <v>101</v>
      </c>
      <c r="D538" t="s">
        <v>86</v>
      </c>
      <c r="E538" t="s">
        <v>87</v>
      </c>
      <c r="F538" t="s">
        <v>1297</v>
      </c>
      <c r="G538">
        <v>5404</v>
      </c>
      <c r="H538" t="s">
        <v>1297</v>
      </c>
      <c r="I538" t="s">
        <v>103</v>
      </c>
      <c r="K538">
        <v>2563246</v>
      </c>
      <c r="L538">
        <v>1133504</v>
      </c>
      <c r="M538">
        <v>980</v>
      </c>
      <c r="N538" t="s">
        <v>1306</v>
      </c>
    </row>
    <row r="539" spans="1:14" x14ac:dyDescent="0.25">
      <c r="A539">
        <v>8570605</v>
      </c>
      <c r="B539" t="s">
        <v>1307</v>
      </c>
      <c r="C539" t="s">
        <v>101</v>
      </c>
      <c r="D539" t="s">
        <v>86</v>
      </c>
      <c r="E539" t="s">
        <v>87</v>
      </c>
      <c r="F539" t="s">
        <v>1297</v>
      </c>
      <c r="G539">
        <v>5404</v>
      </c>
      <c r="H539" t="s">
        <v>1297</v>
      </c>
      <c r="I539" t="s">
        <v>103</v>
      </c>
      <c r="K539">
        <v>2563315</v>
      </c>
      <c r="L539">
        <v>1132906</v>
      </c>
      <c r="M539">
        <v>879</v>
      </c>
      <c r="N539" t="s">
        <v>1308</v>
      </c>
    </row>
    <row r="540" spans="1:14" x14ac:dyDescent="0.25">
      <c r="A540">
        <v>8501759</v>
      </c>
      <c r="B540" t="s">
        <v>1309</v>
      </c>
      <c r="C540" t="s">
        <v>101</v>
      </c>
      <c r="D540" t="s">
        <v>86</v>
      </c>
      <c r="E540" t="s">
        <v>87</v>
      </c>
      <c r="F540" t="s">
        <v>1297</v>
      </c>
      <c r="G540">
        <v>5404</v>
      </c>
      <c r="H540" t="s">
        <v>1297</v>
      </c>
      <c r="I540" t="s">
        <v>103</v>
      </c>
      <c r="K540">
        <v>2563191</v>
      </c>
      <c r="L540">
        <v>1133134</v>
      </c>
      <c r="M540">
        <v>911</v>
      </c>
      <c r="N540" t="s">
        <v>1310</v>
      </c>
    </row>
    <row r="541" spans="1:14" x14ac:dyDescent="0.25">
      <c r="A541">
        <v>8504661</v>
      </c>
      <c r="B541" t="s">
        <v>1311</v>
      </c>
      <c r="C541" t="s">
        <v>101</v>
      </c>
      <c r="D541" t="s">
        <v>86</v>
      </c>
      <c r="E541" t="s">
        <v>87</v>
      </c>
      <c r="F541" t="s">
        <v>1297</v>
      </c>
      <c r="G541">
        <v>5404</v>
      </c>
      <c r="H541" t="s">
        <v>1297</v>
      </c>
      <c r="I541" t="s">
        <v>103</v>
      </c>
      <c r="K541">
        <v>2563194</v>
      </c>
      <c r="L541">
        <v>1132514</v>
      </c>
      <c r="M541">
        <v>759</v>
      </c>
      <c r="N541" t="s">
        <v>1312</v>
      </c>
    </row>
    <row r="542" spans="1:14" x14ac:dyDescent="0.25">
      <c r="A542">
        <v>8570430</v>
      </c>
      <c r="B542" t="s">
        <v>1313</v>
      </c>
      <c r="C542" t="s">
        <v>94</v>
      </c>
      <c r="D542" t="s">
        <v>86</v>
      </c>
      <c r="E542" t="s">
        <v>87</v>
      </c>
      <c r="F542" t="s">
        <v>1314</v>
      </c>
      <c r="G542">
        <v>5785</v>
      </c>
      <c r="H542" t="s">
        <v>1314</v>
      </c>
      <c r="I542" t="s">
        <v>96</v>
      </c>
      <c r="K542">
        <v>2546660</v>
      </c>
      <c r="L542">
        <v>1161442</v>
      </c>
      <c r="M542">
        <v>786</v>
      </c>
      <c r="N542" t="s">
        <v>1315</v>
      </c>
    </row>
    <row r="543" spans="1:14" x14ac:dyDescent="0.25">
      <c r="A543">
        <v>8570431</v>
      </c>
      <c r="B543" t="s">
        <v>1316</v>
      </c>
      <c r="C543" t="s">
        <v>94</v>
      </c>
      <c r="D543" t="s">
        <v>86</v>
      </c>
      <c r="E543" t="s">
        <v>87</v>
      </c>
      <c r="F543" t="s">
        <v>1314</v>
      </c>
      <c r="G543">
        <v>5785</v>
      </c>
      <c r="H543" t="s">
        <v>1314</v>
      </c>
      <c r="I543" t="s">
        <v>96</v>
      </c>
      <c r="K543">
        <v>2546649</v>
      </c>
      <c r="L543">
        <v>1161925</v>
      </c>
      <c r="M543">
        <v>779</v>
      </c>
      <c r="N543" t="s">
        <v>1317</v>
      </c>
    </row>
    <row r="544" spans="1:14" x14ac:dyDescent="0.25">
      <c r="A544">
        <v>8570432</v>
      </c>
      <c r="B544" t="s">
        <v>1318</v>
      </c>
      <c r="C544" t="s">
        <v>94</v>
      </c>
      <c r="D544" t="s">
        <v>86</v>
      </c>
      <c r="E544" t="s">
        <v>87</v>
      </c>
      <c r="F544" t="s">
        <v>1314</v>
      </c>
      <c r="G544">
        <v>5785</v>
      </c>
      <c r="H544" t="s">
        <v>1314</v>
      </c>
      <c r="I544" t="s">
        <v>96</v>
      </c>
      <c r="K544">
        <v>2546746</v>
      </c>
      <c r="L544">
        <v>1162523</v>
      </c>
      <c r="M544">
        <v>766</v>
      </c>
      <c r="N544" t="s">
        <v>1319</v>
      </c>
    </row>
    <row r="545" spans="1:14" x14ac:dyDescent="0.25">
      <c r="A545">
        <v>8507664</v>
      </c>
      <c r="B545" t="s">
        <v>1320</v>
      </c>
      <c r="C545" t="s">
        <v>94</v>
      </c>
      <c r="D545" t="s">
        <v>86</v>
      </c>
      <c r="E545" t="s">
        <v>87</v>
      </c>
      <c r="F545" t="s">
        <v>1321</v>
      </c>
      <c r="G545">
        <v>5555</v>
      </c>
      <c r="H545" t="s">
        <v>1321</v>
      </c>
      <c r="I545" t="s">
        <v>96</v>
      </c>
      <c r="K545">
        <v>2544374</v>
      </c>
      <c r="L545">
        <v>1188713</v>
      </c>
      <c r="M545">
        <v>461</v>
      </c>
      <c r="N545" t="s">
        <v>1322</v>
      </c>
    </row>
    <row r="546" spans="1:14" x14ac:dyDescent="0.25">
      <c r="A546">
        <v>8510142</v>
      </c>
      <c r="B546" t="s">
        <v>1323</v>
      </c>
      <c r="C546" t="s">
        <v>297</v>
      </c>
      <c r="D546" t="s">
        <v>86</v>
      </c>
      <c r="E546" t="s">
        <v>87</v>
      </c>
      <c r="F546" t="s">
        <v>1324</v>
      </c>
      <c r="G546">
        <v>5816</v>
      </c>
      <c r="H546" t="s">
        <v>1324</v>
      </c>
      <c r="I546" t="s">
        <v>298</v>
      </c>
      <c r="K546">
        <v>2563563</v>
      </c>
      <c r="L546">
        <v>1187235</v>
      </c>
      <c r="M546">
        <v>448.3</v>
      </c>
      <c r="N546" t="s">
        <v>1325</v>
      </c>
    </row>
    <row r="547" spans="1:14" x14ac:dyDescent="0.25">
      <c r="A547">
        <v>8504039</v>
      </c>
      <c r="B547" t="s">
        <v>1326</v>
      </c>
      <c r="C547" t="s">
        <v>132</v>
      </c>
      <c r="E547" t="s">
        <v>87</v>
      </c>
      <c r="F547" t="s">
        <v>1324</v>
      </c>
      <c r="G547">
        <v>5816</v>
      </c>
      <c r="H547" t="s">
        <v>1324</v>
      </c>
      <c r="I547" t="s">
        <v>133</v>
      </c>
      <c r="J547" t="s">
        <v>130</v>
      </c>
      <c r="K547">
        <v>2563515.463</v>
      </c>
      <c r="L547">
        <v>1186466.156</v>
      </c>
      <c r="M547">
        <v>454.286</v>
      </c>
      <c r="N547" t="s">
        <v>1327</v>
      </c>
    </row>
    <row r="548" spans="1:14" x14ac:dyDescent="0.25">
      <c r="A548">
        <v>8504135</v>
      </c>
      <c r="B548" t="s">
        <v>1328</v>
      </c>
      <c r="C548" t="s">
        <v>132</v>
      </c>
      <c r="D548" t="s">
        <v>112</v>
      </c>
      <c r="E548" t="s">
        <v>87</v>
      </c>
      <c r="F548" t="s">
        <v>1324</v>
      </c>
      <c r="G548">
        <v>5816</v>
      </c>
      <c r="H548" t="s">
        <v>1324</v>
      </c>
      <c r="I548" t="s">
        <v>133</v>
      </c>
      <c r="K548">
        <v>2563266.514</v>
      </c>
      <c r="L548">
        <v>1186524.361</v>
      </c>
      <c r="M548">
        <v>451.88</v>
      </c>
      <c r="N548" t="s">
        <v>1329</v>
      </c>
    </row>
    <row r="549" spans="1:14" x14ac:dyDescent="0.25">
      <c r="A549">
        <v>8504123</v>
      </c>
      <c r="B549" t="s">
        <v>1330</v>
      </c>
      <c r="C549" t="s">
        <v>132</v>
      </c>
      <c r="D549" t="s">
        <v>112</v>
      </c>
      <c r="E549" t="s">
        <v>87</v>
      </c>
      <c r="F549" t="s">
        <v>1324</v>
      </c>
      <c r="G549">
        <v>5816</v>
      </c>
      <c r="H549" t="s">
        <v>1324</v>
      </c>
      <c r="I549" t="s">
        <v>133</v>
      </c>
      <c r="K549">
        <v>2563507.5720000002</v>
      </c>
      <c r="L549">
        <v>1187236.014</v>
      </c>
      <c r="M549">
        <v>448.16</v>
      </c>
      <c r="N549" t="s">
        <v>1331</v>
      </c>
    </row>
    <row r="550" spans="1:14" x14ac:dyDescent="0.25">
      <c r="A550">
        <v>8504037</v>
      </c>
      <c r="B550" t="s">
        <v>1332</v>
      </c>
      <c r="C550" t="s">
        <v>297</v>
      </c>
      <c r="D550" t="s">
        <v>86</v>
      </c>
      <c r="E550" t="s">
        <v>87</v>
      </c>
      <c r="F550" t="s">
        <v>1324</v>
      </c>
      <c r="G550">
        <v>5816</v>
      </c>
      <c r="H550" t="s">
        <v>1324</v>
      </c>
      <c r="I550" t="s">
        <v>298</v>
      </c>
      <c r="K550">
        <v>2563236.1680600001</v>
      </c>
      <c r="L550">
        <v>1186562.53718</v>
      </c>
      <c r="M550">
        <v>451.3</v>
      </c>
      <c r="N550" t="s">
        <v>1333</v>
      </c>
    </row>
    <row r="551" spans="1:14" x14ac:dyDescent="0.25">
      <c r="A551">
        <v>8579158</v>
      </c>
      <c r="B551" t="s">
        <v>1334</v>
      </c>
      <c r="C551" t="s">
        <v>650</v>
      </c>
      <c r="D551" t="s">
        <v>86</v>
      </c>
      <c r="E551" t="s">
        <v>87</v>
      </c>
      <c r="F551" t="s">
        <v>1335</v>
      </c>
      <c r="G551">
        <v>5883</v>
      </c>
      <c r="H551" t="s">
        <v>1335</v>
      </c>
      <c r="I551" t="s">
        <v>651</v>
      </c>
      <c r="K551">
        <v>2553182.7692399998</v>
      </c>
      <c r="L551">
        <v>1146869.9304299999</v>
      </c>
      <c r="M551">
        <v>441</v>
      </c>
      <c r="N551" t="s">
        <v>1336</v>
      </c>
    </row>
    <row r="552" spans="1:14" x14ac:dyDescent="0.25">
      <c r="A552">
        <v>8512019</v>
      </c>
      <c r="B552" t="s">
        <v>1337</v>
      </c>
      <c r="C552" t="s">
        <v>650</v>
      </c>
      <c r="D552" t="s">
        <v>86</v>
      </c>
      <c r="E552" t="s">
        <v>87</v>
      </c>
      <c r="F552" t="s">
        <v>1335</v>
      </c>
      <c r="G552">
        <v>5883</v>
      </c>
      <c r="H552" t="s">
        <v>1335</v>
      </c>
      <c r="I552" t="s">
        <v>651</v>
      </c>
      <c r="K552">
        <v>2553508.40325</v>
      </c>
      <c r="L552">
        <v>1146485.0238900001</v>
      </c>
      <c r="M552">
        <v>379.6</v>
      </c>
      <c r="N552" t="s">
        <v>1338</v>
      </c>
    </row>
    <row r="553" spans="1:14" x14ac:dyDescent="0.25">
      <c r="A553">
        <v>8593912</v>
      </c>
      <c r="B553" t="s">
        <v>1339</v>
      </c>
      <c r="C553" t="s">
        <v>650</v>
      </c>
      <c r="D553" t="s">
        <v>86</v>
      </c>
      <c r="E553" t="s">
        <v>87</v>
      </c>
      <c r="F553" t="s">
        <v>1335</v>
      </c>
      <c r="G553">
        <v>5883</v>
      </c>
      <c r="H553" t="s">
        <v>1335</v>
      </c>
      <c r="I553" t="s">
        <v>651</v>
      </c>
      <c r="K553">
        <v>2552559</v>
      </c>
      <c r="L553">
        <v>1146955</v>
      </c>
      <c r="M553">
        <v>442</v>
      </c>
      <c r="N553" t="s">
        <v>1340</v>
      </c>
    </row>
    <row r="554" spans="1:14" x14ac:dyDescent="0.25">
      <c r="A554">
        <v>8504040</v>
      </c>
      <c r="B554" t="s">
        <v>1341</v>
      </c>
      <c r="C554" t="s">
        <v>132</v>
      </c>
      <c r="D554" t="s">
        <v>112</v>
      </c>
      <c r="E554" t="s">
        <v>87</v>
      </c>
      <c r="F554" t="s">
        <v>1335</v>
      </c>
      <c r="G554">
        <v>5883</v>
      </c>
      <c r="H554" t="s">
        <v>1335</v>
      </c>
      <c r="I554" t="s">
        <v>133</v>
      </c>
      <c r="K554">
        <v>2552851.449</v>
      </c>
      <c r="L554">
        <v>1146754.6170000001</v>
      </c>
      <c r="M554">
        <v>419.93900000000002</v>
      </c>
      <c r="N554" t="s">
        <v>1342</v>
      </c>
    </row>
    <row r="555" spans="1:14" x14ac:dyDescent="0.25">
      <c r="A555">
        <v>8510000</v>
      </c>
      <c r="B555" t="s">
        <v>1343</v>
      </c>
      <c r="C555" t="s">
        <v>650</v>
      </c>
      <c r="D555" t="s">
        <v>86</v>
      </c>
      <c r="E555" t="s">
        <v>87</v>
      </c>
      <c r="F555" t="s">
        <v>1335</v>
      </c>
      <c r="G555">
        <v>5883</v>
      </c>
      <c r="H555" t="s">
        <v>1335</v>
      </c>
      <c r="I555" t="s">
        <v>651</v>
      </c>
      <c r="K555">
        <v>2553238.4403200001</v>
      </c>
      <c r="L555">
        <v>1146841.98584</v>
      </c>
      <c r="M555">
        <v>429</v>
      </c>
      <c r="N555" t="s">
        <v>1344</v>
      </c>
    </row>
    <row r="556" spans="1:14" x14ac:dyDescent="0.25">
      <c r="A556">
        <v>8510445</v>
      </c>
      <c r="B556" t="s">
        <v>1345</v>
      </c>
      <c r="C556" t="s">
        <v>994</v>
      </c>
      <c r="D556" t="s">
        <v>86</v>
      </c>
      <c r="E556" t="s">
        <v>87</v>
      </c>
      <c r="F556" t="s">
        <v>1335</v>
      </c>
      <c r="G556">
        <v>5883</v>
      </c>
      <c r="H556" t="s">
        <v>1335</v>
      </c>
      <c r="I556" t="s">
        <v>996</v>
      </c>
      <c r="K556">
        <v>2553919</v>
      </c>
      <c r="L556">
        <v>1147100</v>
      </c>
      <c r="M556">
        <v>504</v>
      </c>
      <c r="N556" t="s">
        <v>1346</v>
      </c>
    </row>
    <row r="557" spans="1:14" x14ac:dyDescent="0.25">
      <c r="A557">
        <v>8579153</v>
      </c>
      <c r="B557" t="s">
        <v>1347</v>
      </c>
      <c r="C557" t="s">
        <v>650</v>
      </c>
      <c r="D557" t="s">
        <v>86</v>
      </c>
      <c r="E557" t="s">
        <v>87</v>
      </c>
      <c r="F557" t="s">
        <v>1335</v>
      </c>
      <c r="G557">
        <v>5883</v>
      </c>
      <c r="H557" t="s">
        <v>1335</v>
      </c>
      <c r="I557" t="s">
        <v>651</v>
      </c>
      <c r="K557">
        <v>2552250</v>
      </c>
      <c r="L557">
        <v>1146813</v>
      </c>
      <c r="M557">
        <v>399</v>
      </c>
      <c r="N557" t="s">
        <v>1348</v>
      </c>
    </row>
    <row r="558" spans="1:14" x14ac:dyDescent="0.25">
      <c r="A558">
        <v>8579155</v>
      </c>
      <c r="B558" t="s">
        <v>1349</v>
      </c>
      <c r="C558" t="s">
        <v>650</v>
      </c>
      <c r="D558" t="s">
        <v>86</v>
      </c>
      <c r="E558" t="s">
        <v>87</v>
      </c>
      <c r="F558" t="s">
        <v>1335</v>
      </c>
      <c r="G558">
        <v>5883</v>
      </c>
      <c r="H558" t="s">
        <v>1335</v>
      </c>
      <c r="I558" t="s">
        <v>651</v>
      </c>
      <c r="K558">
        <v>2552296</v>
      </c>
      <c r="L558">
        <v>1146922</v>
      </c>
      <c r="M558">
        <v>429</v>
      </c>
      <c r="N558" t="s">
        <v>1350</v>
      </c>
    </row>
    <row r="559" spans="1:14" x14ac:dyDescent="0.25">
      <c r="A559">
        <v>8579159</v>
      </c>
      <c r="B559" t="s">
        <v>1351</v>
      </c>
      <c r="C559" t="s">
        <v>650</v>
      </c>
      <c r="D559" t="s">
        <v>86</v>
      </c>
      <c r="E559" t="s">
        <v>87</v>
      </c>
      <c r="F559" t="s">
        <v>1335</v>
      </c>
      <c r="G559">
        <v>5883</v>
      </c>
      <c r="H559" t="s">
        <v>1335</v>
      </c>
      <c r="I559" t="s">
        <v>651</v>
      </c>
      <c r="K559">
        <v>2553454</v>
      </c>
      <c r="L559">
        <v>1146907</v>
      </c>
      <c r="M559">
        <v>439</v>
      </c>
      <c r="N559" t="s">
        <v>1352</v>
      </c>
    </row>
    <row r="560" spans="1:14" x14ac:dyDescent="0.25">
      <c r="A560">
        <v>8579157</v>
      </c>
      <c r="B560" t="s">
        <v>1353</v>
      </c>
      <c r="C560" t="s">
        <v>650</v>
      </c>
      <c r="D560" t="s">
        <v>86</v>
      </c>
      <c r="E560" t="s">
        <v>87</v>
      </c>
      <c r="F560" t="s">
        <v>1335</v>
      </c>
      <c r="G560">
        <v>5883</v>
      </c>
      <c r="H560" t="s">
        <v>1335</v>
      </c>
      <c r="I560" t="s">
        <v>651</v>
      </c>
      <c r="K560">
        <v>2552946.3140599998</v>
      </c>
      <c r="L560">
        <v>1146896.53645</v>
      </c>
      <c r="M560">
        <v>442</v>
      </c>
      <c r="N560" t="s">
        <v>1354</v>
      </c>
    </row>
    <row r="561" spans="1:14" x14ac:dyDescent="0.25">
      <c r="A561">
        <v>8504967</v>
      </c>
      <c r="B561" t="s">
        <v>1355</v>
      </c>
      <c r="C561" t="s">
        <v>650</v>
      </c>
      <c r="D561" t="s">
        <v>86</v>
      </c>
      <c r="E561" t="s">
        <v>87</v>
      </c>
      <c r="F561" t="s">
        <v>1335</v>
      </c>
      <c r="G561">
        <v>5883</v>
      </c>
      <c r="H561" t="s">
        <v>1335</v>
      </c>
      <c r="I561" t="s">
        <v>651</v>
      </c>
      <c r="K561">
        <v>2554044.8566899998</v>
      </c>
      <c r="L561">
        <v>1146819.26092</v>
      </c>
      <c r="M561">
        <v>415</v>
      </c>
      <c r="N561" t="s">
        <v>1356</v>
      </c>
    </row>
    <row r="562" spans="1:14" x14ac:dyDescent="0.25">
      <c r="A562">
        <v>8579151</v>
      </c>
      <c r="B562" t="s">
        <v>1357</v>
      </c>
      <c r="C562" t="s">
        <v>650</v>
      </c>
      <c r="D562" t="s">
        <v>86</v>
      </c>
      <c r="E562" t="s">
        <v>87</v>
      </c>
      <c r="F562" t="s">
        <v>1335</v>
      </c>
      <c r="G562">
        <v>5883</v>
      </c>
      <c r="H562" t="s">
        <v>1335</v>
      </c>
      <c r="I562" t="s">
        <v>651</v>
      </c>
      <c r="K562">
        <v>2552988.0362399998</v>
      </c>
      <c r="L562">
        <v>1146753.17337</v>
      </c>
      <c r="M562">
        <v>419.4</v>
      </c>
      <c r="N562" t="s">
        <v>1358</v>
      </c>
    </row>
    <row r="563" spans="1:14" x14ac:dyDescent="0.25">
      <c r="A563">
        <v>8579152</v>
      </c>
      <c r="B563" t="s">
        <v>1359</v>
      </c>
      <c r="C563" t="s">
        <v>650</v>
      </c>
      <c r="D563" t="s">
        <v>86</v>
      </c>
      <c r="E563" t="s">
        <v>87</v>
      </c>
      <c r="F563" t="s">
        <v>1335</v>
      </c>
      <c r="G563">
        <v>5883</v>
      </c>
      <c r="H563" t="s">
        <v>1335</v>
      </c>
      <c r="I563" t="s">
        <v>651</v>
      </c>
      <c r="K563">
        <v>2552675.2324600001</v>
      </c>
      <c r="L563">
        <v>1146829.3969399999</v>
      </c>
      <c r="M563">
        <v>416.1</v>
      </c>
      <c r="N563" t="s">
        <v>1360</v>
      </c>
    </row>
    <row r="564" spans="1:14" x14ac:dyDescent="0.25">
      <c r="A564">
        <v>8501251</v>
      </c>
      <c r="B564" t="s">
        <v>1335</v>
      </c>
      <c r="C564" t="s">
        <v>994</v>
      </c>
      <c r="D564" t="s">
        <v>1004</v>
      </c>
      <c r="E564" t="s">
        <v>87</v>
      </c>
      <c r="F564" t="s">
        <v>1335</v>
      </c>
      <c r="G564">
        <v>5883</v>
      </c>
      <c r="H564" t="s">
        <v>1335</v>
      </c>
      <c r="I564" t="s">
        <v>996</v>
      </c>
      <c r="J564" t="s">
        <v>1361</v>
      </c>
      <c r="K564">
        <v>2553694</v>
      </c>
      <c r="L564">
        <v>1146883</v>
      </c>
      <c r="M564">
        <v>442</v>
      </c>
      <c r="N564" t="s">
        <v>1362</v>
      </c>
    </row>
    <row r="565" spans="1:14" x14ac:dyDescent="0.25">
      <c r="A565">
        <v>8579160</v>
      </c>
      <c r="B565" t="s">
        <v>1363</v>
      </c>
      <c r="C565" t="s">
        <v>650</v>
      </c>
      <c r="D565" t="s">
        <v>86</v>
      </c>
      <c r="E565" t="s">
        <v>87</v>
      </c>
      <c r="F565" t="s">
        <v>1364</v>
      </c>
      <c r="G565">
        <v>5884</v>
      </c>
      <c r="H565" t="s">
        <v>1364</v>
      </c>
      <c r="I565" t="s">
        <v>651</v>
      </c>
      <c r="K565">
        <v>2554149.0621500001</v>
      </c>
      <c r="L565">
        <v>1146731.1158400001</v>
      </c>
      <c r="M565">
        <v>420</v>
      </c>
      <c r="N565" t="s">
        <v>1365</v>
      </c>
    </row>
    <row r="566" spans="1:14" x14ac:dyDescent="0.25">
      <c r="A566">
        <v>8579187</v>
      </c>
      <c r="B566" t="s">
        <v>1366</v>
      </c>
      <c r="C566" t="s">
        <v>650</v>
      </c>
      <c r="D566" t="s">
        <v>86</v>
      </c>
      <c r="E566" t="s">
        <v>87</v>
      </c>
      <c r="F566" t="s">
        <v>1364</v>
      </c>
      <c r="G566">
        <v>5884</v>
      </c>
      <c r="H566" t="s">
        <v>1367</v>
      </c>
      <c r="I566" t="s">
        <v>651</v>
      </c>
      <c r="K566">
        <v>2557921</v>
      </c>
      <c r="L566">
        <v>1151067</v>
      </c>
      <c r="M566">
        <v>806</v>
      </c>
      <c r="N566" t="s">
        <v>1368</v>
      </c>
    </row>
    <row r="567" spans="1:14" x14ac:dyDescent="0.25">
      <c r="A567">
        <v>8579169</v>
      </c>
      <c r="B567" t="s">
        <v>1369</v>
      </c>
      <c r="C567" t="s">
        <v>650</v>
      </c>
      <c r="D567" t="s">
        <v>86</v>
      </c>
      <c r="E567" t="s">
        <v>87</v>
      </c>
      <c r="F567" t="s">
        <v>1364</v>
      </c>
      <c r="G567">
        <v>5884</v>
      </c>
      <c r="H567" t="s">
        <v>1370</v>
      </c>
      <c r="I567" t="s">
        <v>651</v>
      </c>
      <c r="K567">
        <v>2556036.5205000001</v>
      </c>
      <c r="L567">
        <v>1148190.7814199999</v>
      </c>
      <c r="M567">
        <v>551</v>
      </c>
      <c r="N567" t="s">
        <v>1371</v>
      </c>
    </row>
    <row r="568" spans="1:14" x14ac:dyDescent="0.25">
      <c r="A568">
        <v>8579168</v>
      </c>
      <c r="B568" t="s">
        <v>1372</v>
      </c>
      <c r="C568" t="s">
        <v>650</v>
      </c>
      <c r="D568" t="s">
        <v>86</v>
      </c>
      <c r="E568" t="s">
        <v>87</v>
      </c>
      <c r="F568" t="s">
        <v>1364</v>
      </c>
      <c r="G568">
        <v>5884</v>
      </c>
      <c r="H568" t="s">
        <v>1370</v>
      </c>
      <c r="I568" t="s">
        <v>651</v>
      </c>
      <c r="K568">
        <v>2555794.3788700001</v>
      </c>
      <c r="L568">
        <v>1148001.3940600001</v>
      </c>
      <c r="M568">
        <v>538</v>
      </c>
      <c r="N568" t="s">
        <v>1373</v>
      </c>
    </row>
    <row r="569" spans="1:14" x14ac:dyDescent="0.25">
      <c r="A569">
        <v>8579162</v>
      </c>
      <c r="B569" t="s">
        <v>1374</v>
      </c>
      <c r="C569" t="s">
        <v>650</v>
      </c>
      <c r="D569" t="s">
        <v>86</v>
      </c>
      <c r="E569" t="s">
        <v>87</v>
      </c>
      <c r="F569" t="s">
        <v>1364</v>
      </c>
      <c r="G569">
        <v>5884</v>
      </c>
      <c r="H569" t="s">
        <v>1364</v>
      </c>
      <c r="I569" t="s">
        <v>651</v>
      </c>
      <c r="K569">
        <v>2554632.70034</v>
      </c>
      <c r="L569">
        <v>1146907.6466399999</v>
      </c>
      <c r="M569">
        <v>446</v>
      </c>
      <c r="N569" t="s">
        <v>1375</v>
      </c>
    </row>
    <row r="570" spans="1:14" x14ac:dyDescent="0.25">
      <c r="A570">
        <v>8579173</v>
      </c>
      <c r="B570" t="s">
        <v>1376</v>
      </c>
      <c r="C570" t="s">
        <v>650</v>
      </c>
      <c r="D570" t="s">
        <v>86</v>
      </c>
      <c r="E570" t="s">
        <v>87</v>
      </c>
      <c r="F570" t="s">
        <v>1364</v>
      </c>
      <c r="G570">
        <v>5884</v>
      </c>
      <c r="H570" t="s">
        <v>1364</v>
      </c>
      <c r="I570" t="s">
        <v>651</v>
      </c>
      <c r="K570">
        <v>2554971.42979</v>
      </c>
      <c r="L570">
        <v>1147546.07228</v>
      </c>
      <c r="M570">
        <v>539</v>
      </c>
      <c r="N570" t="s">
        <v>1377</v>
      </c>
    </row>
    <row r="571" spans="1:14" x14ac:dyDescent="0.25">
      <c r="A571">
        <v>8504964</v>
      </c>
      <c r="B571" t="s">
        <v>1378</v>
      </c>
      <c r="C571" t="s">
        <v>650</v>
      </c>
      <c r="D571" t="s">
        <v>86</v>
      </c>
      <c r="E571" t="s">
        <v>87</v>
      </c>
      <c r="F571" t="s">
        <v>1364</v>
      </c>
      <c r="G571">
        <v>5884</v>
      </c>
      <c r="H571" t="s">
        <v>1364</v>
      </c>
      <c r="I571" t="s">
        <v>651</v>
      </c>
      <c r="K571">
        <v>2554425.7600699998</v>
      </c>
      <c r="L571">
        <v>1146732.45098</v>
      </c>
      <c r="M571">
        <v>427</v>
      </c>
      <c r="N571" t="s">
        <v>1379</v>
      </c>
    </row>
    <row r="572" spans="1:14" x14ac:dyDescent="0.25">
      <c r="A572">
        <v>8504955</v>
      </c>
      <c r="B572" t="s">
        <v>1380</v>
      </c>
      <c r="C572" t="s">
        <v>650</v>
      </c>
      <c r="D572" t="s">
        <v>86</v>
      </c>
      <c r="E572" t="s">
        <v>87</v>
      </c>
      <c r="F572" t="s">
        <v>1364</v>
      </c>
      <c r="G572">
        <v>5884</v>
      </c>
      <c r="H572" t="s">
        <v>1367</v>
      </c>
      <c r="I572" t="s">
        <v>651</v>
      </c>
      <c r="K572">
        <v>2557770</v>
      </c>
      <c r="L572">
        <v>1150848</v>
      </c>
      <c r="M572">
        <v>797</v>
      </c>
      <c r="N572" t="s">
        <v>1381</v>
      </c>
    </row>
    <row r="573" spans="1:14" x14ac:dyDescent="0.25">
      <c r="A573">
        <v>8504954</v>
      </c>
      <c r="B573" t="s">
        <v>1382</v>
      </c>
      <c r="C573" t="s">
        <v>650</v>
      </c>
      <c r="D573" t="s">
        <v>86</v>
      </c>
      <c r="E573" t="s">
        <v>87</v>
      </c>
      <c r="F573" t="s">
        <v>1364</v>
      </c>
      <c r="G573">
        <v>5884</v>
      </c>
      <c r="H573" t="s">
        <v>1364</v>
      </c>
      <c r="I573" t="s">
        <v>651</v>
      </c>
      <c r="K573">
        <v>2555071</v>
      </c>
      <c r="L573">
        <v>1147701</v>
      </c>
      <c r="M573">
        <v>569</v>
      </c>
      <c r="N573" t="s">
        <v>1383</v>
      </c>
    </row>
    <row r="574" spans="1:14" x14ac:dyDescent="0.25">
      <c r="A574">
        <v>8591902</v>
      </c>
      <c r="B574" t="s">
        <v>1384</v>
      </c>
      <c r="C574" t="s">
        <v>650</v>
      </c>
      <c r="D574" t="s">
        <v>86</v>
      </c>
      <c r="E574" t="s">
        <v>87</v>
      </c>
      <c r="F574" t="s">
        <v>1364</v>
      </c>
      <c r="G574">
        <v>5884</v>
      </c>
      <c r="H574" t="s">
        <v>1367</v>
      </c>
      <c r="I574" t="s">
        <v>651</v>
      </c>
      <c r="K574">
        <v>2556753</v>
      </c>
      <c r="L574">
        <v>1149830</v>
      </c>
      <c r="M574">
        <v>765</v>
      </c>
      <c r="N574" t="s">
        <v>1385</v>
      </c>
    </row>
    <row r="575" spans="1:14" x14ac:dyDescent="0.25">
      <c r="A575">
        <v>8593996</v>
      </c>
      <c r="B575" t="s">
        <v>1386</v>
      </c>
      <c r="C575" t="s">
        <v>650</v>
      </c>
      <c r="D575" t="s">
        <v>86</v>
      </c>
      <c r="E575" t="s">
        <v>87</v>
      </c>
      <c r="F575" t="s">
        <v>1364</v>
      </c>
      <c r="G575">
        <v>5884</v>
      </c>
      <c r="H575" t="s">
        <v>1364</v>
      </c>
      <c r="I575" t="s">
        <v>651</v>
      </c>
      <c r="K575">
        <v>2554054.5389999999</v>
      </c>
      <c r="L575">
        <v>1146488.351</v>
      </c>
      <c r="M575">
        <v>389</v>
      </c>
      <c r="N575" t="s">
        <v>1387</v>
      </c>
    </row>
    <row r="576" spans="1:14" x14ac:dyDescent="0.25">
      <c r="A576">
        <v>8579166</v>
      </c>
      <c r="B576" t="s">
        <v>1388</v>
      </c>
      <c r="C576" t="s">
        <v>650</v>
      </c>
      <c r="D576" t="s">
        <v>86</v>
      </c>
      <c r="E576" t="s">
        <v>87</v>
      </c>
      <c r="F576" t="s">
        <v>1364</v>
      </c>
      <c r="G576">
        <v>5884</v>
      </c>
      <c r="H576" t="s">
        <v>1364</v>
      </c>
      <c r="I576" t="s">
        <v>651</v>
      </c>
      <c r="K576">
        <v>2555313</v>
      </c>
      <c r="L576">
        <v>1147684</v>
      </c>
      <c r="M576">
        <v>495</v>
      </c>
      <c r="N576" t="s">
        <v>1389</v>
      </c>
    </row>
    <row r="577" spans="1:14" x14ac:dyDescent="0.25">
      <c r="A577">
        <v>8579184</v>
      </c>
      <c r="B577" t="s">
        <v>1390</v>
      </c>
      <c r="C577" t="s">
        <v>650</v>
      </c>
      <c r="D577" t="s">
        <v>86</v>
      </c>
      <c r="E577" t="s">
        <v>87</v>
      </c>
      <c r="F577" t="s">
        <v>1364</v>
      </c>
      <c r="G577">
        <v>5884</v>
      </c>
      <c r="H577" t="s">
        <v>1367</v>
      </c>
      <c r="I577" t="s">
        <v>651</v>
      </c>
      <c r="K577">
        <v>2556970</v>
      </c>
      <c r="L577">
        <v>1150156</v>
      </c>
      <c r="M577">
        <v>763</v>
      </c>
      <c r="N577" t="s">
        <v>1391</v>
      </c>
    </row>
    <row r="578" spans="1:14" x14ac:dyDescent="0.25">
      <c r="A578">
        <v>8579165</v>
      </c>
      <c r="B578" t="s">
        <v>1392</v>
      </c>
      <c r="C578" t="s">
        <v>650</v>
      </c>
      <c r="D578" t="s">
        <v>86</v>
      </c>
      <c r="E578" t="s">
        <v>87</v>
      </c>
      <c r="F578" t="s">
        <v>1364</v>
      </c>
      <c r="G578">
        <v>5884</v>
      </c>
      <c r="H578" t="s">
        <v>1364</v>
      </c>
      <c r="I578" t="s">
        <v>651</v>
      </c>
      <c r="K578">
        <v>2554923.6340000001</v>
      </c>
      <c r="L578">
        <v>1147353.3319999999</v>
      </c>
      <c r="M578">
        <v>492</v>
      </c>
      <c r="N578" t="s">
        <v>1393</v>
      </c>
    </row>
    <row r="579" spans="1:14" x14ac:dyDescent="0.25">
      <c r="A579">
        <v>8579170</v>
      </c>
      <c r="B579" t="s">
        <v>1394</v>
      </c>
      <c r="C579" t="s">
        <v>650</v>
      </c>
      <c r="D579" t="s">
        <v>86</v>
      </c>
      <c r="E579" t="s">
        <v>87</v>
      </c>
      <c r="F579" t="s">
        <v>1364</v>
      </c>
      <c r="G579">
        <v>5884</v>
      </c>
      <c r="H579" t="s">
        <v>1370</v>
      </c>
      <c r="I579" t="s">
        <v>651</v>
      </c>
      <c r="K579">
        <v>2556317.44355</v>
      </c>
      <c r="L579">
        <v>1148498.1573300001</v>
      </c>
      <c r="M579">
        <v>573</v>
      </c>
      <c r="N579" t="s">
        <v>1395</v>
      </c>
    </row>
    <row r="580" spans="1:14" x14ac:dyDescent="0.25">
      <c r="A580">
        <v>8579172</v>
      </c>
      <c r="B580" t="s">
        <v>1396</v>
      </c>
      <c r="C580" t="s">
        <v>650</v>
      </c>
      <c r="D580" t="s">
        <v>86</v>
      </c>
      <c r="E580" t="s">
        <v>87</v>
      </c>
      <c r="F580" t="s">
        <v>1364</v>
      </c>
      <c r="G580">
        <v>5884</v>
      </c>
      <c r="H580" t="s">
        <v>1364</v>
      </c>
      <c r="I580" t="s">
        <v>651</v>
      </c>
      <c r="K580">
        <v>2554759.02654</v>
      </c>
      <c r="L580">
        <v>1147465.8299700001</v>
      </c>
      <c r="M580">
        <v>521</v>
      </c>
      <c r="N580" t="s">
        <v>1397</v>
      </c>
    </row>
    <row r="581" spans="1:14" x14ac:dyDescent="0.25">
      <c r="A581">
        <v>8504961</v>
      </c>
      <c r="B581" t="s">
        <v>1398</v>
      </c>
      <c r="C581" t="s">
        <v>650</v>
      </c>
      <c r="D581" t="s">
        <v>86</v>
      </c>
      <c r="E581" t="s">
        <v>87</v>
      </c>
      <c r="F581" t="s">
        <v>1364</v>
      </c>
      <c r="G581">
        <v>5884</v>
      </c>
      <c r="H581" t="s">
        <v>1367</v>
      </c>
      <c r="I581" t="s">
        <v>651</v>
      </c>
      <c r="K581">
        <v>2555600.0315200002</v>
      </c>
      <c r="L581">
        <v>1148587.3001900001</v>
      </c>
      <c r="M581">
        <v>708</v>
      </c>
      <c r="N581" t="s">
        <v>1399</v>
      </c>
    </row>
    <row r="582" spans="1:14" x14ac:dyDescent="0.25">
      <c r="A582">
        <v>8593979</v>
      </c>
      <c r="B582" t="s">
        <v>1400</v>
      </c>
      <c r="C582" t="s">
        <v>650</v>
      </c>
      <c r="D582" t="s">
        <v>86</v>
      </c>
      <c r="E582" t="s">
        <v>87</v>
      </c>
      <c r="F582" t="s">
        <v>1364</v>
      </c>
      <c r="G582">
        <v>5884</v>
      </c>
      <c r="H582" t="s">
        <v>1364</v>
      </c>
      <c r="I582" t="s">
        <v>651</v>
      </c>
      <c r="K582">
        <v>2554225</v>
      </c>
      <c r="L582">
        <v>1146542</v>
      </c>
      <c r="M582">
        <v>394</v>
      </c>
      <c r="N582" t="s">
        <v>1401</v>
      </c>
    </row>
    <row r="583" spans="1:14" x14ac:dyDescent="0.25">
      <c r="A583">
        <v>8504963</v>
      </c>
      <c r="B583" t="s">
        <v>1402</v>
      </c>
      <c r="C583" t="s">
        <v>650</v>
      </c>
      <c r="D583" t="s">
        <v>86</v>
      </c>
      <c r="E583" t="s">
        <v>87</v>
      </c>
      <c r="F583" t="s">
        <v>1364</v>
      </c>
      <c r="G583">
        <v>5884</v>
      </c>
      <c r="H583" t="s">
        <v>1364</v>
      </c>
      <c r="I583" t="s">
        <v>651</v>
      </c>
      <c r="J583" t="s">
        <v>1403</v>
      </c>
      <c r="K583">
        <v>2554511</v>
      </c>
      <c r="L583">
        <v>1147044</v>
      </c>
      <c r="M583">
        <v>447</v>
      </c>
      <c r="N583" t="s">
        <v>1404</v>
      </c>
    </row>
    <row r="584" spans="1:14" x14ac:dyDescent="0.25">
      <c r="A584">
        <v>8504962</v>
      </c>
      <c r="B584" t="s">
        <v>1405</v>
      </c>
      <c r="C584" t="s">
        <v>650</v>
      </c>
      <c r="D584" t="s">
        <v>86</v>
      </c>
      <c r="E584" t="s">
        <v>87</v>
      </c>
      <c r="F584" t="s">
        <v>1364</v>
      </c>
      <c r="G584">
        <v>5884</v>
      </c>
      <c r="H584" t="s">
        <v>1367</v>
      </c>
      <c r="I584" t="s">
        <v>651</v>
      </c>
      <c r="K584">
        <v>2556417.4129699999</v>
      </c>
      <c r="L584">
        <v>1149347.2353000001</v>
      </c>
      <c r="M584">
        <v>757</v>
      </c>
      <c r="N584" t="s">
        <v>1406</v>
      </c>
    </row>
    <row r="585" spans="1:14" x14ac:dyDescent="0.25">
      <c r="A585">
        <v>8504956</v>
      </c>
      <c r="B585" t="s">
        <v>1407</v>
      </c>
      <c r="C585" t="s">
        <v>650</v>
      </c>
      <c r="D585" t="s">
        <v>86</v>
      </c>
      <c r="E585" t="s">
        <v>87</v>
      </c>
      <c r="F585" t="s">
        <v>1364</v>
      </c>
      <c r="G585">
        <v>5884</v>
      </c>
      <c r="H585" t="s">
        <v>1367</v>
      </c>
      <c r="I585" t="s">
        <v>651</v>
      </c>
      <c r="K585">
        <v>2557294.2211000002</v>
      </c>
      <c r="L585">
        <v>1150444.26816</v>
      </c>
      <c r="M585">
        <v>767</v>
      </c>
      <c r="N585" t="s">
        <v>1408</v>
      </c>
    </row>
    <row r="586" spans="1:14" x14ac:dyDescent="0.25">
      <c r="A586">
        <v>8509379</v>
      </c>
      <c r="B586" t="s">
        <v>1409</v>
      </c>
      <c r="C586" t="s">
        <v>85</v>
      </c>
      <c r="D586" t="s">
        <v>86</v>
      </c>
      <c r="E586" t="s">
        <v>87</v>
      </c>
      <c r="F586" t="s">
        <v>1410</v>
      </c>
      <c r="G586">
        <v>5477</v>
      </c>
      <c r="H586" t="s">
        <v>1411</v>
      </c>
      <c r="I586" t="s">
        <v>89</v>
      </c>
      <c r="K586">
        <v>2528336.1353600002</v>
      </c>
      <c r="L586">
        <v>1162824.23948</v>
      </c>
      <c r="M586">
        <v>576</v>
      </c>
      <c r="N586" t="s">
        <v>1412</v>
      </c>
    </row>
    <row r="587" spans="1:14" x14ac:dyDescent="0.25">
      <c r="A587">
        <v>8570109</v>
      </c>
      <c r="B587" t="s">
        <v>1413</v>
      </c>
      <c r="C587" t="s">
        <v>85</v>
      </c>
      <c r="D587" t="s">
        <v>86</v>
      </c>
      <c r="E587" t="s">
        <v>87</v>
      </c>
      <c r="F587" t="s">
        <v>1410</v>
      </c>
      <c r="G587">
        <v>5477</v>
      </c>
      <c r="H587" t="s">
        <v>1411</v>
      </c>
      <c r="I587" t="s">
        <v>89</v>
      </c>
      <c r="K587">
        <v>2528713.11289</v>
      </c>
      <c r="L587">
        <v>1162746.90564</v>
      </c>
      <c r="M587">
        <v>568</v>
      </c>
      <c r="N587" t="s">
        <v>1414</v>
      </c>
    </row>
    <row r="588" spans="1:14" x14ac:dyDescent="0.25">
      <c r="A588">
        <v>8511041</v>
      </c>
      <c r="B588" t="s">
        <v>1415</v>
      </c>
      <c r="C588" t="s">
        <v>85</v>
      </c>
      <c r="D588" t="s">
        <v>86</v>
      </c>
      <c r="E588" t="s">
        <v>87</v>
      </c>
      <c r="F588" t="s">
        <v>1410</v>
      </c>
      <c r="G588">
        <v>5477</v>
      </c>
      <c r="H588" t="s">
        <v>1411</v>
      </c>
      <c r="I588" t="s">
        <v>89</v>
      </c>
      <c r="K588">
        <v>2528285.1830600002</v>
      </c>
      <c r="L588">
        <v>1163026.78981</v>
      </c>
      <c r="M588">
        <v>581</v>
      </c>
      <c r="N588" t="s">
        <v>1416</v>
      </c>
    </row>
    <row r="589" spans="1:14" x14ac:dyDescent="0.25">
      <c r="A589">
        <v>8510766</v>
      </c>
      <c r="B589" t="s">
        <v>1417</v>
      </c>
      <c r="C589" t="s">
        <v>85</v>
      </c>
      <c r="D589" t="s">
        <v>86</v>
      </c>
      <c r="E589" t="s">
        <v>87</v>
      </c>
      <c r="F589" t="s">
        <v>1410</v>
      </c>
      <c r="G589">
        <v>5477</v>
      </c>
      <c r="H589" t="s">
        <v>1411</v>
      </c>
      <c r="I589" t="s">
        <v>89</v>
      </c>
      <c r="K589">
        <v>2528685.6209800001</v>
      </c>
      <c r="L589">
        <v>1163251.13742</v>
      </c>
      <c r="M589">
        <v>555</v>
      </c>
      <c r="N589" t="s">
        <v>1418</v>
      </c>
    </row>
    <row r="590" spans="1:14" x14ac:dyDescent="0.25">
      <c r="A590">
        <v>8530003</v>
      </c>
      <c r="B590" t="s">
        <v>1411</v>
      </c>
      <c r="C590" t="s">
        <v>1419</v>
      </c>
      <c r="D590" t="s">
        <v>1004</v>
      </c>
      <c r="E590" t="s">
        <v>87</v>
      </c>
      <c r="F590" t="s">
        <v>1410</v>
      </c>
      <c r="G590">
        <v>5477</v>
      </c>
      <c r="H590" t="s">
        <v>1411</v>
      </c>
      <c r="I590" t="s">
        <v>1420</v>
      </c>
      <c r="J590" t="s">
        <v>1421</v>
      </c>
      <c r="K590">
        <v>2528854</v>
      </c>
      <c r="L590">
        <v>1162732</v>
      </c>
      <c r="M590">
        <v>565</v>
      </c>
      <c r="N590" t="s">
        <v>1422</v>
      </c>
    </row>
    <row r="591" spans="1:14" x14ac:dyDescent="0.25">
      <c r="A591">
        <v>8570096</v>
      </c>
      <c r="B591" t="s">
        <v>1423</v>
      </c>
      <c r="C591" t="s">
        <v>85</v>
      </c>
      <c r="D591" t="s">
        <v>86</v>
      </c>
      <c r="E591" t="s">
        <v>87</v>
      </c>
      <c r="F591" t="s">
        <v>1410</v>
      </c>
      <c r="G591">
        <v>5477</v>
      </c>
      <c r="H591" t="s">
        <v>1411</v>
      </c>
      <c r="I591" t="s">
        <v>89</v>
      </c>
      <c r="K591">
        <v>2528675</v>
      </c>
      <c r="L591">
        <v>1162500</v>
      </c>
      <c r="M591">
        <v>568</v>
      </c>
      <c r="N591" t="s">
        <v>1424</v>
      </c>
    </row>
    <row r="592" spans="1:14" x14ac:dyDescent="0.25">
      <c r="A592">
        <v>8582737</v>
      </c>
      <c r="B592" t="s">
        <v>1425</v>
      </c>
      <c r="C592" t="s">
        <v>85</v>
      </c>
      <c r="D592" t="s">
        <v>86</v>
      </c>
      <c r="E592" t="s">
        <v>87</v>
      </c>
      <c r="F592" t="s">
        <v>1410</v>
      </c>
      <c r="G592">
        <v>5477</v>
      </c>
      <c r="H592" t="s">
        <v>1411</v>
      </c>
      <c r="I592" t="s">
        <v>89</v>
      </c>
      <c r="K592">
        <v>2528247.4503000001</v>
      </c>
      <c r="L592">
        <v>1162519.7358899999</v>
      </c>
      <c r="M592">
        <v>576.70000000000005</v>
      </c>
      <c r="N592" t="s">
        <v>1426</v>
      </c>
    </row>
    <row r="593" spans="1:14" x14ac:dyDescent="0.25">
      <c r="A593">
        <v>8511635</v>
      </c>
      <c r="B593" t="s">
        <v>1427</v>
      </c>
      <c r="C593" t="s">
        <v>85</v>
      </c>
      <c r="D593" t="s">
        <v>86</v>
      </c>
      <c r="E593" t="s">
        <v>87</v>
      </c>
      <c r="F593" t="s">
        <v>1410</v>
      </c>
      <c r="G593">
        <v>5477</v>
      </c>
      <c r="H593" t="s">
        <v>1411</v>
      </c>
      <c r="I593" t="s">
        <v>89</v>
      </c>
      <c r="K593">
        <v>2528749.6571300002</v>
      </c>
      <c r="L593">
        <v>1163449.0388100001</v>
      </c>
      <c r="M593">
        <v>563.9</v>
      </c>
      <c r="N593" t="s">
        <v>1428</v>
      </c>
    </row>
    <row r="594" spans="1:14" x14ac:dyDescent="0.25">
      <c r="A594">
        <v>8570095</v>
      </c>
      <c r="B594" t="s">
        <v>1429</v>
      </c>
      <c r="C594" t="s">
        <v>85</v>
      </c>
      <c r="D594" t="s">
        <v>86</v>
      </c>
      <c r="E594" t="s">
        <v>87</v>
      </c>
      <c r="F594" t="s">
        <v>1410</v>
      </c>
      <c r="G594">
        <v>5477</v>
      </c>
      <c r="H594" t="s">
        <v>1430</v>
      </c>
      <c r="I594" t="s">
        <v>89</v>
      </c>
      <c r="K594">
        <v>2528844.73759</v>
      </c>
      <c r="L594">
        <v>1161388.8441399999</v>
      </c>
      <c r="M594">
        <v>543</v>
      </c>
      <c r="N594" t="s">
        <v>1431</v>
      </c>
    </row>
    <row r="595" spans="1:14" x14ac:dyDescent="0.25">
      <c r="A595">
        <v>8583378</v>
      </c>
      <c r="B595" t="s">
        <v>1432</v>
      </c>
      <c r="C595" t="s">
        <v>85</v>
      </c>
      <c r="D595" t="s">
        <v>86</v>
      </c>
      <c r="E595" t="s">
        <v>87</v>
      </c>
      <c r="F595" t="s">
        <v>1410</v>
      </c>
      <c r="G595">
        <v>5477</v>
      </c>
      <c r="H595" t="s">
        <v>1411</v>
      </c>
      <c r="I595" t="s">
        <v>89</v>
      </c>
      <c r="K595">
        <v>2528679</v>
      </c>
      <c r="L595">
        <v>1162152</v>
      </c>
      <c r="M595">
        <v>564</v>
      </c>
      <c r="N595" t="s">
        <v>1433</v>
      </c>
    </row>
    <row r="596" spans="1:14" x14ac:dyDescent="0.25">
      <c r="A596">
        <v>8501017</v>
      </c>
      <c r="B596" t="s">
        <v>1434</v>
      </c>
      <c r="C596" t="s">
        <v>132</v>
      </c>
      <c r="E596" t="s">
        <v>87</v>
      </c>
      <c r="F596" t="s">
        <v>1435</v>
      </c>
      <c r="G596">
        <v>5713</v>
      </c>
      <c r="H596" t="s">
        <v>1434</v>
      </c>
      <c r="I596" t="s">
        <v>133</v>
      </c>
      <c r="J596" t="s">
        <v>130</v>
      </c>
      <c r="K596">
        <v>2505630.0033</v>
      </c>
      <c r="L596">
        <v>1134891.2535000001</v>
      </c>
      <c r="M596">
        <v>394.154</v>
      </c>
      <c r="N596" t="s">
        <v>1436</v>
      </c>
    </row>
    <row r="597" spans="1:14" x14ac:dyDescent="0.25">
      <c r="A597">
        <v>8588662</v>
      </c>
      <c r="B597" t="s">
        <v>1437</v>
      </c>
      <c r="C597" t="s">
        <v>206</v>
      </c>
      <c r="D597" t="s">
        <v>86</v>
      </c>
      <c r="E597" t="s">
        <v>87</v>
      </c>
      <c r="F597" t="s">
        <v>1435</v>
      </c>
      <c r="G597">
        <v>5713</v>
      </c>
      <c r="H597" t="s">
        <v>1434</v>
      </c>
      <c r="I597" t="s">
        <v>208</v>
      </c>
      <c r="K597">
        <v>2505254</v>
      </c>
      <c r="L597">
        <v>1134953</v>
      </c>
      <c r="M597">
        <v>422</v>
      </c>
      <c r="N597" t="s">
        <v>1438</v>
      </c>
    </row>
    <row r="598" spans="1:14" x14ac:dyDescent="0.25">
      <c r="A598">
        <v>8593871</v>
      </c>
      <c r="B598" t="s">
        <v>1439</v>
      </c>
      <c r="C598" t="s">
        <v>206</v>
      </c>
      <c r="D598" t="s">
        <v>86</v>
      </c>
      <c r="E598" t="s">
        <v>87</v>
      </c>
      <c r="F598" t="s">
        <v>1435</v>
      </c>
      <c r="G598">
        <v>5713</v>
      </c>
      <c r="H598" t="s">
        <v>1434</v>
      </c>
      <c r="I598" t="s">
        <v>208</v>
      </c>
      <c r="K598">
        <v>2506267.30803</v>
      </c>
      <c r="L598">
        <v>1135462.4523199999</v>
      </c>
      <c r="M598">
        <v>382.8</v>
      </c>
      <c r="N598" t="s">
        <v>1440</v>
      </c>
    </row>
    <row r="599" spans="1:14" x14ac:dyDescent="0.25">
      <c r="A599">
        <v>8595502</v>
      </c>
      <c r="B599" t="s">
        <v>1441</v>
      </c>
      <c r="C599" t="s">
        <v>206</v>
      </c>
      <c r="D599" t="s">
        <v>86</v>
      </c>
      <c r="E599" t="s">
        <v>87</v>
      </c>
      <c r="F599" t="s">
        <v>1435</v>
      </c>
      <c r="G599">
        <v>5713</v>
      </c>
      <c r="H599" t="s">
        <v>1434</v>
      </c>
      <c r="I599" t="s">
        <v>208</v>
      </c>
      <c r="K599">
        <v>2504902</v>
      </c>
      <c r="L599">
        <v>1134671</v>
      </c>
      <c r="M599">
        <v>421</v>
      </c>
      <c r="N599" t="s">
        <v>1442</v>
      </c>
    </row>
    <row r="600" spans="1:14" x14ac:dyDescent="0.25">
      <c r="A600">
        <v>8588661</v>
      </c>
      <c r="B600" t="s">
        <v>1443</v>
      </c>
      <c r="C600" t="s">
        <v>206</v>
      </c>
      <c r="D600" t="s">
        <v>86</v>
      </c>
      <c r="E600" t="s">
        <v>87</v>
      </c>
      <c r="F600" t="s">
        <v>1435</v>
      </c>
      <c r="G600">
        <v>5713</v>
      </c>
      <c r="H600" t="s">
        <v>1434</v>
      </c>
      <c r="I600" t="s">
        <v>208</v>
      </c>
      <c r="K600">
        <v>2505873.3474300001</v>
      </c>
      <c r="L600">
        <v>1134903.8941500001</v>
      </c>
      <c r="M600">
        <v>379.6</v>
      </c>
      <c r="N600" t="s">
        <v>1444</v>
      </c>
    </row>
    <row r="601" spans="1:14" x14ac:dyDescent="0.25">
      <c r="A601">
        <v>8588663</v>
      </c>
      <c r="B601" t="s">
        <v>1445</v>
      </c>
      <c r="C601" t="s">
        <v>206</v>
      </c>
      <c r="D601" t="s">
        <v>86</v>
      </c>
      <c r="E601" t="s">
        <v>87</v>
      </c>
      <c r="F601" t="s">
        <v>1435</v>
      </c>
      <c r="G601">
        <v>5713</v>
      </c>
      <c r="H601" t="s">
        <v>1434</v>
      </c>
      <c r="I601" t="s">
        <v>208</v>
      </c>
      <c r="K601">
        <v>2505090.7047600001</v>
      </c>
      <c r="L601">
        <v>1134887.8213200001</v>
      </c>
      <c r="M601">
        <v>424.1</v>
      </c>
      <c r="N601" t="s">
        <v>1446</v>
      </c>
    </row>
    <row r="602" spans="1:14" x14ac:dyDescent="0.25">
      <c r="A602">
        <v>8579313</v>
      </c>
      <c r="B602" t="s">
        <v>1447</v>
      </c>
      <c r="C602" t="s">
        <v>206</v>
      </c>
      <c r="D602" t="s">
        <v>86</v>
      </c>
      <c r="E602" t="s">
        <v>87</v>
      </c>
      <c r="F602" t="s">
        <v>1448</v>
      </c>
      <c r="G602">
        <v>5714</v>
      </c>
      <c r="H602" t="s">
        <v>1448</v>
      </c>
      <c r="I602" t="s">
        <v>208</v>
      </c>
      <c r="K602">
        <v>2502426.8717399999</v>
      </c>
      <c r="L602">
        <v>1137008.6137900001</v>
      </c>
      <c r="M602">
        <v>477.4</v>
      </c>
      <c r="N602" t="s">
        <v>1449</v>
      </c>
    </row>
    <row r="603" spans="1:14" x14ac:dyDescent="0.25">
      <c r="A603">
        <v>8579314</v>
      </c>
      <c r="B603" t="s">
        <v>1450</v>
      </c>
      <c r="C603" t="s">
        <v>206</v>
      </c>
      <c r="D603" t="s">
        <v>86</v>
      </c>
      <c r="E603" t="s">
        <v>87</v>
      </c>
      <c r="F603" t="s">
        <v>1448</v>
      </c>
      <c r="G603">
        <v>5714</v>
      </c>
      <c r="H603" t="s">
        <v>1448</v>
      </c>
      <c r="I603" t="s">
        <v>208</v>
      </c>
      <c r="K603">
        <v>2502078</v>
      </c>
      <c r="L603">
        <v>1136558</v>
      </c>
      <c r="M603">
        <v>471</v>
      </c>
      <c r="N603" t="s">
        <v>1451</v>
      </c>
    </row>
    <row r="604" spans="1:14" x14ac:dyDescent="0.25">
      <c r="A604">
        <v>8593872</v>
      </c>
      <c r="B604" t="s">
        <v>1452</v>
      </c>
      <c r="C604" t="s">
        <v>206</v>
      </c>
      <c r="D604" t="s">
        <v>86</v>
      </c>
      <c r="E604" t="s">
        <v>87</v>
      </c>
      <c r="F604" t="s">
        <v>1448</v>
      </c>
      <c r="G604">
        <v>5714</v>
      </c>
      <c r="H604" t="s">
        <v>1448</v>
      </c>
      <c r="I604" t="s">
        <v>208</v>
      </c>
      <c r="K604">
        <v>2501529</v>
      </c>
      <c r="L604">
        <v>1137320</v>
      </c>
      <c r="M604">
        <v>491</v>
      </c>
      <c r="N604" t="s">
        <v>1453</v>
      </c>
    </row>
    <row r="605" spans="1:14" x14ac:dyDescent="0.25">
      <c r="A605">
        <v>8595174</v>
      </c>
      <c r="B605" t="s">
        <v>1454</v>
      </c>
      <c r="C605" t="s">
        <v>206</v>
      </c>
      <c r="D605" t="s">
        <v>86</v>
      </c>
      <c r="E605" t="s">
        <v>87</v>
      </c>
      <c r="F605" t="s">
        <v>1448</v>
      </c>
      <c r="G605">
        <v>5714</v>
      </c>
      <c r="H605" t="s">
        <v>1448</v>
      </c>
      <c r="I605" t="s">
        <v>208</v>
      </c>
      <c r="K605">
        <v>2501779</v>
      </c>
      <c r="L605">
        <v>1136758</v>
      </c>
      <c r="M605">
        <v>475</v>
      </c>
      <c r="N605" t="s">
        <v>1455</v>
      </c>
    </row>
    <row r="606" spans="1:14" x14ac:dyDescent="0.25">
      <c r="A606">
        <v>8588935</v>
      </c>
      <c r="B606" t="s">
        <v>1456</v>
      </c>
      <c r="C606" t="s">
        <v>206</v>
      </c>
      <c r="D606" t="s">
        <v>86</v>
      </c>
      <c r="E606" t="s">
        <v>87</v>
      </c>
      <c r="F606" t="s">
        <v>1448</v>
      </c>
      <c r="G606">
        <v>5714</v>
      </c>
      <c r="H606" t="s">
        <v>1448</v>
      </c>
      <c r="I606" t="s">
        <v>208</v>
      </c>
      <c r="K606">
        <v>2502233</v>
      </c>
      <c r="L606">
        <v>1136168</v>
      </c>
      <c r="M606">
        <v>471</v>
      </c>
      <c r="N606" t="s">
        <v>1457</v>
      </c>
    </row>
    <row r="607" spans="1:14" x14ac:dyDescent="0.25">
      <c r="A607">
        <v>8588840</v>
      </c>
      <c r="B607" t="s">
        <v>1458</v>
      </c>
      <c r="C607" t="s">
        <v>242</v>
      </c>
      <c r="D607" t="s">
        <v>86</v>
      </c>
      <c r="E607" t="s">
        <v>87</v>
      </c>
      <c r="F607" t="s">
        <v>44</v>
      </c>
      <c r="G607">
        <v>5583</v>
      </c>
      <c r="H607" t="s">
        <v>44</v>
      </c>
      <c r="I607" t="s">
        <v>243</v>
      </c>
      <c r="K607">
        <v>2534099</v>
      </c>
      <c r="L607">
        <v>1155053</v>
      </c>
      <c r="M607">
        <v>470</v>
      </c>
      <c r="N607" t="s">
        <v>1459</v>
      </c>
    </row>
    <row r="608" spans="1:14" x14ac:dyDescent="0.25">
      <c r="A608">
        <v>8593815</v>
      </c>
      <c r="B608" t="s">
        <v>1460</v>
      </c>
      <c r="C608" t="s">
        <v>242</v>
      </c>
      <c r="D608" t="s">
        <v>86</v>
      </c>
      <c r="E608" t="s">
        <v>87</v>
      </c>
      <c r="F608" t="s">
        <v>44</v>
      </c>
      <c r="G608">
        <v>5583</v>
      </c>
      <c r="H608" t="s">
        <v>44</v>
      </c>
      <c r="I608" t="s">
        <v>243</v>
      </c>
      <c r="K608">
        <v>2533622</v>
      </c>
      <c r="L608">
        <v>1154891</v>
      </c>
      <c r="M608">
        <v>415</v>
      </c>
      <c r="N608" t="s">
        <v>1461</v>
      </c>
    </row>
    <row r="609" spans="1:14" x14ac:dyDescent="0.25">
      <c r="A609">
        <v>8593816</v>
      </c>
      <c r="B609" t="s">
        <v>1462</v>
      </c>
      <c r="C609" t="s">
        <v>242</v>
      </c>
      <c r="D609" t="s">
        <v>86</v>
      </c>
      <c r="E609" t="s">
        <v>87</v>
      </c>
      <c r="F609" t="s">
        <v>44</v>
      </c>
      <c r="G609">
        <v>5583</v>
      </c>
      <c r="H609" t="s">
        <v>44</v>
      </c>
      <c r="I609" t="s">
        <v>243</v>
      </c>
      <c r="K609">
        <v>2533751</v>
      </c>
      <c r="L609">
        <v>1155437</v>
      </c>
      <c r="M609">
        <v>429</v>
      </c>
      <c r="N609" t="s">
        <v>1463</v>
      </c>
    </row>
    <row r="610" spans="1:14" x14ac:dyDescent="0.25">
      <c r="A610">
        <v>8588845</v>
      </c>
      <c r="B610" t="s">
        <v>1464</v>
      </c>
      <c r="C610" t="s">
        <v>242</v>
      </c>
      <c r="D610" t="s">
        <v>86</v>
      </c>
      <c r="E610" t="s">
        <v>87</v>
      </c>
      <c r="F610" t="s">
        <v>44</v>
      </c>
      <c r="G610">
        <v>5583</v>
      </c>
      <c r="H610" t="s">
        <v>44</v>
      </c>
      <c r="I610" t="s">
        <v>243</v>
      </c>
      <c r="K610">
        <v>2533672</v>
      </c>
      <c r="L610">
        <v>1156420</v>
      </c>
      <c r="M610">
        <v>470</v>
      </c>
      <c r="N610" t="s">
        <v>1465</v>
      </c>
    </row>
    <row r="611" spans="1:14" x14ac:dyDescent="0.25">
      <c r="A611">
        <v>8588846</v>
      </c>
      <c r="B611" t="s">
        <v>1466</v>
      </c>
      <c r="C611" t="s">
        <v>242</v>
      </c>
      <c r="D611" t="s">
        <v>86</v>
      </c>
      <c r="E611" t="s">
        <v>87</v>
      </c>
      <c r="F611" t="s">
        <v>44</v>
      </c>
      <c r="G611">
        <v>5583</v>
      </c>
      <c r="H611" t="s">
        <v>44</v>
      </c>
      <c r="I611" t="s">
        <v>243</v>
      </c>
      <c r="K611">
        <v>2533051</v>
      </c>
      <c r="L611">
        <v>1157027</v>
      </c>
      <c r="M611">
        <v>479</v>
      </c>
      <c r="N611" t="s">
        <v>1467</v>
      </c>
    </row>
    <row r="612" spans="1:14" x14ac:dyDescent="0.25">
      <c r="A612">
        <v>8588842</v>
      </c>
      <c r="B612" t="s">
        <v>1468</v>
      </c>
      <c r="C612" t="s">
        <v>242</v>
      </c>
      <c r="D612" t="s">
        <v>86</v>
      </c>
      <c r="E612" t="s">
        <v>87</v>
      </c>
      <c r="F612" t="s">
        <v>44</v>
      </c>
      <c r="G612">
        <v>5583</v>
      </c>
      <c r="H612" t="s">
        <v>44</v>
      </c>
      <c r="I612" t="s">
        <v>243</v>
      </c>
      <c r="K612">
        <v>2534113.2974899998</v>
      </c>
      <c r="L612">
        <v>1155762.98536</v>
      </c>
      <c r="M612">
        <v>454.1</v>
      </c>
      <c r="N612" t="s">
        <v>1469</v>
      </c>
    </row>
    <row r="613" spans="1:14" x14ac:dyDescent="0.25">
      <c r="A613">
        <v>8592214</v>
      </c>
      <c r="B613" t="s">
        <v>1470</v>
      </c>
      <c r="C613" t="s">
        <v>242</v>
      </c>
      <c r="D613" t="s">
        <v>86</v>
      </c>
      <c r="E613" t="s">
        <v>87</v>
      </c>
      <c r="F613" t="s">
        <v>44</v>
      </c>
      <c r="G613">
        <v>5583</v>
      </c>
      <c r="H613" t="s">
        <v>44</v>
      </c>
      <c r="I613" t="s">
        <v>243</v>
      </c>
      <c r="K613">
        <v>2534209</v>
      </c>
      <c r="L613">
        <v>1154779</v>
      </c>
      <c r="M613">
        <v>432</v>
      </c>
      <c r="N613" t="s">
        <v>1471</v>
      </c>
    </row>
    <row r="614" spans="1:14" x14ac:dyDescent="0.25">
      <c r="A614">
        <v>8507632</v>
      </c>
      <c r="B614" t="s">
        <v>1472</v>
      </c>
      <c r="C614" t="s">
        <v>242</v>
      </c>
      <c r="D614" t="s">
        <v>86</v>
      </c>
      <c r="E614" t="s">
        <v>87</v>
      </c>
      <c r="F614" t="s">
        <v>44</v>
      </c>
      <c r="G614">
        <v>5583</v>
      </c>
      <c r="H614" t="s">
        <v>44</v>
      </c>
      <c r="I614" t="s">
        <v>243</v>
      </c>
      <c r="K614">
        <v>2533984</v>
      </c>
      <c r="L614">
        <v>1157108</v>
      </c>
      <c r="M614">
        <v>509.9</v>
      </c>
      <c r="N614" t="s">
        <v>1473</v>
      </c>
    </row>
    <row r="615" spans="1:14" x14ac:dyDescent="0.25">
      <c r="A615">
        <v>8591936</v>
      </c>
      <c r="B615" t="s">
        <v>1474</v>
      </c>
      <c r="C615" t="s">
        <v>242</v>
      </c>
      <c r="D615" t="s">
        <v>86</v>
      </c>
      <c r="E615" t="s">
        <v>87</v>
      </c>
      <c r="F615" t="s">
        <v>44</v>
      </c>
      <c r="G615">
        <v>5583</v>
      </c>
      <c r="H615" t="s">
        <v>44</v>
      </c>
      <c r="I615" t="s">
        <v>243</v>
      </c>
      <c r="K615">
        <v>2533350</v>
      </c>
      <c r="L615">
        <v>1156170.8</v>
      </c>
      <c r="M615">
        <v>448</v>
      </c>
      <c r="N615" t="s">
        <v>1475</v>
      </c>
    </row>
    <row r="616" spans="1:14" x14ac:dyDescent="0.25">
      <c r="A616">
        <v>8510421</v>
      </c>
      <c r="B616" t="s">
        <v>1476</v>
      </c>
      <c r="C616" t="s">
        <v>242</v>
      </c>
      <c r="D616" t="s">
        <v>86</v>
      </c>
      <c r="E616" t="s">
        <v>87</v>
      </c>
      <c r="F616" t="s">
        <v>44</v>
      </c>
      <c r="G616">
        <v>5583</v>
      </c>
      <c r="H616" t="s">
        <v>44</v>
      </c>
      <c r="I616" t="s">
        <v>243</v>
      </c>
      <c r="K616">
        <v>2534110.6179900002</v>
      </c>
      <c r="L616">
        <v>1154745.76893</v>
      </c>
      <c r="M616">
        <v>426</v>
      </c>
      <c r="N616" t="s">
        <v>1477</v>
      </c>
    </row>
    <row r="617" spans="1:14" x14ac:dyDescent="0.25">
      <c r="A617">
        <v>8591935</v>
      </c>
      <c r="B617" t="s">
        <v>1478</v>
      </c>
      <c r="C617" t="s">
        <v>242</v>
      </c>
      <c r="D617" t="s">
        <v>86</v>
      </c>
      <c r="E617" t="s">
        <v>87</v>
      </c>
      <c r="F617" t="s">
        <v>44</v>
      </c>
      <c r="G617">
        <v>5583</v>
      </c>
      <c r="H617" t="s">
        <v>44</v>
      </c>
      <c r="I617" t="s">
        <v>243</v>
      </c>
      <c r="K617">
        <v>2533201</v>
      </c>
      <c r="L617">
        <v>1155270</v>
      </c>
      <c r="M617">
        <v>415</v>
      </c>
      <c r="N617" t="s">
        <v>1479</v>
      </c>
    </row>
    <row r="618" spans="1:14" x14ac:dyDescent="0.25">
      <c r="A618">
        <v>8591939</v>
      </c>
      <c r="B618" t="s">
        <v>1480</v>
      </c>
      <c r="C618" t="s">
        <v>242</v>
      </c>
      <c r="D618" t="s">
        <v>86</v>
      </c>
      <c r="E618" t="s">
        <v>87</v>
      </c>
      <c r="F618" t="s">
        <v>44</v>
      </c>
      <c r="G618">
        <v>5583</v>
      </c>
      <c r="H618" t="s">
        <v>44</v>
      </c>
      <c r="I618" t="s">
        <v>243</v>
      </c>
      <c r="K618">
        <v>2533418.70891</v>
      </c>
      <c r="L618">
        <v>1155088.67401</v>
      </c>
      <c r="M618">
        <v>413.2</v>
      </c>
      <c r="N618" t="s">
        <v>1481</v>
      </c>
    </row>
    <row r="619" spans="1:14" x14ac:dyDescent="0.25">
      <c r="A619">
        <v>8588841</v>
      </c>
      <c r="B619" t="s">
        <v>1482</v>
      </c>
      <c r="C619" t="s">
        <v>242</v>
      </c>
      <c r="D619" t="s">
        <v>86</v>
      </c>
      <c r="E619" t="s">
        <v>87</v>
      </c>
      <c r="F619" t="s">
        <v>44</v>
      </c>
      <c r="G619">
        <v>5583</v>
      </c>
      <c r="H619" t="s">
        <v>44</v>
      </c>
      <c r="I619" t="s">
        <v>243</v>
      </c>
      <c r="K619">
        <v>2534095</v>
      </c>
      <c r="L619">
        <v>1155420</v>
      </c>
      <c r="M619">
        <v>470</v>
      </c>
      <c r="N619" t="s">
        <v>1483</v>
      </c>
    </row>
    <row r="620" spans="1:14" x14ac:dyDescent="0.25">
      <c r="A620">
        <v>8593817</v>
      </c>
      <c r="B620" t="s">
        <v>1484</v>
      </c>
      <c r="C620" t="s">
        <v>242</v>
      </c>
      <c r="D620" t="s">
        <v>86</v>
      </c>
      <c r="E620" t="s">
        <v>87</v>
      </c>
      <c r="F620" t="s">
        <v>44</v>
      </c>
      <c r="G620">
        <v>5583</v>
      </c>
      <c r="H620" t="s">
        <v>44</v>
      </c>
      <c r="I620" t="s">
        <v>243</v>
      </c>
      <c r="K620">
        <v>2533436.5518</v>
      </c>
      <c r="L620">
        <v>1155951.2753999999</v>
      </c>
      <c r="M620">
        <v>438.8</v>
      </c>
      <c r="N620" t="s">
        <v>1485</v>
      </c>
    </row>
    <row r="621" spans="1:14" x14ac:dyDescent="0.25">
      <c r="A621">
        <v>8595148</v>
      </c>
      <c r="B621" t="s">
        <v>1486</v>
      </c>
      <c r="C621" t="s">
        <v>242</v>
      </c>
      <c r="D621" t="s">
        <v>86</v>
      </c>
      <c r="E621" t="s">
        <v>87</v>
      </c>
      <c r="F621" t="s">
        <v>44</v>
      </c>
      <c r="G621">
        <v>5583</v>
      </c>
      <c r="H621" t="s">
        <v>44</v>
      </c>
      <c r="I621" t="s">
        <v>243</v>
      </c>
      <c r="K621">
        <v>2533916</v>
      </c>
      <c r="L621">
        <v>1155821</v>
      </c>
      <c r="M621">
        <v>450</v>
      </c>
      <c r="N621" t="s">
        <v>1487</v>
      </c>
    </row>
    <row r="622" spans="1:14" x14ac:dyDescent="0.25">
      <c r="A622">
        <v>8595516</v>
      </c>
      <c r="B622" t="s">
        <v>1488</v>
      </c>
      <c r="C622" t="s">
        <v>242</v>
      </c>
      <c r="D622" t="s">
        <v>86</v>
      </c>
      <c r="E622" t="s">
        <v>87</v>
      </c>
      <c r="F622" t="s">
        <v>44</v>
      </c>
      <c r="G622">
        <v>5583</v>
      </c>
      <c r="H622" t="s">
        <v>44</v>
      </c>
      <c r="I622" t="s">
        <v>243</v>
      </c>
      <c r="K622">
        <v>2533644</v>
      </c>
      <c r="L622">
        <v>1155602</v>
      </c>
      <c r="M622">
        <v>437</v>
      </c>
      <c r="N622" t="s">
        <v>1489</v>
      </c>
    </row>
    <row r="623" spans="1:14" x14ac:dyDescent="0.25">
      <c r="A623">
        <v>8595986</v>
      </c>
      <c r="B623" t="s">
        <v>1490</v>
      </c>
      <c r="C623" t="s">
        <v>242</v>
      </c>
      <c r="D623" t="s">
        <v>86</v>
      </c>
      <c r="E623" t="s">
        <v>87</v>
      </c>
      <c r="F623" t="s">
        <v>44</v>
      </c>
      <c r="G623">
        <v>5583</v>
      </c>
      <c r="H623" t="s">
        <v>44</v>
      </c>
      <c r="I623" t="s">
        <v>243</v>
      </c>
      <c r="J623" t="s">
        <v>1491</v>
      </c>
      <c r="K623">
        <v>2533574</v>
      </c>
      <c r="L623">
        <v>1155873</v>
      </c>
      <c r="M623">
        <v>445.3</v>
      </c>
      <c r="N623" t="s">
        <v>1492</v>
      </c>
    </row>
    <row r="624" spans="1:14" x14ac:dyDescent="0.25">
      <c r="A624">
        <v>8588843</v>
      </c>
      <c r="B624" t="s">
        <v>1493</v>
      </c>
      <c r="C624" t="s">
        <v>242</v>
      </c>
      <c r="D624" t="s">
        <v>86</v>
      </c>
      <c r="E624" t="s">
        <v>87</v>
      </c>
      <c r="F624" t="s">
        <v>44</v>
      </c>
      <c r="G624">
        <v>5583</v>
      </c>
      <c r="H624" t="s">
        <v>44</v>
      </c>
      <c r="I624" t="s">
        <v>243</v>
      </c>
      <c r="K624">
        <v>2533933.2582899998</v>
      </c>
      <c r="L624">
        <v>1156169.91344</v>
      </c>
      <c r="M624">
        <v>465.8</v>
      </c>
      <c r="N624" t="s">
        <v>1494</v>
      </c>
    </row>
    <row r="625" spans="1:14" x14ac:dyDescent="0.25">
      <c r="A625">
        <v>8512046</v>
      </c>
      <c r="B625" t="s">
        <v>1495</v>
      </c>
      <c r="C625" t="s">
        <v>242</v>
      </c>
      <c r="D625" t="s">
        <v>86</v>
      </c>
      <c r="E625" t="s">
        <v>87</v>
      </c>
      <c r="F625" t="s">
        <v>44</v>
      </c>
      <c r="G625">
        <v>5583</v>
      </c>
      <c r="H625" t="s">
        <v>44</v>
      </c>
      <c r="I625" t="s">
        <v>243</v>
      </c>
      <c r="K625">
        <v>2534542.8335899999</v>
      </c>
      <c r="L625">
        <v>1155588.5852399999</v>
      </c>
      <c r="M625">
        <v>465.3</v>
      </c>
      <c r="N625" t="s">
        <v>1496</v>
      </c>
    </row>
    <row r="626" spans="1:14" x14ac:dyDescent="0.25">
      <c r="A626">
        <v>8583211</v>
      </c>
      <c r="B626" t="s">
        <v>1497</v>
      </c>
      <c r="C626" t="s">
        <v>94</v>
      </c>
      <c r="D626" t="s">
        <v>86</v>
      </c>
      <c r="E626" t="s">
        <v>87</v>
      </c>
      <c r="F626" t="s">
        <v>1498</v>
      </c>
      <c r="G626">
        <v>5910</v>
      </c>
      <c r="H626" t="s">
        <v>1498</v>
      </c>
      <c r="I626" t="s">
        <v>96</v>
      </c>
      <c r="K626">
        <v>2542925</v>
      </c>
      <c r="L626">
        <v>1178553</v>
      </c>
      <c r="M626">
        <v>612</v>
      </c>
      <c r="N626" t="s">
        <v>1499</v>
      </c>
    </row>
    <row r="627" spans="1:14" x14ac:dyDescent="0.25">
      <c r="A627">
        <v>8507670</v>
      </c>
      <c r="B627" t="s">
        <v>1500</v>
      </c>
      <c r="C627" t="s">
        <v>94</v>
      </c>
      <c r="D627" t="s">
        <v>86</v>
      </c>
      <c r="E627" t="s">
        <v>87</v>
      </c>
      <c r="F627" t="s">
        <v>1498</v>
      </c>
      <c r="G627">
        <v>5910</v>
      </c>
      <c r="H627" t="s">
        <v>1498</v>
      </c>
      <c r="I627" t="s">
        <v>96</v>
      </c>
      <c r="K627">
        <v>2543273</v>
      </c>
      <c r="L627">
        <v>1178492</v>
      </c>
      <c r="M627">
        <v>606</v>
      </c>
      <c r="N627" t="s">
        <v>1501</v>
      </c>
    </row>
    <row r="628" spans="1:14" x14ac:dyDescent="0.25">
      <c r="A628">
        <v>8507690</v>
      </c>
      <c r="B628" t="s">
        <v>1502</v>
      </c>
      <c r="C628" t="s">
        <v>94</v>
      </c>
      <c r="D628" t="s">
        <v>86</v>
      </c>
      <c r="E628" t="s">
        <v>87</v>
      </c>
      <c r="F628" t="s">
        <v>1498</v>
      </c>
      <c r="G628">
        <v>5910</v>
      </c>
      <c r="H628" t="s">
        <v>1498</v>
      </c>
      <c r="I628" t="s">
        <v>96</v>
      </c>
      <c r="K628">
        <v>2544013</v>
      </c>
      <c r="L628">
        <v>1177485</v>
      </c>
      <c r="M628">
        <v>489</v>
      </c>
      <c r="N628" t="s">
        <v>1503</v>
      </c>
    </row>
    <row r="629" spans="1:14" x14ac:dyDescent="0.25">
      <c r="A629">
        <v>8570309</v>
      </c>
      <c r="B629" t="s">
        <v>1504</v>
      </c>
      <c r="C629" t="s">
        <v>94</v>
      </c>
      <c r="D629" t="s">
        <v>86</v>
      </c>
      <c r="E629" t="s">
        <v>87</v>
      </c>
      <c r="F629" t="s">
        <v>1498</v>
      </c>
      <c r="G629">
        <v>5910</v>
      </c>
      <c r="H629" t="s">
        <v>1498</v>
      </c>
      <c r="I629" t="s">
        <v>96</v>
      </c>
      <c r="K629">
        <v>2543406</v>
      </c>
      <c r="L629">
        <v>1178783</v>
      </c>
      <c r="M629">
        <v>627</v>
      </c>
      <c r="N629" t="s">
        <v>1505</v>
      </c>
    </row>
    <row r="630" spans="1:14" x14ac:dyDescent="0.25">
      <c r="A630">
        <v>8570224</v>
      </c>
      <c r="B630" t="s">
        <v>1506</v>
      </c>
      <c r="C630" t="s">
        <v>94</v>
      </c>
      <c r="D630" t="s">
        <v>86</v>
      </c>
      <c r="E630" t="s">
        <v>87</v>
      </c>
      <c r="F630" t="s">
        <v>1507</v>
      </c>
      <c r="G630">
        <v>5752</v>
      </c>
      <c r="H630" t="s">
        <v>1507</v>
      </c>
      <c r="I630" t="s">
        <v>96</v>
      </c>
      <c r="K630">
        <v>2526077</v>
      </c>
      <c r="L630">
        <v>1171898</v>
      </c>
      <c r="M630">
        <v>657</v>
      </c>
      <c r="N630" t="s">
        <v>1508</v>
      </c>
    </row>
    <row r="631" spans="1:14" x14ac:dyDescent="0.25">
      <c r="A631">
        <v>8570233</v>
      </c>
      <c r="B631" t="s">
        <v>1509</v>
      </c>
      <c r="C631" t="s">
        <v>94</v>
      </c>
      <c r="D631" t="s">
        <v>86</v>
      </c>
      <c r="E631" t="s">
        <v>87</v>
      </c>
      <c r="F631" t="s">
        <v>1507</v>
      </c>
      <c r="G631">
        <v>5752</v>
      </c>
      <c r="H631" t="s">
        <v>1507</v>
      </c>
      <c r="I631" t="s">
        <v>96</v>
      </c>
      <c r="K631">
        <v>2526719</v>
      </c>
      <c r="L631">
        <v>1172180</v>
      </c>
      <c r="M631">
        <v>643</v>
      </c>
      <c r="N631" t="s">
        <v>1510</v>
      </c>
    </row>
    <row r="632" spans="1:14" x14ac:dyDescent="0.25">
      <c r="A632">
        <v>8584677</v>
      </c>
      <c r="B632" t="s">
        <v>1511</v>
      </c>
      <c r="C632" t="s">
        <v>94</v>
      </c>
      <c r="D632" t="s">
        <v>86</v>
      </c>
      <c r="E632" t="s">
        <v>87</v>
      </c>
      <c r="F632" t="s">
        <v>1507</v>
      </c>
      <c r="G632">
        <v>5752</v>
      </c>
      <c r="H632" t="s">
        <v>1507</v>
      </c>
      <c r="I632" t="s">
        <v>96</v>
      </c>
      <c r="K632">
        <v>2526406</v>
      </c>
      <c r="L632">
        <v>1171908</v>
      </c>
      <c r="M632">
        <v>652</v>
      </c>
      <c r="N632" t="s">
        <v>1512</v>
      </c>
    </row>
    <row r="633" spans="1:14" x14ac:dyDescent="0.25">
      <c r="A633">
        <v>8570137</v>
      </c>
      <c r="B633" t="s">
        <v>1513</v>
      </c>
      <c r="C633" t="s">
        <v>85</v>
      </c>
      <c r="D633" t="s">
        <v>86</v>
      </c>
      <c r="E633" t="s">
        <v>87</v>
      </c>
      <c r="F633" t="s">
        <v>1514</v>
      </c>
      <c r="G633">
        <v>5479</v>
      </c>
      <c r="H633" t="s">
        <v>1514</v>
      </c>
      <c r="I633" t="s">
        <v>89</v>
      </c>
      <c r="K633">
        <v>2523385</v>
      </c>
      <c r="L633">
        <v>1164176</v>
      </c>
      <c r="M633">
        <v>631</v>
      </c>
      <c r="N633" t="s">
        <v>1515</v>
      </c>
    </row>
    <row r="634" spans="1:14" x14ac:dyDescent="0.25">
      <c r="A634">
        <v>8570321</v>
      </c>
      <c r="B634" t="s">
        <v>1516</v>
      </c>
      <c r="C634" t="s">
        <v>94</v>
      </c>
      <c r="D634" t="s">
        <v>86</v>
      </c>
      <c r="E634" t="s">
        <v>87</v>
      </c>
      <c r="F634" t="s">
        <v>1517</v>
      </c>
      <c r="G634">
        <v>5911</v>
      </c>
      <c r="H634" t="s">
        <v>1517</v>
      </c>
      <c r="I634" t="s">
        <v>96</v>
      </c>
      <c r="K634">
        <v>2542704</v>
      </c>
      <c r="L634">
        <v>1180147</v>
      </c>
      <c r="M634">
        <v>579</v>
      </c>
      <c r="N634" t="s">
        <v>1518</v>
      </c>
    </row>
    <row r="635" spans="1:14" x14ac:dyDescent="0.25">
      <c r="A635">
        <v>8507683</v>
      </c>
      <c r="B635" t="s">
        <v>1519</v>
      </c>
      <c r="C635" t="s">
        <v>94</v>
      </c>
      <c r="D635" t="s">
        <v>86</v>
      </c>
      <c r="E635" t="s">
        <v>87</v>
      </c>
      <c r="F635" t="s">
        <v>1517</v>
      </c>
      <c r="G635">
        <v>5911</v>
      </c>
      <c r="H635" t="s">
        <v>1517</v>
      </c>
      <c r="I635" t="s">
        <v>96</v>
      </c>
      <c r="K635">
        <v>2544061</v>
      </c>
      <c r="L635">
        <v>1181317</v>
      </c>
      <c r="M635">
        <v>522</v>
      </c>
      <c r="N635" t="s">
        <v>1520</v>
      </c>
    </row>
    <row r="636" spans="1:14" x14ac:dyDescent="0.25">
      <c r="A636">
        <v>8579746</v>
      </c>
      <c r="B636" t="s">
        <v>1521</v>
      </c>
      <c r="C636" t="s">
        <v>94</v>
      </c>
      <c r="D636" t="s">
        <v>86</v>
      </c>
      <c r="E636" t="s">
        <v>87</v>
      </c>
      <c r="F636" t="s">
        <v>1522</v>
      </c>
      <c r="G636">
        <v>5456</v>
      </c>
      <c r="H636" t="s">
        <v>1522</v>
      </c>
      <c r="I636" t="s">
        <v>96</v>
      </c>
      <c r="K636">
        <v>2568764</v>
      </c>
      <c r="L636">
        <v>1201081</v>
      </c>
      <c r="M636">
        <v>433</v>
      </c>
      <c r="N636" t="s">
        <v>1523</v>
      </c>
    </row>
    <row r="637" spans="1:14" x14ac:dyDescent="0.25">
      <c r="A637">
        <v>8583709</v>
      </c>
      <c r="B637" t="s">
        <v>1524</v>
      </c>
      <c r="C637" t="s">
        <v>94</v>
      </c>
      <c r="D637" t="s">
        <v>86</v>
      </c>
      <c r="E637" t="s">
        <v>87</v>
      </c>
      <c r="F637" t="s">
        <v>1522</v>
      </c>
      <c r="G637">
        <v>5456</v>
      </c>
      <c r="H637" t="s">
        <v>1522</v>
      </c>
      <c r="I637" t="s">
        <v>96</v>
      </c>
      <c r="K637">
        <v>2568912</v>
      </c>
      <c r="L637">
        <v>1199460</v>
      </c>
      <c r="M637">
        <v>494</v>
      </c>
      <c r="N637" t="s">
        <v>1525</v>
      </c>
    </row>
    <row r="638" spans="1:14" x14ac:dyDescent="0.25">
      <c r="A638">
        <v>8570530</v>
      </c>
      <c r="B638" t="s">
        <v>1526</v>
      </c>
      <c r="C638" t="s">
        <v>94</v>
      </c>
      <c r="D638" t="s">
        <v>86</v>
      </c>
      <c r="E638" t="s">
        <v>87</v>
      </c>
      <c r="F638" t="s">
        <v>1522</v>
      </c>
      <c r="G638">
        <v>5456</v>
      </c>
      <c r="H638" t="s">
        <v>1522</v>
      </c>
      <c r="I638" t="s">
        <v>96</v>
      </c>
      <c r="K638">
        <v>2568078</v>
      </c>
      <c r="L638">
        <v>1200554</v>
      </c>
      <c r="M638">
        <v>434</v>
      </c>
      <c r="N638" t="s">
        <v>1527</v>
      </c>
    </row>
    <row r="639" spans="1:14" x14ac:dyDescent="0.25">
      <c r="A639">
        <v>8570528</v>
      </c>
      <c r="B639" t="s">
        <v>1528</v>
      </c>
      <c r="C639" t="s">
        <v>94</v>
      </c>
      <c r="D639" t="s">
        <v>86</v>
      </c>
      <c r="E639" t="s">
        <v>87</v>
      </c>
      <c r="F639" t="s">
        <v>1522</v>
      </c>
      <c r="G639">
        <v>5456</v>
      </c>
      <c r="H639" t="s">
        <v>1522</v>
      </c>
      <c r="I639" t="s">
        <v>96</v>
      </c>
      <c r="K639">
        <v>2568839</v>
      </c>
      <c r="L639">
        <v>1199724</v>
      </c>
      <c r="M639">
        <v>475</v>
      </c>
      <c r="N639" t="s">
        <v>1529</v>
      </c>
    </row>
    <row r="640" spans="1:14" x14ac:dyDescent="0.25">
      <c r="A640">
        <v>8583708</v>
      </c>
      <c r="B640" t="s">
        <v>1530</v>
      </c>
      <c r="C640" t="s">
        <v>94</v>
      </c>
      <c r="D640" t="s">
        <v>86</v>
      </c>
      <c r="E640" t="s">
        <v>87</v>
      </c>
      <c r="F640" t="s">
        <v>1522</v>
      </c>
      <c r="G640">
        <v>5456</v>
      </c>
      <c r="H640" t="s">
        <v>1522</v>
      </c>
      <c r="I640" t="s">
        <v>96</v>
      </c>
      <c r="J640" t="s">
        <v>1531</v>
      </c>
      <c r="K640">
        <v>2568332</v>
      </c>
      <c r="L640">
        <v>1200265</v>
      </c>
      <c r="M640">
        <v>436</v>
      </c>
      <c r="N640" t="s">
        <v>1532</v>
      </c>
    </row>
    <row r="641" spans="1:14" x14ac:dyDescent="0.25">
      <c r="A641">
        <v>8581750</v>
      </c>
      <c r="B641" t="s">
        <v>1533</v>
      </c>
      <c r="C641" t="s">
        <v>94</v>
      </c>
      <c r="D641" t="s">
        <v>86</v>
      </c>
      <c r="E641" t="s">
        <v>87</v>
      </c>
      <c r="F641" t="s">
        <v>1522</v>
      </c>
      <c r="G641">
        <v>5456</v>
      </c>
      <c r="H641" t="s">
        <v>1522</v>
      </c>
      <c r="I641" t="s">
        <v>96</v>
      </c>
      <c r="K641">
        <v>2570752</v>
      </c>
      <c r="L641">
        <v>1202646</v>
      </c>
      <c r="M641">
        <v>433</v>
      </c>
      <c r="N641" t="s">
        <v>1534</v>
      </c>
    </row>
    <row r="642" spans="1:14" x14ac:dyDescent="0.25">
      <c r="A642">
        <v>8570529</v>
      </c>
      <c r="B642" t="s">
        <v>1535</v>
      </c>
      <c r="C642" t="s">
        <v>94</v>
      </c>
      <c r="D642" t="s">
        <v>86</v>
      </c>
      <c r="E642" t="s">
        <v>87</v>
      </c>
      <c r="F642" t="s">
        <v>1522</v>
      </c>
      <c r="G642">
        <v>5456</v>
      </c>
      <c r="H642" t="s">
        <v>1522</v>
      </c>
      <c r="I642" t="s">
        <v>96</v>
      </c>
      <c r="K642">
        <v>2568427</v>
      </c>
      <c r="L642">
        <v>1200243</v>
      </c>
      <c r="M642">
        <v>439</v>
      </c>
      <c r="N642" t="s">
        <v>1536</v>
      </c>
    </row>
    <row r="643" spans="1:14" x14ac:dyDescent="0.25">
      <c r="A643">
        <v>8504561</v>
      </c>
      <c r="B643" t="s">
        <v>1522</v>
      </c>
      <c r="C643" t="s">
        <v>301</v>
      </c>
      <c r="D643" t="s">
        <v>302</v>
      </c>
      <c r="E643" t="s">
        <v>87</v>
      </c>
      <c r="F643" t="s">
        <v>1522</v>
      </c>
      <c r="G643">
        <v>5456</v>
      </c>
      <c r="H643" t="s">
        <v>1522</v>
      </c>
      <c r="I643" t="s">
        <v>303</v>
      </c>
      <c r="K643">
        <v>2567678.23483</v>
      </c>
      <c r="L643">
        <v>1200997.81125</v>
      </c>
      <c r="M643">
        <v>430</v>
      </c>
      <c r="N643" t="s">
        <v>1537</v>
      </c>
    </row>
    <row r="644" spans="1:14" x14ac:dyDescent="0.25">
      <c r="A644">
        <v>8504571</v>
      </c>
      <c r="B644" t="s">
        <v>1538</v>
      </c>
      <c r="C644" t="s">
        <v>301</v>
      </c>
      <c r="D644" t="s">
        <v>302</v>
      </c>
      <c r="E644" t="s">
        <v>87</v>
      </c>
      <c r="F644" t="s">
        <v>1522</v>
      </c>
      <c r="G644">
        <v>5456</v>
      </c>
      <c r="H644" t="s">
        <v>1522</v>
      </c>
      <c r="I644" t="s">
        <v>303</v>
      </c>
      <c r="K644">
        <v>2570735.3468599999</v>
      </c>
      <c r="L644">
        <v>1202813.9019299999</v>
      </c>
      <c r="M644">
        <v>431</v>
      </c>
      <c r="N644" t="s">
        <v>1539</v>
      </c>
    </row>
    <row r="645" spans="1:14" x14ac:dyDescent="0.25">
      <c r="A645">
        <v>8570527</v>
      </c>
      <c r="B645" t="s">
        <v>1540</v>
      </c>
      <c r="C645" t="s">
        <v>94</v>
      </c>
      <c r="D645" t="s">
        <v>86</v>
      </c>
      <c r="E645" t="s">
        <v>87</v>
      </c>
      <c r="F645" t="s">
        <v>1522</v>
      </c>
      <c r="G645">
        <v>5456</v>
      </c>
      <c r="H645" t="s">
        <v>1522</v>
      </c>
      <c r="I645" t="s">
        <v>96</v>
      </c>
      <c r="K645">
        <v>2566433</v>
      </c>
      <c r="L645">
        <v>1198928</v>
      </c>
      <c r="M645">
        <v>464</v>
      </c>
      <c r="N645" t="s">
        <v>1541</v>
      </c>
    </row>
    <row r="646" spans="1:14" x14ac:dyDescent="0.25">
      <c r="A646">
        <v>8583829</v>
      </c>
      <c r="B646" t="s">
        <v>1542</v>
      </c>
      <c r="C646" t="s">
        <v>94</v>
      </c>
      <c r="D646" t="s">
        <v>86</v>
      </c>
      <c r="E646" t="s">
        <v>87</v>
      </c>
      <c r="F646" t="s">
        <v>1522</v>
      </c>
      <c r="G646">
        <v>5456</v>
      </c>
      <c r="H646" t="s">
        <v>1522</v>
      </c>
      <c r="I646" t="s">
        <v>96</v>
      </c>
      <c r="K646">
        <v>2568165</v>
      </c>
      <c r="L646">
        <v>1200123</v>
      </c>
      <c r="M646">
        <v>442</v>
      </c>
      <c r="N646" t="s">
        <v>1543</v>
      </c>
    </row>
    <row r="647" spans="1:14" x14ac:dyDescent="0.25">
      <c r="A647">
        <v>8591940</v>
      </c>
      <c r="B647" t="s">
        <v>1544</v>
      </c>
      <c r="C647" t="s">
        <v>242</v>
      </c>
      <c r="D647" t="s">
        <v>86</v>
      </c>
      <c r="E647" t="s">
        <v>87</v>
      </c>
      <c r="F647" t="s">
        <v>1545</v>
      </c>
      <c r="G647">
        <v>5516</v>
      </c>
      <c r="H647" t="s">
        <v>1546</v>
      </c>
      <c r="I647" t="s">
        <v>243</v>
      </c>
      <c r="K647">
        <v>2538452</v>
      </c>
      <c r="L647">
        <v>1159076</v>
      </c>
      <c r="M647">
        <v>693</v>
      </c>
      <c r="N647" t="s">
        <v>1547</v>
      </c>
    </row>
    <row r="648" spans="1:14" x14ac:dyDescent="0.25">
      <c r="A648">
        <v>8507540</v>
      </c>
      <c r="B648" t="s">
        <v>1548</v>
      </c>
      <c r="C648" t="s">
        <v>242</v>
      </c>
      <c r="D648" t="s">
        <v>86</v>
      </c>
      <c r="E648" t="s">
        <v>87</v>
      </c>
      <c r="F648" t="s">
        <v>1545</v>
      </c>
      <c r="G648">
        <v>5516</v>
      </c>
      <c r="H648" t="s">
        <v>1546</v>
      </c>
      <c r="I648" t="s">
        <v>243</v>
      </c>
      <c r="K648">
        <v>2538814</v>
      </c>
      <c r="L648">
        <v>1159933</v>
      </c>
      <c r="M648">
        <v>701.8</v>
      </c>
      <c r="N648" t="s">
        <v>1549</v>
      </c>
    </row>
    <row r="649" spans="1:14" x14ac:dyDescent="0.25">
      <c r="A649">
        <v>8504178</v>
      </c>
      <c r="B649" t="s">
        <v>1550</v>
      </c>
      <c r="C649" t="s">
        <v>242</v>
      </c>
      <c r="D649" t="s">
        <v>86</v>
      </c>
      <c r="E649" t="s">
        <v>87</v>
      </c>
      <c r="F649" t="s">
        <v>1545</v>
      </c>
      <c r="G649">
        <v>5516</v>
      </c>
      <c r="H649" t="s">
        <v>1546</v>
      </c>
      <c r="I649" t="s">
        <v>243</v>
      </c>
      <c r="K649">
        <v>2538705</v>
      </c>
      <c r="L649">
        <v>1159474</v>
      </c>
      <c r="M649">
        <v>700</v>
      </c>
      <c r="N649" t="s">
        <v>1551</v>
      </c>
    </row>
    <row r="650" spans="1:14" x14ac:dyDescent="0.25">
      <c r="A650">
        <v>8573634</v>
      </c>
      <c r="B650" t="s">
        <v>1552</v>
      </c>
      <c r="C650" t="s">
        <v>242</v>
      </c>
      <c r="D650" t="s">
        <v>86</v>
      </c>
      <c r="E650" t="s">
        <v>87</v>
      </c>
      <c r="F650" t="s">
        <v>1545</v>
      </c>
      <c r="G650">
        <v>5516</v>
      </c>
      <c r="H650" t="s">
        <v>1546</v>
      </c>
      <c r="I650" t="s">
        <v>243</v>
      </c>
      <c r="K650">
        <v>2538831</v>
      </c>
      <c r="L650">
        <v>1159667</v>
      </c>
      <c r="M650">
        <v>699</v>
      </c>
      <c r="N650" t="s">
        <v>1553</v>
      </c>
    </row>
    <row r="651" spans="1:14" x14ac:dyDescent="0.25">
      <c r="A651">
        <v>8570164</v>
      </c>
      <c r="B651" t="s">
        <v>1554</v>
      </c>
      <c r="C651" t="s">
        <v>242</v>
      </c>
      <c r="D651" t="s">
        <v>86</v>
      </c>
      <c r="E651" t="s">
        <v>87</v>
      </c>
      <c r="F651" t="s">
        <v>1545</v>
      </c>
      <c r="G651">
        <v>5516</v>
      </c>
      <c r="H651" t="s">
        <v>1546</v>
      </c>
      <c r="I651" t="s">
        <v>243</v>
      </c>
      <c r="K651">
        <v>2538992</v>
      </c>
      <c r="L651">
        <v>1160050</v>
      </c>
      <c r="M651">
        <v>700</v>
      </c>
      <c r="N651" t="s">
        <v>1555</v>
      </c>
    </row>
    <row r="652" spans="1:14" x14ac:dyDescent="0.25">
      <c r="A652">
        <v>8591865</v>
      </c>
      <c r="B652" t="s">
        <v>1556</v>
      </c>
      <c r="C652" t="s">
        <v>94</v>
      </c>
      <c r="D652" t="s">
        <v>86</v>
      </c>
      <c r="E652" t="s">
        <v>87</v>
      </c>
      <c r="F652" t="s">
        <v>1557</v>
      </c>
      <c r="G652">
        <v>5669</v>
      </c>
      <c r="H652" t="s">
        <v>1557</v>
      </c>
      <c r="I652" t="s">
        <v>96</v>
      </c>
      <c r="K652">
        <v>2554903</v>
      </c>
      <c r="L652">
        <v>1172208</v>
      </c>
      <c r="M652">
        <v>520</v>
      </c>
      <c r="N652" t="s">
        <v>1558</v>
      </c>
    </row>
    <row r="653" spans="1:14" x14ac:dyDescent="0.25">
      <c r="A653">
        <v>8515319</v>
      </c>
      <c r="B653" t="s">
        <v>1559</v>
      </c>
      <c r="C653" t="s">
        <v>132</v>
      </c>
      <c r="E653" t="s">
        <v>87</v>
      </c>
      <c r="F653" t="s">
        <v>1560</v>
      </c>
      <c r="G653">
        <v>5480</v>
      </c>
      <c r="H653" t="s">
        <v>1560</v>
      </c>
      <c r="I653" t="s">
        <v>133</v>
      </c>
      <c r="J653" t="s">
        <v>130</v>
      </c>
      <c r="K653">
        <v>2531684.4569999999</v>
      </c>
      <c r="L653">
        <v>1165528.8729999999</v>
      </c>
      <c r="M653">
        <v>445.04500000000002</v>
      </c>
      <c r="N653" t="s">
        <v>1561</v>
      </c>
    </row>
    <row r="654" spans="1:14" x14ac:dyDescent="0.25">
      <c r="A654">
        <v>8501298</v>
      </c>
      <c r="B654" t="s">
        <v>1562</v>
      </c>
      <c r="C654" t="s">
        <v>94</v>
      </c>
      <c r="D654" t="s">
        <v>86</v>
      </c>
      <c r="E654" t="s">
        <v>87</v>
      </c>
      <c r="F654" t="s">
        <v>1560</v>
      </c>
      <c r="G654">
        <v>5480</v>
      </c>
      <c r="H654" t="s">
        <v>1560</v>
      </c>
      <c r="I654" t="s">
        <v>96</v>
      </c>
      <c r="K654">
        <v>2531705</v>
      </c>
      <c r="L654">
        <v>1163651</v>
      </c>
      <c r="M654">
        <v>499</v>
      </c>
      <c r="N654" t="s">
        <v>1563</v>
      </c>
    </row>
    <row r="655" spans="1:14" x14ac:dyDescent="0.25">
      <c r="A655">
        <v>8501146</v>
      </c>
      <c r="B655" t="s">
        <v>1560</v>
      </c>
      <c r="C655" t="s">
        <v>132</v>
      </c>
      <c r="E655" t="s">
        <v>87</v>
      </c>
      <c r="F655" t="s">
        <v>1560</v>
      </c>
      <c r="G655">
        <v>5480</v>
      </c>
      <c r="H655" t="s">
        <v>1560</v>
      </c>
      <c r="I655" t="s">
        <v>133</v>
      </c>
      <c r="J655" t="s">
        <v>625</v>
      </c>
      <c r="K655">
        <v>2531375.3969999999</v>
      </c>
      <c r="L655">
        <v>1164952.4339999999</v>
      </c>
      <c r="M655">
        <v>444.3</v>
      </c>
      <c r="N655" t="s">
        <v>1564</v>
      </c>
    </row>
    <row r="656" spans="1:14" x14ac:dyDescent="0.25">
      <c r="A656">
        <v>8583673</v>
      </c>
      <c r="B656" t="s">
        <v>1565</v>
      </c>
      <c r="C656" t="s">
        <v>94</v>
      </c>
      <c r="D656" t="s">
        <v>86</v>
      </c>
      <c r="E656" t="s">
        <v>87</v>
      </c>
      <c r="F656" t="s">
        <v>1560</v>
      </c>
      <c r="G656">
        <v>5480</v>
      </c>
      <c r="H656" t="s">
        <v>1560</v>
      </c>
      <c r="I656" t="s">
        <v>96</v>
      </c>
      <c r="K656">
        <v>2532301</v>
      </c>
      <c r="L656">
        <v>1163851</v>
      </c>
      <c r="M656">
        <v>527</v>
      </c>
      <c r="N656" t="s">
        <v>1566</v>
      </c>
    </row>
    <row r="657" spans="1:14" x14ac:dyDescent="0.25">
      <c r="A657">
        <v>8507672</v>
      </c>
      <c r="B657" t="s">
        <v>1567</v>
      </c>
      <c r="C657" t="s">
        <v>94</v>
      </c>
      <c r="D657" t="s">
        <v>86</v>
      </c>
      <c r="E657" t="s">
        <v>87</v>
      </c>
      <c r="F657" t="s">
        <v>1568</v>
      </c>
      <c r="G657">
        <v>5912</v>
      </c>
      <c r="H657" t="s">
        <v>1568</v>
      </c>
      <c r="I657" t="s">
        <v>96</v>
      </c>
      <c r="K657">
        <v>2547777</v>
      </c>
      <c r="L657">
        <v>1177350</v>
      </c>
      <c r="M657">
        <v>732</v>
      </c>
      <c r="N657" t="s">
        <v>1569</v>
      </c>
    </row>
    <row r="658" spans="1:14" x14ac:dyDescent="0.25">
      <c r="A658">
        <v>8507434</v>
      </c>
      <c r="B658" t="s">
        <v>1570</v>
      </c>
      <c r="C658" t="s">
        <v>94</v>
      </c>
      <c r="D658" t="s">
        <v>86</v>
      </c>
      <c r="E658" t="s">
        <v>87</v>
      </c>
      <c r="F658" t="s">
        <v>1568</v>
      </c>
      <c r="G658">
        <v>5912</v>
      </c>
      <c r="H658" t="s">
        <v>1568</v>
      </c>
      <c r="I658" t="s">
        <v>96</v>
      </c>
      <c r="K658">
        <v>2547804</v>
      </c>
      <c r="L658">
        <v>1178256</v>
      </c>
      <c r="M658">
        <v>695</v>
      </c>
      <c r="N658" t="s">
        <v>1571</v>
      </c>
    </row>
    <row r="659" spans="1:14" x14ac:dyDescent="0.25">
      <c r="A659">
        <v>8570313</v>
      </c>
      <c r="B659" t="s">
        <v>1572</v>
      </c>
      <c r="C659" t="s">
        <v>94</v>
      </c>
      <c r="D659" t="s">
        <v>86</v>
      </c>
      <c r="E659" t="s">
        <v>87</v>
      </c>
      <c r="F659" t="s">
        <v>1568</v>
      </c>
      <c r="G659">
        <v>5912</v>
      </c>
      <c r="H659" t="s">
        <v>1568</v>
      </c>
      <c r="I659" t="s">
        <v>96</v>
      </c>
      <c r="K659">
        <v>2548003</v>
      </c>
      <c r="L659">
        <v>1177839</v>
      </c>
      <c r="M659">
        <v>712</v>
      </c>
      <c r="N659" t="s">
        <v>1573</v>
      </c>
    </row>
    <row r="660" spans="1:14" x14ac:dyDescent="0.25">
      <c r="A660">
        <v>8511636</v>
      </c>
      <c r="B660" t="s">
        <v>1574</v>
      </c>
      <c r="C660" t="s">
        <v>85</v>
      </c>
      <c r="D660" t="s">
        <v>86</v>
      </c>
      <c r="E660" t="s">
        <v>87</v>
      </c>
      <c r="F660" t="s">
        <v>1575</v>
      </c>
      <c r="G660">
        <v>5631</v>
      </c>
      <c r="H660" t="s">
        <v>1575</v>
      </c>
      <c r="I660" t="s">
        <v>89</v>
      </c>
      <c r="K660">
        <v>2524449.0300199999</v>
      </c>
      <c r="L660">
        <v>1152361.37892</v>
      </c>
      <c r="M660">
        <v>506</v>
      </c>
      <c r="N660" t="s">
        <v>1576</v>
      </c>
    </row>
    <row r="661" spans="1:14" x14ac:dyDescent="0.25">
      <c r="A661">
        <v>8570085</v>
      </c>
      <c r="B661" t="s">
        <v>1577</v>
      </c>
      <c r="C661" t="s">
        <v>85</v>
      </c>
      <c r="D661" t="s">
        <v>86</v>
      </c>
      <c r="E661" t="s">
        <v>87</v>
      </c>
      <c r="F661" t="s">
        <v>1575</v>
      </c>
      <c r="G661">
        <v>5631</v>
      </c>
      <c r="H661" t="s">
        <v>1575</v>
      </c>
      <c r="I661" t="s">
        <v>89</v>
      </c>
      <c r="K661">
        <v>2524200</v>
      </c>
      <c r="L661">
        <v>1152100</v>
      </c>
      <c r="M661">
        <v>504</v>
      </c>
      <c r="N661" t="s">
        <v>1578</v>
      </c>
    </row>
    <row r="662" spans="1:14" x14ac:dyDescent="0.25">
      <c r="A662">
        <v>8501045</v>
      </c>
      <c r="B662" t="s">
        <v>1579</v>
      </c>
      <c r="C662" t="s">
        <v>132</v>
      </c>
      <c r="D662" t="s">
        <v>112</v>
      </c>
      <c r="E662" t="s">
        <v>87</v>
      </c>
      <c r="F662" t="s">
        <v>46</v>
      </c>
      <c r="G662">
        <v>5632</v>
      </c>
      <c r="H662" t="s">
        <v>46</v>
      </c>
      <c r="I662" t="s">
        <v>133</v>
      </c>
      <c r="K662">
        <v>2531092.8128999998</v>
      </c>
      <c r="L662">
        <v>1153487.6943999999</v>
      </c>
      <c r="M662">
        <v>398.28100000000001</v>
      </c>
      <c r="N662" t="s">
        <v>1580</v>
      </c>
    </row>
    <row r="663" spans="1:14" x14ac:dyDescent="0.25">
      <c r="A663">
        <v>8515322</v>
      </c>
      <c r="B663" t="s">
        <v>1581</v>
      </c>
      <c r="C663" t="s">
        <v>132</v>
      </c>
      <c r="E663" t="s">
        <v>87</v>
      </c>
      <c r="F663" t="s">
        <v>46</v>
      </c>
      <c r="G663">
        <v>5632</v>
      </c>
      <c r="H663" t="s">
        <v>46</v>
      </c>
      <c r="I663" t="s">
        <v>133</v>
      </c>
      <c r="J663" t="s">
        <v>130</v>
      </c>
      <c r="K663">
        <v>2531193.5299999998</v>
      </c>
      <c r="L663">
        <v>1153533.6429999999</v>
      </c>
      <c r="M663">
        <v>397.28</v>
      </c>
      <c r="N663" t="s">
        <v>1582</v>
      </c>
    </row>
    <row r="664" spans="1:14" x14ac:dyDescent="0.25">
      <c r="A664">
        <v>8588872</v>
      </c>
      <c r="B664" t="s">
        <v>1583</v>
      </c>
      <c r="C664" t="s">
        <v>85</v>
      </c>
      <c r="D664" t="s">
        <v>86</v>
      </c>
      <c r="E664" t="s">
        <v>87</v>
      </c>
      <c r="F664" t="s">
        <v>46</v>
      </c>
      <c r="G664">
        <v>5632</v>
      </c>
      <c r="H664" t="s">
        <v>46</v>
      </c>
      <c r="I664" t="s">
        <v>89</v>
      </c>
      <c r="K664">
        <v>2531178.6283100001</v>
      </c>
      <c r="L664">
        <v>1153155.7949900001</v>
      </c>
      <c r="M664">
        <v>395.3</v>
      </c>
      <c r="N664" t="s">
        <v>1584</v>
      </c>
    </row>
    <row r="665" spans="1:14" x14ac:dyDescent="0.25">
      <c r="A665">
        <v>8592239</v>
      </c>
      <c r="B665" t="s">
        <v>1585</v>
      </c>
      <c r="C665" t="s">
        <v>85</v>
      </c>
      <c r="D665" t="s">
        <v>86</v>
      </c>
      <c r="E665" t="s">
        <v>87</v>
      </c>
      <c r="F665" t="s">
        <v>46</v>
      </c>
      <c r="G665">
        <v>5632</v>
      </c>
      <c r="H665" t="s">
        <v>46</v>
      </c>
      <c r="I665" t="s">
        <v>89</v>
      </c>
      <c r="K665">
        <v>2531209.3184699998</v>
      </c>
      <c r="L665">
        <v>1152347.6802999999</v>
      </c>
      <c r="M665">
        <v>389.6</v>
      </c>
      <c r="N665" t="s">
        <v>1586</v>
      </c>
    </row>
    <row r="666" spans="1:14" x14ac:dyDescent="0.25">
      <c r="A666">
        <v>8592241</v>
      </c>
      <c r="B666" t="s">
        <v>1587</v>
      </c>
      <c r="C666" t="s">
        <v>85</v>
      </c>
      <c r="D666" t="s">
        <v>86</v>
      </c>
      <c r="E666" t="s">
        <v>87</v>
      </c>
      <c r="F666" t="s">
        <v>46</v>
      </c>
      <c r="G666">
        <v>5632</v>
      </c>
      <c r="H666" t="s">
        <v>46</v>
      </c>
      <c r="I666" t="s">
        <v>89</v>
      </c>
      <c r="K666">
        <v>2531176.0444800002</v>
      </c>
      <c r="L666">
        <v>1151922.30311</v>
      </c>
      <c r="M666">
        <v>389.4</v>
      </c>
      <c r="N666" t="s">
        <v>1588</v>
      </c>
    </row>
    <row r="667" spans="1:14" x14ac:dyDescent="0.25">
      <c r="A667">
        <v>8592242</v>
      </c>
      <c r="B667" t="s">
        <v>1589</v>
      </c>
      <c r="C667" t="s">
        <v>85</v>
      </c>
      <c r="D667" t="s">
        <v>86</v>
      </c>
      <c r="E667" t="s">
        <v>87</v>
      </c>
      <c r="F667" t="s">
        <v>46</v>
      </c>
      <c r="G667">
        <v>5632</v>
      </c>
      <c r="H667" t="s">
        <v>46</v>
      </c>
      <c r="I667" t="s">
        <v>89</v>
      </c>
      <c r="K667">
        <v>2531088.4838200002</v>
      </c>
      <c r="L667">
        <v>1152835.7761200001</v>
      </c>
      <c r="M667">
        <v>401.2</v>
      </c>
      <c r="N667" t="s">
        <v>1590</v>
      </c>
    </row>
    <row r="668" spans="1:14" x14ac:dyDescent="0.25">
      <c r="A668">
        <v>8501141</v>
      </c>
      <c r="B668" t="s">
        <v>1591</v>
      </c>
      <c r="C668" t="s">
        <v>132</v>
      </c>
      <c r="E668" t="s">
        <v>87</v>
      </c>
      <c r="F668" t="s">
        <v>46</v>
      </c>
      <c r="G668">
        <v>5632</v>
      </c>
      <c r="H668" t="s">
        <v>46</v>
      </c>
      <c r="I668" t="s">
        <v>133</v>
      </c>
      <c r="J668" t="s">
        <v>130</v>
      </c>
      <c r="K668">
        <v>2531359.4339999999</v>
      </c>
      <c r="L668">
        <v>1153559.1129999999</v>
      </c>
      <c r="M668">
        <v>395.75</v>
      </c>
      <c r="N668" t="s">
        <v>1592</v>
      </c>
    </row>
    <row r="669" spans="1:14" x14ac:dyDescent="0.25">
      <c r="A669">
        <v>8501143</v>
      </c>
      <c r="B669" t="s">
        <v>1593</v>
      </c>
      <c r="C669" t="s">
        <v>132</v>
      </c>
      <c r="E669" t="s">
        <v>87</v>
      </c>
      <c r="F669" t="s">
        <v>46</v>
      </c>
      <c r="G669">
        <v>5632</v>
      </c>
      <c r="H669" t="s">
        <v>46</v>
      </c>
      <c r="I669" t="s">
        <v>133</v>
      </c>
      <c r="J669" t="s">
        <v>130</v>
      </c>
      <c r="K669">
        <v>2530587.9550000001</v>
      </c>
      <c r="L669">
        <v>1153032.737</v>
      </c>
      <c r="M669">
        <v>392.3</v>
      </c>
      <c r="N669" t="s">
        <v>1594</v>
      </c>
    </row>
    <row r="670" spans="1:14" x14ac:dyDescent="0.25">
      <c r="A670">
        <v>8515323</v>
      </c>
      <c r="B670" t="s">
        <v>1595</v>
      </c>
      <c r="C670" t="s">
        <v>132</v>
      </c>
      <c r="E670" t="s">
        <v>87</v>
      </c>
      <c r="F670" t="s">
        <v>46</v>
      </c>
      <c r="G670">
        <v>5632</v>
      </c>
      <c r="H670" t="s">
        <v>46</v>
      </c>
      <c r="I670" t="s">
        <v>133</v>
      </c>
      <c r="J670" t="s">
        <v>130</v>
      </c>
      <c r="K670">
        <v>2531389.2080000001</v>
      </c>
      <c r="L670">
        <v>1153666.781</v>
      </c>
      <c r="M670">
        <v>395.15</v>
      </c>
      <c r="N670" t="s">
        <v>1596</v>
      </c>
    </row>
    <row r="671" spans="1:14" x14ac:dyDescent="0.25">
      <c r="A671">
        <v>8515339</v>
      </c>
      <c r="B671" t="s">
        <v>1597</v>
      </c>
      <c r="C671" t="s">
        <v>132</v>
      </c>
      <c r="E671" t="s">
        <v>87</v>
      </c>
      <c r="F671" t="s">
        <v>46</v>
      </c>
      <c r="G671">
        <v>5632</v>
      </c>
      <c r="H671" t="s">
        <v>46</v>
      </c>
      <c r="I671" t="s">
        <v>133</v>
      </c>
      <c r="J671" t="s">
        <v>130</v>
      </c>
      <c r="K671">
        <v>2530999.878</v>
      </c>
      <c r="L671">
        <v>1153370.922</v>
      </c>
      <c r="M671">
        <v>397.25</v>
      </c>
      <c r="N671" t="s">
        <v>1598</v>
      </c>
    </row>
    <row r="672" spans="1:14" x14ac:dyDescent="0.25">
      <c r="A672">
        <v>8592240</v>
      </c>
      <c r="B672" t="s">
        <v>1599</v>
      </c>
      <c r="C672" t="s">
        <v>85</v>
      </c>
      <c r="D672" t="s">
        <v>86</v>
      </c>
      <c r="E672" t="s">
        <v>87</v>
      </c>
      <c r="F672" t="s">
        <v>46</v>
      </c>
      <c r="G672">
        <v>5632</v>
      </c>
      <c r="H672" t="s">
        <v>46</v>
      </c>
      <c r="I672" t="s">
        <v>89</v>
      </c>
      <c r="K672">
        <v>2530776</v>
      </c>
      <c r="L672">
        <v>1151938</v>
      </c>
      <c r="M672">
        <v>396</v>
      </c>
      <c r="N672" t="s">
        <v>1600</v>
      </c>
    </row>
    <row r="673" spans="1:14" x14ac:dyDescent="0.25">
      <c r="A673">
        <v>8501049</v>
      </c>
      <c r="B673" t="s">
        <v>1601</v>
      </c>
      <c r="C673" t="s">
        <v>132</v>
      </c>
      <c r="E673" t="s">
        <v>87</v>
      </c>
      <c r="F673" t="s">
        <v>46</v>
      </c>
      <c r="G673">
        <v>5632</v>
      </c>
      <c r="H673" t="s">
        <v>46</v>
      </c>
      <c r="I673" t="s">
        <v>133</v>
      </c>
      <c r="J673" t="s">
        <v>625</v>
      </c>
      <c r="K673">
        <v>2530997.5699999998</v>
      </c>
      <c r="L673">
        <v>1153269.5049999999</v>
      </c>
      <c r="M673">
        <v>395.5</v>
      </c>
      <c r="N673" t="s">
        <v>1602</v>
      </c>
    </row>
    <row r="674" spans="1:14" x14ac:dyDescent="0.25">
      <c r="A674">
        <v>8595611</v>
      </c>
      <c r="B674" t="s">
        <v>1603</v>
      </c>
      <c r="C674" t="s">
        <v>85</v>
      </c>
      <c r="D674" t="s">
        <v>86</v>
      </c>
      <c r="E674" t="s">
        <v>87</v>
      </c>
      <c r="F674" t="s">
        <v>1604</v>
      </c>
      <c r="G674">
        <v>5481</v>
      </c>
      <c r="H674" t="s">
        <v>1604</v>
      </c>
      <c r="I674" t="s">
        <v>89</v>
      </c>
      <c r="K674">
        <v>2527669</v>
      </c>
      <c r="L674">
        <v>1165321</v>
      </c>
      <c r="M674">
        <v>576</v>
      </c>
      <c r="N674" t="s">
        <v>1605</v>
      </c>
    </row>
    <row r="675" spans="1:14" x14ac:dyDescent="0.25">
      <c r="A675">
        <v>8570473</v>
      </c>
      <c r="B675" t="s">
        <v>1606</v>
      </c>
      <c r="C675" t="s">
        <v>94</v>
      </c>
      <c r="D675" t="s">
        <v>86</v>
      </c>
      <c r="E675" t="s">
        <v>87</v>
      </c>
      <c r="F675" t="s">
        <v>1607</v>
      </c>
      <c r="G675">
        <v>5671</v>
      </c>
      <c r="H675" t="s">
        <v>1608</v>
      </c>
      <c r="I675" t="s">
        <v>96</v>
      </c>
      <c r="K675">
        <v>2557526</v>
      </c>
      <c r="L675">
        <v>1173147</v>
      </c>
      <c r="M675">
        <v>713</v>
      </c>
      <c r="N675" t="s">
        <v>1609</v>
      </c>
    </row>
    <row r="676" spans="1:14" x14ac:dyDescent="0.25">
      <c r="A676">
        <v>8596057</v>
      </c>
      <c r="B676" t="s">
        <v>1610</v>
      </c>
      <c r="C676" t="s">
        <v>94</v>
      </c>
      <c r="D676" t="s">
        <v>86</v>
      </c>
      <c r="E676" t="s">
        <v>87</v>
      </c>
      <c r="F676" t="s">
        <v>1607</v>
      </c>
      <c r="G676">
        <v>5671</v>
      </c>
      <c r="H676" t="s">
        <v>1608</v>
      </c>
      <c r="I676" t="s">
        <v>96</v>
      </c>
      <c r="K676">
        <v>2556769.3901800001</v>
      </c>
      <c r="L676">
        <v>1173712.8841599999</v>
      </c>
      <c r="M676">
        <v>642.20000000000005</v>
      </c>
      <c r="N676" t="s">
        <v>1611</v>
      </c>
    </row>
    <row r="677" spans="1:14" x14ac:dyDescent="0.25">
      <c r="A677">
        <v>8507688</v>
      </c>
      <c r="B677" t="s">
        <v>1612</v>
      </c>
      <c r="C677" t="s">
        <v>94</v>
      </c>
      <c r="D677" t="s">
        <v>86</v>
      </c>
      <c r="E677" t="s">
        <v>87</v>
      </c>
      <c r="F677" t="s">
        <v>1613</v>
      </c>
      <c r="G677">
        <v>5913</v>
      </c>
      <c r="H677" t="s">
        <v>1614</v>
      </c>
      <c r="I677" t="s">
        <v>96</v>
      </c>
      <c r="K677">
        <v>2545644</v>
      </c>
      <c r="L677">
        <v>1177782</v>
      </c>
      <c r="M677">
        <v>626</v>
      </c>
      <c r="N677" t="s">
        <v>1615</v>
      </c>
    </row>
    <row r="678" spans="1:14" x14ac:dyDescent="0.25">
      <c r="A678">
        <v>8507674</v>
      </c>
      <c r="B678" t="s">
        <v>1616</v>
      </c>
      <c r="C678" t="s">
        <v>94</v>
      </c>
      <c r="D678" t="s">
        <v>86</v>
      </c>
      <c r="E678" t="s">
        <v>87</v>
      </c>
      <c r="F678" t="s">
        <v>1613</v>
      </c>
      <c r="G678">
        <v>5913</v>
      </c>
      <c r="H678" t="s">
        <v>1613</v>
      </c>
      <c r="I678" t="s">
        <v>96</v>
      </c>
      <c r="K678">
        <v>2544745</v>
      </c>
      <c r="L678">
        <v>1177302</v>
      </c>
      <c r="M678">
        <v>538</v>
      </c>
      <c r="N678" t="s">
        <v>1617</v>
      </c>
    </row>
    <row r="679" spans="1:14" x14ac:dyDescent="0.25">
      <c r="A679">
        <v>8507682</v>
      </c>
      <c r="B679" t="s">
        <v>1618</v>
      </c>
      <c r="C679" t="s">
        <v>94</v>
      </c>
      <c r="D679" t="s">
        <v>86</v>
      </c>
      <c r="E679" t="s">
        <v>87</v>
      </c>
      <c r="F679" t="s">
        <v>1613</v>
      </c>
      <c r="G679">
        <v>5913</v>
      </c>
      <c r="H679" t="s">
        <v>1619</v>
      </c>
      <c r="I679" t="s">
        <v>96</v>
      </c>
      <c r="K679">
        <v>2543602</v>
      </c>
      <c r="L679">
        <v>1176877</v>
      </c>
      <c r="M679">
        <v>539</v>
      </c>
      <c r="N679" t="s">
        <v>1620</v>
      </c>
    </row>
    <row r="680" spans="1:14" x14ac:dyDescent="0.25">
      <c r="A680">
        <v>8507954</v>
      </c>
      <c r="B680" t="s">
        <v>1621</v>
      </c>
      <c r="C680" t="s">
        <v>94</v>
      </c>
      <c r="D680" t="s">
        <v>86</v>
      </c>
      <c r="E680" t="s">
        <v>87</v>
      </c>
      <c r="F680" t="s">
        <v>1613</v>
      </c>
      <c r="G680">
        <v>5913</v>
      </c>
      <c r="H680" t="s">
        <v>1622</v>
      </c>
      <c r="I680" t="s">
        <v>96</v>
      </c>
      <c r="K680">
        <v>2546623</v>
      </c>
      <c r="L680">
        <v>1176130</v>
      </c>
      <c r="M680">
        <v>693</v>
      </c>
      <c r="N680" t="s">
        <v>1623</v>
      </c>
    </row>
    <row r="681" spans="1:14" x14ac:dyDescent="0.25">
      <c r="A681">
        <v>8557044</v>
      </c>
      <c r="B681" t="s">
        <v>1624</v>
      </c>
      <c r="C681" t="s">
        <v>94</v>
      </c>
      <c r="D681" t="s">
        <v>86</v>
      </c>
      <c r="E681" t="s">
        <v>87</v>
      </c>
      <c r="F681" t="s">
        <v>1613</v>
      </c>
      <c r="G681">
        <v>5913</v>
      </c>
      <c r="H681" t="s">
        <v>1613</v>
      </c>
      <c r="I681" t="s">
        <v>96</v>
      </c>
      <c r="K681">
        <v>2544839</v>
      </c>
      <c r="L681">
        <v>1177381</v>
      </c>
      <c r="M681">
        <v>543</v>
      </c>
      <c r="N681" t="s">
        <v>1625</v>
      </c>
    </row>
    <row r="682" spans="1:14" x14ac:dyDescent="0.25">
      <c r="A682">
        <v>8579735</v>
      </c>
      <c r="B682" t="s">
        <v>1626</v>
      </c>
      <c r="C682" t="s">
        <v>94</v>
      </c>
      <c r="D682" t="s">
        <v>86</v>
      </c>
      <c r="E682" t="s">
        <v>87</v>
      </c>
      <c r="F682" t="s">
        <v>1613</v>
      </c>
      <c r="G682">
        <v>5913</v>
      </c>
      <c r="H682" t="s">
        <v>1619</v>
      </c>
      <c r="I682" t="s">
        <v>96</v>
      </c>
      <c r="K682">
        <v>2543349</v>
      </c>
      <c r="L682">
        <v>1176267</v>
      </c>
      <c r="M682">
        <v>555</v>
      </c>
      <c r="N682" t="s">
        <v>1627</v>
      </c>
    </row>
    <row r="683" spans="1:14" x14ac:dyDescent="0.25">
      <c r="A683">
        <v>8570316</v>
      </c>
      <c r="B683" t="s">
        <v>1628</v>
      </c>
      <c r="C683" t="s">
        <v>94</v>
      </c>
      <c r="D683" t="s">
        <v>86</v>
      </c>
      <c r="E683" t="s">
        <v>87</v>
      </c>
      <c r="F683" t="s">
        <v>1613</v>
      </c>
      <c r="G683">
        <v>5913</v>
      </c>
      <c r="H683" t="s">
        <v>1622</v>
      </c>
      <c r="I683" t="s">
        <v>96</v>
      </c>
      <c r="K683">
        <v>2546477</v>
      </c>
      <c r="L683">
        <v>1176335</v>
      </c>
      <c r="M683">
        <v>681</v>
      </c>
      <c r="N683" t="s">
        <v>1629</v>
      </c>
    </row>
    <row r="684" spans="1:14" x14ac:dyDescent="0.25">
      <c r="A684">
        <v>8570310</v>
      </c>
      <c r="B684" t="s">
        <v>1630</v>
      </c>
      <c r="C684" t="s">
        <v>94</v>
      </c>
      <c r="D684" t="s">
        <v>86</v>
      </c>
      <c r="E684" t="s">
        <v>87</v>
      </c>
      <c r="F684" t="s">
        <v>1613</v>
      </c>
      <c r="G684">
        <v>5913</v>
      </c>
      <c r="H684" t="s">
        <v>1613</v>
      </c>
      <c r="I684" t="s">
        <v>96</v>
      </c>
      <c r="K684">
        <v>2544624</v>
      </c>
      <c r="L684">
        <v>1177119</v>
      </c>
      <c r="M684">
        <v>535</v>
      </c>
      <c r="N684" t="s">
        <v>1631</v>
      </c>
    </row>
    <row r="685" spans="1:14" x14ac:dyDescent="0.25">
      <c r="A685">
        <v>8570311</v>
      </c>
      <c r="B685" t="s">
        <v>1632</v>
      </c>
      <c r="C685" t="s">
        <v>94</v>
      </c>
      <c r="D685" t="s">
        <v>86</v>
      </c>
      <c r="E685" t="s">
        <v>87</v>
      </c>
      <c r="F685" t="s">
        <v>1613</v>
      </c>
      <c r="G685">
        <v>5913</v>
      </c>
      <c r="H685" t="s">
        <v>1613</v>
      </c>
      <c r="I685" t="s">
        <v>96</v>
      </c>
      <c r="K685">
        <v>2545171</v>
      </c>
      <c r="L685">
        <v>1178019</v>
      </c>
      <c r="M685">
        <v>553</v>
      </c>
      <c r="N685" t="s">
        <v>1633</v>
      </c>
    </row>
    <row r="686" spans="1:14" x14ac:dyDescent="0.25">
      <c r="A686">
        <v>8570009</v>
      </c>
      <c r="B686" t="s">
        <v>1634</v>
      </c>
      <c r="C686" t="s">
        <v>94</v>
      </c>
      <c r="D686" t="s">
        <v>86</v>
      </c>
      <c r="E686" t="s">
        <v>87</v>
      </c>
      <c r="F686" t="s">
        <v>1635</v>
      </c>
      <c r="G686">
        <v>5715</v>
      </c>
      <c r="H686" t="s">
        <v>1635</v>
      </c>
      <c r="I686" t="s">
        <v>96</v>
      </c>
      <c r="K686">
        <v>2506865</v>
      </c>
      <c r="L686">
        <v>1140957</v>
      </c>
      <c r="M686">
        <v>454</v>
      </c>
      <c r="N686" t="s">
        <v>1636</v>
      </c>
    </row>
    <row r="687" spans="1:14" x14ac:dyDescent="0.25">
      <c r="A687">
        <v>8501733</v>
      </c>
      <c r="B687" t="s">
        <v>1637</v>
      </c>
      <c r="C687" t="s">
        <v>94</v>
      </c>
      <c r="D687" t="s">
        <v>86</v>
      </c>
      <c r="E687" t="s">
        <v>87</v>
      </c>
      <c r="F687" t="s">
        <v>1635</v>
      </c>
      <c r="G687">
        <v>5715</v>
      </c>
      <c r="H687" t="s">
        <v>1635</v>
      </c>
      <c r="I687" t="s">
        <v>96</v>
      </c>
      <c r="K687">
        <v>2507429</v>
      </c>
      <c r="L687">
        <v>1139482</v>
      </c>
      <c r="M687">
        <v>432</v>
      </c>
      <c r="N687" t="s">
        <v>1638</v>
      </c>
    </row>
    <row r="688" spans="1:14" x14ac:dyDescent="0.25">
      <c r="A688">
        <v>8501289</v>
      </c>
      <c r="B688" t="s">
        <v>1639</v>
      </c>
      <c r="C688" t="s">
        <v>94</v>
      </c>
      <c r="D688" t="s">
        <v>86</v>
      </c>
      <c r="E688" t="s">
        <v>87</v>
      </c>
      <c r="F688" t="s">
        <v>1635</v>
      </c>
      <c r="G688">
        <v>5715</v>
      </c>
      <c r="H688" t="s">
        <v>1635</v>
      </c>
      <c r="I688" t="s">
        <v>96</v>
      </c>
      <c r="K688">
        <v>2507361</v>
      </c>
      <c r="L688">
        <v>1140701</v>
      </c>
      <c r="M688">
        <v>455</v>
      </c>
      <c r="N688" t="s">
        <v>1640</v>
      </c>
    </row>
    <row r="689" spans="1:14" x14ac:dyDescent="0.25">
      <c r="A689">
        <v>8581672</v>
      </c>
      <c r="B689" t="s">
        <v>1641</v>
      </c>
      <c r="C689" t="s">
        <v>94</v>
      </c>
      <c r="D689" t="s">
        <v>86</v>
      </c>
      <c r="E689" t="s">
        <v>87</v>
      </c>
      <c r="F689" t="s">
        <v>1642</v>
      </c>
      <c r="G689">
        <v>5855</v>
      </c>
      <c r="H689" t="s">
        <v>1642</v>
      </c>
      <c r="I689" t="s">
        <v>96</v>
      </c>
      <c r="K689">
        <v>2512539</v>
      </c>
      <c r="L689">
        <v>1143394</v>
      </c>
      <c r="M689">
        <v>429</v>
      </c>
      <c r="N689" t="s">
        <v>1643</v>
      </c>
    </row>
    <row r="690" spans="1:14" x14ac:dyDescent="0.25">
      <c r="A690">
        <v>8500730</v>
      </c>
      <c r="B690" t="s">
        <v>1644</v>
      </c>
      <c r="C690" t="s">
        <v>94</v>
      </c>
      <c r="D690" t="s">
        <v>86</v>
      </c>
      <c r="E690" t="s">
        <v>87</v>
      </c>
      <c r="F690" t="s">
        <v>1642</v>
      </c>
      <c r="G690">
        <v>5855</v>
      </c>
      <c r="H690" t="s">
        <v>1642</v>
      </c>
      <c r="I690" t="s">
        <v>96</v>
      </c>
      <c r="K690">
        <v>2512262</v>
      </c>
      <c r="L690">
        <v>1142994</v>
      </c>
      <c r="M690">
        <v>423</v>
      </c>
      <c r="N690" t="s">
        <v>1645</v>
      </c>
    </row>
    <row r="691" spans="1:14" x14ac:dyDescent="0.25">
      <c r="A691">
        <v>8570061</v>
      </c>
      <c r="B691" t="s">
        <v>1646</v>
      </c>
      <c r="C691" t="s">
        <v>94</v>
      </c>
      <c r="D691" t="s">
        <v>86</v>
      </c>
      <c r="E691" t="s">
        <v>87</v>
      </c>
      <c r="F691" t="s">
        <v>1642</v>
      </c>
      <c r="G691">
        <v>5855</v>
      </c>
      <c r="H691" t="s">
        <v>1642</v>
      </c>
      <c r="I691" t="s">
        <v>96</v>
      </c>
      <c r="K691">
        <v>2512478</v>
      </c>
      <c r="L691">
        <v>1142778</v>
      </c>
      <c r="M691">
        <v>401</v>
      </c>
      <c r="N691" t="s">
        <v>1647</v>
      </c>
    </row>
    <row r="692" spans="1:14" x14ac:dyDescent="0.25">
      <c r="A692">
        <v>8583460</v>
      </c>
      <c r="B692" t="s">
        <v>1648</v>
      </c>
      <c r="C692" t="s">
        <v>94</v>
      </c>
      <c r="D692" t="s">
        <v>86</v>
      </c>
      <c r="E692" t="s">
        <v>87</v>
      </c>
      <c r="F692" t="s">
        <v>1642</v>
      </c>
      <c r="G692">
        <v>5855</v>
      </c>
      <c r="H692" t="s">
        <v>1642</v>
      </c>
      <c r="I692" t="s">
        <v>96</v>
      </c>
      <c r="K692">
        <v>2511737</v>
      </c>
      <c r="L692">
        <v>1143595</v>
      </c>
      <c r="M692">
        <v>410</v>
      </c>
      <c r="N692" t="s">
        <v>1649</v>
      </c>
    </row>
    <row r="693" spans="1:14" x14ac:dyDescent="0.25">
      <c r="A693">
        <v>8501173</v>
      </c>
      <c r="B693" t="s">
        <v>1650</v>
      </c>
      <c r="C693" t="s">
        <v>238</v>
      </c>
      <c r="D693" t="s">
        <v>112</v>
      </c>
      <c r="E693" t="s">
        <v>87</v>
      </c>
      <c r="F693" t="s">
        <v>1650</v>
      </c>
      <c r="G693">
        <v>5518</v>
      </c>
      <c r="H693" t="s">
        <v>1650</v>
      </c>
      <c r="I693" t="s">
        <v>239</v>
      </c>
      <c r="K693">
        <v>2538279.9819999998</v>
      </c>
      <c r="L693">
        <v>1165681.027</v>
      </c>
      <c r="M693">
        <v>616.79999999999995</v>
      </c>
      <c r="N693" t="s">
        <v>1651</v>
      </c>
    </row>
    <row r="694" spans="1:14" x14ac:dyDescent="0.25">
      <c r="A694">
        <v>8501174</v>
      </c>
      <c r="B694" t="s">
        <v>1652</v>
      </c>
      <c r="C694" t="s">
        <v>238</v>
      </c>
      <c r="D694" t="s">
        <v>112</v>
      </c>
      <c r="E694" t="s">
        <v>87</v>
      </c>
      <c r="F694" t="s">
        <v>1650</v>
      </c>
      <c r="G694">
        <v>5518</v>
      </c>
      <c r="H694" t="s">
        <v>1650</v>
      </c>
      <c r="I694" t="s">
        <v>239</v>
      </c>
      <c r="K694">
        <v>2538769.5260000001</v>
      </c>
      <c r="L694">
        <v>1165780.51</v>
      </c>
      <c r="M694">
        <v>623.70000000000005</v>
      </c>
      <c r="N694" t="s">
        <v>1653</v>
      </c>
    </row>
    <row r="695" spans="1:14" x14ac:dyDescent="0.25">
      <c r="A695">
        <v>8570204</v>
      </c>
      <c r="B695" t="s">
        <v>1654</v>
      </c>
      <c r="C695" t="s">
        <v>94</v>
      </c>
      <c r="D695" t="s">
        <v>86</v>
      </c>
      <c r="E695" t="s">
        <v>87</v>
      </c>
      <c r="F695" t="s">
        <v>1650</v>
      </c>
      <c r="G695">
        <v>5518</v>
      </c>
      <c r="H695" t="s">
        <v>1650</v>
      </c>
      <c r="I695" t="s">
        <v>96</v>
      </c>
      <c r="K695">
        <v>2539014</v>
      </c>
      <c r="L695">
        <v>1165808</v>
      </c>
      <c r="M695">
        <v>617</v>
      </c>
      <c r="N695" t="s">
        <v>1655</v>
      </c>
    </row>
    <row r="696" spans="1:14" x14ac:dyDescent="0.25">
      <c r="A696">
        <v>8570180</v>
      </c>
      <c r="B696" t="s">
        <v>1656</v>
      </c>
      <c r="C696" t="s">
        <v>94</v>
      </c>
      <c r="D696" t="s">
        <v>86</v>
      </c>
      <c r="E696" t="s">
        <v>87</v>
      </c>
      <c r="F696" t="s">
        <v>1650</v>
      </c>
      <c r="G696">
        <v>5518</v>
      </c>
      <c r="H696" t="s">
        <v>1650</v>
      </c>
      <c r="I696" t="s">
        <v>96</v>
      </c>
      <c r="K696">
        <v>2538207</v>
      </c>
      <c r="L696">
        <v>1165837</v>
      </c>
      <c r="M696">
        <v>614</v>
      </c>
      <c r="N696" t="s">
        <v>1657</v>
      </c>
    </row>
    <row r="697" spans="1:14" x14ac:dyDescent="0.25">
      <c r="A697">
        <v>8570202</v>
      </c>
      <c r="B697" t="s">
        <v>1658</v>
      </c>
      <c r="C697" t="s">
        <v>94</v>
      </c>
      <c r="D697" t="s">
        <v>86</v>
      </c>
      <c r="E697" t="s">
        <v>87</v>
      </c>
      <c r="F697" t="s">
        <v>1650</v>
      </c>
      <c r="G697">
        <v>5518</v>
      </c>
      <c r="H697" t="s">
        <v>1650</v>
      </c>
      <c r="I697" t="s">
        <v>96</v>
      </c>
      <c r="K697">
        <v>2537935</v>
      </c>
      <c r="L697">
        <v>1166081</v>
      </c>
      <c r="M697">
        <v>612</v>
      </c>
      <c r="N697" t="s">
        <v>1659</v>
      </c>
    </row>
    <row r="698" spans="1:14" x14ac:dyDescent="0.25">
      <c r="A698">
        <v>8570203</v>
      </c>
      <c r="B698" t="s">
        <v>1660</v>
      </c>
      <c r="C698" t="s">
        <v>94</v>
      </c>
      <c r="D698" t="s">
        <v>86</v>
      </c>
      <c r="E698" t="s">
        <v>87</v>
      </c>
      <c r="F698" t="s">
        <v>1650</v>
      </c>
      <c r="G698">
        <v>5518</v>
      </c>
      <c r="H698" t="s">
        <v>1650</v>
      </c>
      <c r="I698" t="s">
        <v>96</v>
      </c>
      <c r="K698">
        <v>2538684</v>
      </c>
      <c r="L698">
        <v>1165776</v>
      </c>
      <c r="M698">
        <v>622</v>
      </c>
      <c r="N698" t="s">
        <v>1661</v>
      </c>
    </row>
    <row r="699" spans="1:14" x14ac:dyDescent="0.25">
      <c r="A699">
        <v>8570301</v>
      </c>
      <c r="B699" t="s">
        <v>1662</v>
      </c>
      <c r="C699" t="s">
        <v>94</v>
      </c>
      <c r="D699" t="s">
        <v>86</v>
      </c>
      <c r="E699" t="s">
        <v>87</v>
      </c>
      <c r="F699" t="s">
        <v>1650</v>
      </c>
      <c r="G699">
        <v>5518</v>
      </c>
      <c r="H699" t="s">
        <v>1650</v>
      </c>
      <c r="I699" t="s">
        <v>96</v>
      </c>
      <c r="K699">
        <v>2538672</v>
      </c>
      <c r="L699">
        <v>1166389</v>
      </c>
      <c r="M699">
        <v>625</v>
      </c>
      <c r="N699" t="s">
        <v>1663</v>
      </c>
    </row>
    <row r="700" spans="1:14" x14ac:dyDescent="0.25">
      <c r="A700">
        <v>8570205</v>
      </c>
      <c r="B700" t="s">
        <v>1664</v>
      </c>
      <c r="C700" t="s">
        <v>94</v>
      </c>
      <c r="D700" t="s">
        <v>86</v>
      </c>
      <c r="E700" t="s">
        <v>87</v>
      </c>
      <c r="F700" t="s">
        <v>1650</v>
      </c>
      <c r="G700">
        <v>5518</v>
      </c>
      <c r="H700" t="s">
        <v>1650</v>
      </c>
      <c r="I700" t="s">
        <v>96</v>
      </c>
      <c r="K700">
        <v>2539323</v>
      </c>
      <c r="L700">
        <v>1165607</v>
      </c>
      <c r="M700">
        <v>636</v>
      </c>
      <c r="N700" t="s">
        <v>1665</v>
      </c>
    </row>
    <row r="701" spans="1:14" x14ac:dyDescent="0.25">
      <c r="A701">
        <v>8580485</v>
      </c>
      <c r="B701" t="s">
        <v>1666</v>
      </c>
      <c r="C701" t="s">
        <v>94</v>
      </c>
      <c r="D701" t="s">
        <v>86</v>
      </c>
      <c r="E701" t="s">
        <v>87</v>
      </c>
      <c r="F701" t="s">
        <v>1650</v>
      </c>
      <c r="G701">
        <v>5518</v>
      </c>
      <c r="H701" t="s">
        <v>1650</v>
      </c>
      <c r="I701" t="s">
        <v>96</v>
      </c>
      <c r="K701">
        <v>2539496</v>
      </c>
      <c r="L701">
        <v>1165602</v>
      </c>
      <c r="M701">
        <v>646</v>
      </c>
      <c r="N701" t="s">
        <v>1667</v>
      </c>
    </row>
    <row r="702" spans="1:14" x14ac:dyDescent="0.25">
      <c r="A702">
        <v>8501178</v>
      </c>
      <c r="B702" t="s">
        <v>1668</v>
      </c>
      <c r="C702" t="s">
        <v>238</v>
      </c>
      <c r="D702" t="s">
        <v>112</v>
      </c>
      <c r="E702" t="s">
        <v>87</v>
      </c>
      <c r="F702" t="s">
        <v>1650</v>
      </c>
      <c r="G702">
        <v>5518</v>
      </c>
      <c r="H702" t="s">
        <v>1650</v>
      </c>
      <c r="I702" t="s">
        <v>239</v>
      </c>
      <c r="K702">
        <v>2539021.5350199998</v>
      </c>
      <c r="L702">
        <v>1166089.52407</v>
      </c>
      <c r="M702">
        <v>625</v>
      </c>
      <c r="N702" t="s">
        <v>1669</v>
      </c>
    </row>
    <row r="703" spans="1:14" x14ac:dyDescent="0.25">
      <c r="A703">
        <v>8570181</v>
      </c>
      <c r="B703" t="s">
        <v>1670</v>
      </c>
      <c r="C703" t="s">
        <v>94</v>
      </c>
      <c r="D703" t="s">
        <v>86</v>
      </c>
      <c r="E703" t="s">
        <v>87</v>
      </c>
      <c r="F703" t="s">
        <v>1650</v>
      </c>
      <c r="G703">
        <v>5518</v>
      </c>
      <c r="H703" t="s">
        <v>1650</v>
      </c>
      <c r="I703" t="s">
        <v>96</v>
      </c>
      <c r="K703">
        <v>2537838</v>
      </c>
      <c r="L703">
        <v>1165782</v>
      </c>
      <c r="M703">
        <v>612</v>
      </c>
      <c r="N703" t="s">
        <v>1671</v>
      </c>
    </row>
    <row r="704" spans="1:14" x14ac:dyDescent="0.25">
      <c r="A704">
        <v>8570238</v>
      </c>
      <c r="B704" t="s">
        <v>1672</v>
      </c>
      <c r="C704" t="s">
        <v>94</v>
      </c>
      <c r="D704" t="s">
        <v>86</v>
      </c>
      <c r="E704" t="s">
        <v>87</v>
      </c>
      <c r="F704" t="s">
        <v>1650</v>
      </c>
      <c r="G704">
        <v>5518</v>
      </c>
      <c r="H704" t="s">
        <v>1650</v>
      </c>
      <c r="I704" t="s">
        <v>96</v>
      </c>
      <c r="K704">
        <v>2538277</v>
      </c>
      <c r="L704">
        <v>1165699</v>
      </c>
      <c r="M704">
        <v>617</v>
      </c>
      <c r="N704" t="s">
        <v>1673</v>
      </c>
    </row>
    <row r="705" spans="1:14" x14ac:dyDescent="0.25">
      <c r="A705">
        <v>8515341</v>
      </c>
      <c r="B705" t="s">
        <v>1674</v>
      </c>
      <c r="C705" t="s">
        <v>132</v>
      </c>
      <c r="E705" t="s">
        <v>87</v>
      </c>
      <c r="F705" t="s">
        <v>47</v>
      </c>
      <c r="G705">
        <v>5633</v>
      </c>
      <c r="H705" t="s">
        <v>47</v>
      </c>
      <c r="I705" t="s">
        <v>133</v>
      </c>
      <c r="J705" t="s">
        <v>625</v>
      </c>
      <c r="K705">
        <v>2531643.2910000002</v>
      </c>
      <c r="L705">
        <v>1153848.6329999999</v>
      </c>
      <c r="M705">
        <v>397</v>
      </c>
      <c r="N705" t="s">
        <v>1675</v>
      </c>
    </row>
    <row r="706" spans="1:14" x14ac:dyDescent="0.25">
      <c r="A706">
        <v>8592243</v>
      </c>
      <c r="B706" t="s">
        <v>1676</v>
      </c>
      <c r="C706" t="s">
        <v>85</v>
      </c>
      <c r="D706" t="s">
        <v>86</v>
      </c>
      <c r="E706" t="s">
        <v>87</v>
      </c>
      <c r="F706" t="s">
        <v>47</v>
      </c>
      <c r="G706">
        <v>5633</v>
      </c>
      <c r="H706" t="s">
        <v>47</v>
      </c>
      <c r="I706" t="s">
        <v>89</v>
      </c>
      <c r="K706">
        <v>2531227.4023000002</v>
      </c>
      <c r="L706">
        <v>1154311.99642</v>
      </c>
      <c r="M706">
        <v>430.1</v>
      </c>
      <c r="N706" t="s">
        <v>1677</v>
      </c>
    </row>
    <row r="707" spans="1:14" x14ac:dyDescent="0.25">
      <c r="A707">
        <v>8515340</v>
      </c>
      <c r="B707" t="s">
        <v>1678</v>
      </c>
      <c r="C707" t="s">
        <v>132</v>
      </c>
      <c r="E707" t="s">
        <v>87</v>
      </c>
      <c r="F707" t="s">
        <v>47</v>
      </c>
      <c r="G707">
        <v>5633</v>
      </c>
      <c r="H707" t="s">
        <v>47</v>
      </c>
      <c r="I707" t="s">
        <v>133</v>
      </c>
      <c r="J707" t="s">
        <v>130</v>
      </c>
      <c r="K707">
        <v>2531445.6719999998</v>
      </c>
      <c r="L707">
        <v>1153673.719</v>
      </c>
      <c r="M707">
        <v>395.79</v>
      </c>
      <c r="N707" t="s">
        <v>1679</v>
      </c>
    </row>
    <row r="708" spans="1:14" x14ac:dyDescent="0.25">
      <c r="A708">
        <v>8501148</v>
      </c>
      <c r="B708" t="s">
        <v>1680</v>
      </c>
      <c r="C708" t="s">
        <v>132</v>
      </c>
      <c r="E708" t="s">
        <v>87</v>
      </c>
      <c r="F708" t="s">
        <v>47</v>
      </c>
      <c r="G708">
        <v>5633</v>
      </c>
      <c r="H708" t="s">
        <v>47</v>
      </c>
      <c r="I708" t="s">
        <v>133</v>
      </c>
      <c r="J708" t="s">
        <v>130</v>
      </c>
      <c r="K708">
        <v>2531895.696</v>
      </c>
      <c r="L708">
        <v>1154107.7819999999</v>
      </c>
      <c r="M708">
        <v>398.74</v>
      </c>
      <c r="N708" t="s">
        <v>1681</v>
      </c>
    </row>
    <row r="709" spans="1:14" x14ac:dyDescent="0.25">
      <c r="A709">
        <v>8588875</v>
      </c>
      <c r="B709" t="s">
        <v>1682</v>
      </c>
      <c r="C709" t="s">
        <v>85</v>
      </c>
      <c r="D709" t="s">
        <v>86</v>
      </c>
      <c r="E709" t="s">
        <v>87</v>
      </c>
      <c r="F709" t="s">
        <v>47</v>
      </c>
      <c r="G709">
        <v>5633</v>
      </c>
      <c r="H709" t="s">
        <v>47</v>
      </c>
      <c r="I709" t="s">
        <v>89</v>
      </c>
      <c r="K709">
        <v>2531142</v>
      </c>
      <c r="L709">
        <v>1154096</v>
      </c>
      <c r="M709">
        <v>428</v>
      </c>
      <c r="N709" t="s">
        <v>1683</v>
      </c>
    </row>
    <row r="710" spans="1:14" x14ac:dyDescent="0.25">
      <c r="A710">
        <v>8588874</v>
      </c>
      <c r="B710" t="s">
        <v>1684</v>
      </c>
      <c r="C710" t="s">
        <v>85</v>
      </c>
      <c r="D710" t="s">
        <v>86</v>
      </c>
      <c r="E710" t="s">
        <v>87</v>
      </c>
      <c r="F710" t="s">
        <v>47</v>
      </c>
      <c r="G710">
        <v>5633</v>
      </c>
      <c r="H710" t="s">
        <v>47</v>
      </c>
      <c r="I710" t="s">
        <v>89</v>
      </c>
      <c r="K710">
        <v>2531133.0948600001</v>
      </c>
      <c r="L710">
        <v>1153602.2720999999</v>
      </c>
      <c r="M710">
        <v>405.4</v>
      </c>
      <c r="N710" t="s">
        <v>1685</v>
      </c>
    </row>
    <row r="711" spans="1:14" x14ac:dyDescent="0.25">
      <c r="A711">
        <v>8592244</v>
      </c>
      <c r="B711" t="s">
        <v>1686</v>
      </c>
      <c r="C711" t="s">
        <v>85</v>
      </c>
      <c r="D711" t="s">
        <v>86</v>
      </c>
      <c r="E711" t="s">
        <v>87</v>
      </c>
      <c r="F711" t="s">
        <v>47</v>
      </c>
      <c r="G711">
        <v>5633</v>
      </c>
      <c r="H711" t="s">
        <v>47</v>
      </c>
      <c r="I711" t="s">
        <v>89</v>
      </c>
      <c r="K711">
        <v>2531587.7851300002</v>
      </c>
      <c r="L711">
        <v>1154297.10699</v>
      </c>
      <c r="M711">
        <v>399.7</v>
      </c>
      <c r="N711" t="s">
        <v>1687</v>
      </c>
    </row>
    <row r="712" spans="1:14" x14ac:dyDescent="0.25">
      <c r="A712">
        <v>8595213</v>
      </c>
      <c r="B712" t="s">
        <v>1688</v>
      </c>
      <c r="C712" t="s">
        <v>85</v>
      </c>
      <c r="D712" t="s">
        <v>86</v>
      </c>
      <c r="E712" t="s">
        <v>87</v>
      </c>
      <c r="F712" t="s">
        <v>47</v>
      </c>
      <c r="G712">
        <v>5633</v>
      </c>
      <c r="H712" t="s">
        <v>47</v>
      </c>
      <c r="I712" t="s">
        <v>89</v>
      </c>
      <c r="K712">
        <v>2531135.13246</v>
      </c>
      <c r="L712">
        <v>1153844.1333000001</v>
      </c>
      <c r="M712">
        <v>422.9</v>
      </c>
      <c r="N712" t="s">
        <v>1689</v>
      </c>
    </row>
    <row r="713" spans="1:14" x14ac:dyDescent="0.25">
      <c r="A713">
        <v>8504655</v>
      </c>
      <c r="B713" t="s">
        <v>1690</v>
      </c>
      <c r="C713" t="s">
        <v>85</v>
      </c>
      <c r="D713" t="s">
        <v>86</v>
      </c>
      <c r="E713" t="s">
        <v>87</v>
      </c>
      <c r="F713" t="s">
        <v>1691</v>
      </c>
      <c r="G713">
        <v>5634</v>
      </c>
      <c r="H713" t="s">
        <v>1692</v>
      </c>
      <c r="I713" t="s">
        <v>89</v>
      </c>
      <c r="K713">
        <v>2526389.8517399998</v>
      </c>
      <c r="L713">
        <v>1153466.7869800001</v>
      </c>
      <c r="M713">
        <v>485.7</v>
      </c>
      <c r="N713" t="s">
        <v>1693</v>
      </c>
    </row>
    <row r="714" spans="1:14" x14ac:dyDescent="0.25">
      <c r="A714">
        <v>8592269</v>
      </c>
      <c r="B714" t="s">
        <v>1694</v>
      </c>
      <c r="C714" t="s">
        <v>85</v>
      </c>
      <c r="D714" t="s">
        <v>86</v>
      </c>
      <c r="E714" t="s">
        <v>87</v>
      </c>
      <c r="F714" t="s">
        <v>1691</v>
      </c>
      <c r="G714">
        <v>5634</v>
      </c>
      <c r="H714" t="s">
        <v>1691</v>
      </c>
      <c r="I714" t="s">
        <v>89</v>
      </c>
      <c r="K714">
        <v>2527980</v>
      </c>
      <c r="L714">
        <v>1152900</v>
      </c>
      <c r="M714">
        <v>432</v>
      </c>
      <c r="N714" t="s">
        <v>1695</v>
      </c>
    </row>
    <row r="715" spans="1:14" x14ac:dyDescent="0.25">
      <c r="A715">
        <v>8592246</v>
      </c>
      <c r="B715" t="s">
        <v>1696</v>
      </c>
      <c r="C715" t="s">
        <v>85</v>
      </c>
      <c r="D715" t="s">
        <v>86</v>
      </c>
      <c r="E715" t="s">
        <v>87</v>
      </c>
      <c r="F715" t="s">
        <v>1691</v>
      </c>
      <c r="G715">
        <v>5634</v>
      </c>
      <c r="H715" t="s">
        <v>1691</v>
      </c>
      <c r="I715" t="s">
        <v>89</v>
      </c>
      <c r="K715">
        <v>2527893.1633299999</v>
      </c>
      <c r="L715">
        <v>1153194.72486</v>
      </c>
      <c r="M715">
        <v>466</v>
      </c>
      <c r="N715" t="s">
        <v>1697</v>
      </c>
    </row>
    <row r="716" spans="1:14" x14ac:dyDescent="0.25">
      <c r="A716">
        <v>8596052</v>
      </c>
      <c r="B716" t="s">
        <v>1698</v>
      </c>
      <c r="C716" t="s">
        <v>85</v>
      </c>
      <c r="D716" t="s">
        <v>86</v>
      </c>
      <c r="E716" t="s">
        <v>87</v>
      </c>
      <c r="F716" t="s">
        <v>1691</v>
      </c>
      <c r="G716">
        <v>5634</v>
      </c>
      <c r="H716" t="s">
        <v>1691</v>
      </c>
      <c r="I716" t="s">
        <v>89</v>
      </c>
      <c r="K716">
        <v>2528271.2009100001</v>
      </c>
      <c r="L716">
        <v>1153005.0735299999</v>
      </c>
      <c r="M716">
        <v>436.4</v>
      </c>
      <c r="N716" t="s">
        <v>1699</v>
      </c>
    </row>
    <row r="717" spans="1:14" x14ac:dyDescent="0.25">
      <c r="A717">
        <v>8501268</v>
      </c>
      <c r="B717" t="s">
        <v>1700</v>
      </c>
      <c r="C717" t="s">
        <v>85</v>
      </c>
      <c r="D717" t="s">
        <v>86</v>
      </c>
      <c r="E717" t="s">
        <v>87</v>
      </c>
      <c r="F717" t="s">
        <v>1691</v>
      </c>
      <c r="G717">
        <v>5634</v>
      </c>
      <c r="H717" t="s">
        <v>1701</v>
      </c>
      <c r="I717" t="s">
        <v>89</v>
      </c>
      <c r="K717">
        <v>2526030.8651700001</v>
      </c>
      <c r="L717">
        <v>1156559.36139</v>
      </c>
      <c r="M717">
        <v>519.29999999999995</v>
      </c>
      <c r="N717" t="s">
        <v>1702</v>
      </c>
    </row>
    <row r="718" spans="1:14" x14ac:dyDescent="0.25">
      <c r="A718">
        <v>8570098</v>
      </c>
      <c r="B718" t="s">
        <v>1703</v>
      </c>
      <c r="C718" t="s">
        <v>85</v>
      </c>
      <c r="D718" t="s">
        <v>86</v>
      </c>
      <c r="E718" t="s">
        <v>87</v>
      </c>
      <c r="F718" t="s">
        <v>1691</v>
      </c>
      <c r="G718">
        <v>5634</v>
      </c>
      <c r="H718" t="s">
        <v>1691</v>
      </c>
      <c r="I718" t="s">
        <v>89</v>
      </c>
      <c r="K718">
        <v>2527456</v>
      </c>
      <c r="L718">
        <v>1153900</v>
      </c>
      <c r="M718">
        <v>490</v>
      </c>
      <c r="N718" t="s">
        <v>1704</v>
      </c>
    </row>
    <row r="719" spans="1:14" x14ac:dyDescent="0.25">
      <c r="A719">
        <v>8570099</v>
      </c>
      <c r="B719" t="s">
        <v>1705</v>
      </c>
      <c r="C719" t="s">
        <v>85</v>
      </c>
      <c r="D719" t="s">
        <v>86</v>
      </c>
      <c r="E719" t="s">
        <v>87</v>
      </c>
      <c r="F719" t="s">
        <v>1691</v>
      </c>
      <c r="G719">
        <v>5634</v>
      </c>
      <c r="H719" t="s">
        <v>1706</v>
      </c>
      <c r="I719" t="s">
        <v>89</v>
      </c>
      <c r="K719">
        <v>2527034.1944499998</v>
      </c>
      <c r="L719">
        <v>1155011.80057</v>
      </c>
      <c r="M719">
        <v>508</v>
      </c>
      <c r="N719" t="s">
        <v>1707</v>
      </c>
    </row>
    <row r="720" spans="1:14" x14ac:dyDescent="0.25">
      <c r="A720">
        <v>8512376</v>
      </c>
      <c r="B720" t="s">
        <v>1708</v>
      </c>
      <c r="C720" t="s">
        <v>85</v>
      </c>
      <c r="E720" t="s">
        <v>87</v>
      </c>
      <c r="F720" t="s">
        <v>1691</v>
      </c>
      <c r="G720">
        <v>5634</v>
      </c>
      <c r="H720" t="s">
        <v>1701</v>
      </c>
      <c r="I720" t="s">
        <v>89</v>
      </c>
      <c r="K720">
        <v>2526190.7857300001</v>
      </c>
      <c r="L720">
        <v>1156352.69774</v>
      </c>
      <c r="M720">
        <v>495.2</v>
      </c>
      <c r="N720" t="s">
        <v>1709</v>
      </c>
    </row>
    <row r="721" spans="1:14" x14ac:dyDescent="0.25">
      <c r="A721">
        <v>8570072</v>
      </c>
      <c r="B721" t="s">
        <v>1710</v>
      </c>
      <c r="C721" t="s">
        <v>85</v>
      </c>
      <c r="D721" t="s">
        <v>86</v>
      </c>
      <c r="E721" t="s">
        <v>87</v>
      </c>
      <c r="F721" t="s">
        <v>1691</v>
      </c>
      <c r="G721">
        <v>5634</v>
      </c>
      <c r="H721" t="s">
        <v>1692</v>
      </c>
      <c r="I721" t="s">
        <v>89</v>
      </c>
      <c r="K721">
        <v>2526738</v>
      </c>
      <c r="L721">
        <v>1153258</v>
      </c>
      <c r="M721">
        <v>480</v>
      </c>
      <c r="N721" t="s">
        <v>1711</v>
      </c>
    </row>
    <row r="722" spans="1:14" x14ac:dyDescent="0.25">
      <c r="A722">
        <v>8570091</v>
      </c>
      <c r="B722" t="s">
        <v>1712</v>
      </c>
      <c r="C722" t="s">
        <v>85</v>
      </c>
      <c r="D722" t="s">
        <v>86</v>
      </c>
      <c r="E722" t="s">
        <v>87</v>
      </c>
      <c r="F722" t="s">
        <v>1691</v>
      </c>
      <c r="G722">
        <v>5634</v>
      </c>
      <c r="H722" t="s">
        <v>1691</v>
      </c>
      <c r="I722" t="s">
        <v>89</v>
      </c>
      <c r="K722">
        <v>2528514.7175500002</v>
      </c>
      <c r="L722">
        <v>1152879.72737</v>
      </c>
      <c r="M722">
        <v>419.2</v>
      </c>
      <c r="N722" t="s">
        <v>1713</v>
      </c>
    </row>
    <row r="723" spans="1:14" x14ac:dyDescent="0.25">
      <c r="A723">
        <v>8504652</v>
      </c>
      <c r="B723" t="s">
        <v>1714</v>
      </c>
      <c r="C723" t="s">
        <v>85</v>
      </c>
      <c r="D723" t="s">
        <v>86</v>
      </c>
      <c r="E723" t="s">
        <v>87</v>
      </c>
      <c r="F723" t="s">
        <v>1691</v>
      </c>
      <c r="G723">
        <v>5634</v>
      </c>
      <c r="H723" t="s">
        <v>1691</v>
      </c>
      <c r="I723" t="s">
        <v>89</v>
      </c>
      <c r="K723">
        <v>2527984.8029700001</v>
      </c>
      <c r="L723">
        <v>1153302.9437200001</v>
      </c>
      <c r="M723">
        <v>470.9</v>
      </c>
      <c r="N723" t="s">
        <v>1715</v>
      </c>
    </row>
    <row r="724" spans="1:14" x14ac:dyDescent="0.25">
      <c r="A724">
        <v>8570071</v>
      </c>
      <c r="B724" t="s">
        <v>1716</v>
      </c>
      <c r="C724" t="s">
        <v>85</v>
      </c>
      <c r="D724" t="s">
        <v>86</v>
      </c>
      <c r="E724" t="s">
        <v>87</v>
      </c>
      <c r="F724" t="s">
        <v>1691</v>
      </c>
      <c r="G724">
        <v>5634</v>
      </c>
      <c r="H724" t="s">
        <v>1691</v>
      </c>
      <c r="I724" t="s">
        <v>89</v>
      </c>
      <c r="K724">
        <v>2527261.1910799998</v>
      </c>
      <c r="L724">
        <v>1152883.79883</v>
      </c>
      <c r="M724">
        <v>466.3</v>
      </c>
      <c r="N724" t="s">
        <v>1717</v>
      </c>
    </row>
    <row r="725" spans="1:14" x14ac:dyDescent="0.25">
      <c r="A725">
        <v>8570102</v>
      </c>
      <c r="B725" t="s">
        <v>1718</v>
      </c>
      <c r="C725" t="s">
        <v>85</v>
      </c>
      <c r="D725" t="s">
        <v>86</v>
      </c>
      <c r="E725" t="s">
        <v>87</v>
      </c>
      <c r="F725" t="s">
        <v>1691</v>
      </c>
      <c r="G725">
        <v>5634</v>
      </c>
      <c r="H725" t="s">
        <v>1701</v>
      </c>
      <c r="I725" t="s">
        <v>89</v>
      </c>
      <c r="K725">
        <v>2526450</v>
      </c>
      <c r="L725">
        <v>1155850</v>
      </c>
      <c r="M725">
        <v>510</v>
      </c>
      <c r="N725" t="s">
        <v>1719</v>
      </c>
    </row>
    <row r="726" spans="1:14" x14ac:dyDescent="0.25">
      <c r="A726">
        <v>8570100</v>
      </c>
      <c r="B726" t="s">
        <v>1720</v>
      </c>
      <c r="C726" t="s">
        <v>85</v>
      </c>
      <c r="D726" t="s">
        <v>86</v>
      </c>
      <c r="E726" t="s">
        <v>87</v>
      </c>
      <c r="F726" t="s">
        <v>1691</v>
      </c>
      <c r="G726">
        <v>5634</v>
      </c>
      <c r="H726" t="s">
        <v>1706</v>
      </c>
      <c r="I726" t="s">
        <v>89</v>
      </c>
      <c r="K726">
        <v>2527004.9285300002</v>
      </c>
      <c r="L726">
        <v>1155414.99177</v>
      </c>
      <c r="M726">
        <v>530</v>
      </c>
      <c r="N726" t="s">
        <v>1721</v>
      </c>
    </row>
    <row r="727" spans="1:14" x14ac:dyDescent="0.25">
      <c r="A727">
        <v>8570097</v>
      </c>
      <c r="B727" t="s">
        <v>1722</v>
      </c>
      <c r="C727" t="s">
        <v>85</v>
      </c>
      <c r="D727" t="s">
        <v>86</v>
      </c>
      <c r="E727" t="s">
        <v>87</v>
      </c>
      <c r="F727" t="s">
        <v>1691</v>
      </c>
      <c r="G727">
        <v>5634</v>
      </c>
      <c r="H727" t="s">
        <v>1691</v>
      </c>
      <c r="I727" t="s">
        <v>89</v>
      </c>
      <c r="K727">
        <v>2527359.7812100002</v>
      </c>
      <c r="L727">
        <v>1153058.58149</v>
      </c>
      <c r="M727">
        <v>469.4</v>
      </c>
      <c r="N727" t="s">
        <v>1723</v>
      </c>
    </row>
    <row r="728" spans="1:14" x14ac:dyDescent="0.25">
      <c r="A728">
        <v>8501109</v>
      </c>
      <c r="B728" t="s">
        <v>1724</v>
      </c>
      <c r="C728" t="s">
        <v>132</v>
      </c>
      <c r="E728" t="s">
        <v>87</v>
      </c>
      <c r="F728" t="s">
        <v>1725</v>
      </c>
      <c r="G728">
        <v>5482</v>
      </c>
      <c r="H728" t="s">
        <v>1725</v>
      </c>
      <c r="I728" t="s">
        <v>133</v>
      </c>
      <c r="J728" t="s">
        <v>1726</v>
      </c>
      <c r="K728">
        <v>2531876</v>
      </c>
      <c r="L728">
        <v>1167594</v>
      </c>
      <c r="M728">
        <v>451</v>
      </c>
      <c r="N728" t="s">
        <v>1727</v>
      </c>
    </row>
    <row r="729" spans="1:14" x14ac:dyDescent="0.25">
      <c r="A729">
        <v>8515327</v>
      </c>
      <c r="B729" t="s">
        <v>1728</v>
      </c>
      <c r="C729" t="s">
        <v>132</v>
      </c>
      <c r="E729" t="s">
        <v>87</v>
      </c>
      <c r="F729" t="s">
        <v>1725</v>
      </c>
      <c r="G729">
        <v>5482</v>
      </c>
      <c r="H729" t="s">
        <v>1725</v>
      </c>
      <c r="I729" t="s">
        <v>133</v>
      </c>
      <c r="J729" t="s">
        <v>130</v>
      </c>
      <c r="K729">
        <v>2532130.34</v>
      </c>
      <c r="L729">
        <v>1167889.5220000001</v>
      </c>
      <c r="M729">
        <v>454.44799999999998</v>
      </c>
      <c r="N729" t="s">
        <v>1729</v>
      </c>
    </row>
    <row r="730" spans="1:14" x14ac:dyDescent="0.25">
      <c r="A730">
        <v>8518421</v>
      </c>
      <c r="B730" t="s">
        <v>1730</v>
      </c>
      <c r="C730" t="s">
        <v>132</v>
      </c>
      <c r="E730" t="s">
        <v>87</v>
      </c>
      <c r="F730" t="s">
        <v>1725</v>
      </c>
      <c r="G730">
        <v>5482</v>
      </c>
      <c r="H730" t="s">
        <v>1725</v>
      </c>
      <c r="I730" t="s">
        <v>133</v>
      </c>
      <c r="J730" t="s">
        <v>625</v>
      </c>
      <c r="K730">
        <v>2532091.19</v>
      </c>
      <c r="L730">
        <v>1166880.78</v>
      </c>
      <c r="M730">
        <v>450.1</v>
      </c>
      <c r="N730" t="s">
        <v>1731</v>
      </c>
    </row>
    <row r="731" spans="1:14" x14ac:dyDescent="0.25">
      <c r="A731">
        <v>8570139</v>
      </c>
      <c r="B731" t="s">
        <v>1732</v>
      </c>
      <c r="C731" t="s">
        <v>94</v>
      </c>
      <c r="D731" t="s">
        <v>86</v>
      </c>
      <c r="E731" t="s">
        <v>87</v>
      </c>
      <c r="F731" t="s">
        <v>1725</v>
      </c>
      <c r="G731">
        <v>5482</v>
      </c>
      <c r="H731" t="s">
        <v>1725</v>
      </c>
      <c r="I731" t="s">
        <v>96</v>
      </c>
      <c r="K731">
        <v>2532153</v>
      </c>
      <c r="L731">
        <v>1167692</v>
      </c>
      <c r="M731">
        <v>458</v>
      </c>
      <c r="N731" t="s">
        <v>1733</v>
      </c>
    </row>
    <row r="732" spans="1:14" x14ac:dyDescent="0.25">
      <c r="A732">
        <v>8570140</v>
      </c>
      <c r="B732" t="s">
        <v>1734</v>
      </c>
      <c r="C732" t="s">
        <v>94</v>
      </c>
      <c r="D732" t="s">
        <v>86</v>
      </c>
      <c r="E732" t="s">
        <v>87</v>
      </c>
      <c r="F732" t="s">
        <v>1725</v>
      </c>
      <c r="G732">
        <v>5482</v>
      </c>
      <c r="H732" t="s">
        <v>1725</v>
      </c>
      <c r="I732" t="s">
        <v>96</v>
      </c>
      <c r="K732">
        <v>2531081</v>
      </c>
      <c r="L732">
        <v>1166954</v>
      </c>
      <c r="M732">
        <v>453</v>
      </c>
      <c r="N732" t="s">
        <v>1735</v>
      </c>
    </row>
    <row r="733" spans="1:14" x14ac:dyDescent="0.25">
      <c r="A733">
        <v>8570141</v>
      </c>
      <c r="B733" t="s">
        <v>1736</v>
      </c>
      <c r="C733" t="s">
        <v>94</v>
      </c>
      <c r="D733" t="s">
        <v>86</v>
      </c>
      <c r="E733" t="s">
        <v>87</v>
      </c>
      <c r="F733" t="s">
        <v>1725</v>
      </c>
      <c r="G733">
        <v>5482</v>
      </c>
      <c r="H733" t="s">
        <v>1725</v>
      </c>
      <c r="I733" t="s">
        <v>96</v>
      </c>
      <c r="K733">
        <v>2530498</v>
      </c>
      <c r="L733">
        <v>1166907</v>
      </c>
      <c r="M733">
        <v>453</v>
      </c>
      <c r="N733" t="s">
        <v>1737</v>
      </c>
    </row>
    <row r="734" spans="1:14" x14ac:dyDescent="0.25">
      <c r="A734">
        <v>8501114</v>
      </c>
      <c r="B734" t="s">
        <v>1725</v>
      </c>
      <c r="C734" t="s">
        <v>132</v>
      </c>
      <c r="D734" t="s">
        <v>112</v>
      </c>
      <c r="E734" t="s">
        <v>87</v>
      </c>
      <c r="F734" t="s">
        <v>1725</v>
      </c>
      <c r="G734">
        <v>5482</v>
      </c>
      <c r="H734" t="s">
        <v>1725</v>
      </c>
      <c r="I734" t="s">
        <v>133</v>
      </c>
      <c r="K734">
        <v>2532168.0580000002</v>
      </c>
      <c r="L734">
        <v>1167712.675</v>
      </c>
      <c r="M734">
        <v>454.77</v>
      </c>
      <c r="N734" t="s">
        <v>1738</v>
      </c>
    </row>
    <row r="735" spans="1:14" x14ac:dyDescent="0.25">
      <c r="A735">
        <v>8504659</v>
      </c>
      <c r="B735" t="s">
        <v>1739</v>
      </c>
      <c r="C735" t="s">
        <v>94</v>
      </c>
      <c r="D735" t="s">
        <v>86</v>
      </c>
      <c r="E735" t="s">
        <v>87</v>
      </c>
      <c r="F735" t="s">
        <v>1725</v>
      </c>
      <c r="G735">
        <v>5482</v>
      </c>
      <c r="H735" t="s">
        <v>1725</v>
      </c>
      <c r="I735" t="s">
        <v>96</v>
      </c>
      <c r="K735">
        <v>2530186</v>
      </c>
      <c r="L735">
        <v>1167186</v>
      </c>
      <c r="M735">
        <v>460</v>
      </c>
      <c r="N735" t="s">
        <v>1740</v>
      </c>
    </row>
    <row r="736" spans="1:14" x14ac:dyDescent="0.25">
      <c r="A736">
        <v>8501142</v>
      </c>
      <c r="B736" t="s">
        <v>1741</v>
      </c>
      <c r="C736" t="s">
        <v>132</v>
      </c>
      <c r="E736" t="s">
        <v>87</v>
      </c>
      <c r="F736" t="s">
        <v>1742</v>
      </c>
      <c r="G736">
        <v>5635</v>
      </c>
      <c r="H736" t="s">
        <v>1743</v>
      </c>
      <c r="I736" t="s">
        <v>133</v>
      </c>
      <c r="J736" t="s">
        <v>130</v>
      </c>
      <c r="K736">
        <v>2532295.94</v>
      </c>
      <c r="L736">
        <v>1154574.6580000001</v>
      </c>
      <c r="M736">
        <v>399.98</v>
      </c>
      <c r="N736" t="s">
        <v>1744</v>
      </c>
    </row>
    <row r="737" spans="1:14" x14ac:dyDescent="0.25">
      <c r="A737">
        <v>8501215</v>
      </c>
      <c r="B737" t="s">
        <v>1745</v>
      </c>
      <c r="C737" t="s">
        <v>242</v>
      </c>
      <c r="D737" t="s">
        <v>1130</v>
      </c>
      <c r="E737" t="s">
        <v>87</v>
      </c>
      <c r="F737" t="s">
        <v>1742</v>
      </c>
      <c r="G737">
        <v>5635</v>
      </c>
      <c r="H737" t="s">
        <v>1743</v>
      </c>
      <c r="I737" t="s">
        <v>243</v>
      </c>
      <c r="K737">
        <v>2532935</v>
      </c>
      <c r="L737">
        <v>1152962</v>
      </c>
      <c r="M737">
        <v>398</v>
      </c>
      <c r="N737" t="s">
        <v>1746</v>
      </c>
    </row>
    <row r="738" spans="1:14" x14ac:dyDescent="0.25">
      <c r="A738">
        <v>8588873</v>
      </c>
      <c r="B738" t="s">
        <v>1747</v>
      </c>
      <c r="C738" t="s">
        <v>242</v>
      </c>
      <c r="D738" t="s">
        <v>86</v>
      </c>
      <c r="E738" t="s">
        <v>87</v>
      </c>
      <c r="F738" t="s">
        <v>1742</v>
      </c>
      <c r="G738">
        <v>5635</v>
      </c>
      <c r="H738" t="s">
        <v>1743</v>
      </c>
      <c r="I738" t="s">
        <v>243</v>
      </c>
      <c r="K738">
        <v>2533051</v>
      </c>
      <c r="L738">
        <v>1153539</v>
      </c>
      <c r="M738">
        <v>399</v>
      </c>
      <c r="N738" t="s">
        <v>1748</v>
      </c>
    </row>
    <row r="739" spans="1:14" x14ac:dyDescent="0.25">
      <c r="A739">
        <v>8591949</v>
      </c>
      <c r="B739" t="s">
        <v>1749</v>
      </c>
      <c r="C739" t="s">
        <v>242</v>
      </c>
      <c r="D739" t="s">
        <v>86</v>
      </c>
      <c r="E739" t="s">
        <v>87</v>
      </c>
      <c r="F739" t="s">
        <v>1742</v>
      </c>
      <c r="G739">
        <v>5635</v>
      </c>
      <c r="H739" t="s">
        <v>1743</v>
      </c>
      <c r="I739" t="s">
        <v>243</v>
      </c>
      <c r="K739">
        <v>2532358</v>
      </c>
      <c r="L739">
        <v>1152927</v>
      </c>
      <c r="M739">
        <v>419</v>
      </c>
      <c r="N739" t="s">
        <v>1750</v>
      </c>
    </row>
    <row r="740" spans="1:14" x14ac:dyDescent="0.25">
      <c r="A740">
        <v>8591948</v>
      </c>
      <c r="B740" t="s">
        <v>1751</v>
      </c>
      <c r="C740" t="s">
        <v>242</v>
      </c>
      <c r="D740" t="s">
        <v>86</v>
      </c>
      <c r="E740" t="s">
        <v>87</v>
      </c>
      <c r="F740" t="s">
        <v>1742</v>
      </c>
      <c r="G740">
        <v>5635</v>
      </c>
      <c r="H740" t="s">
        <v>1743</v>
      </c>
      <c r="I740" t="s">
        <v>243</v>
      </c>
      <c r="K740">
        <v>2533084</v>
      </c>
      <c r="L740">
        <v>1154084</v>
      </c>
      <c r="M740">
        <v>404</v>
      </c>
      <c r="N740" t="s">
        <v>1752</v>
      </c>
    </row>
    <row r="741" spans="1:14" x14ac:dyDescent="0.25">
      <c r="A741">
        <v>8591946</v>
      </c>
      <c r="B741" t="s">
        <v>1753</v>
      </c>
      <c r="C741" t="s">
        <v>85</v>
      </c>
      <c r="D741" t="s">
        <v>86</v>
      </c>
      <c r="E741" t="s">
        <v>87</v>
      </c>
      <c r="F741" t="s">
        <v>1742</v>
      </c>
      <c r="G741">
        <v>5635</v>
      </c>
      <c r="H741" t="s">
        <v>1743</v>
      </c>
      <c r="I741" t="s">
        <v>89</v>
      </c>
      <c r="K741">
        <v>2532620</v>
      </c>
      <c r="L741">
        <v>1153341</v>
      </c>
      <c r="M741">
        <v>415</v>
      </c>
      <c r="N741" t="s">
        <v>1754</v>
      </c>
    </row>
    <row r="742" spans="1:14" x14ac:dyDescent="0.25">
      <c r="A742">
        <v>8591950</v>
      </c>
      <c r="B742" t="s">
        <v>1755</v>
      </c>
      <c r="C742" t="s">
        <v>85</v>
      </c>
      <c r="D742" t="s">
        <v>86</v>
      </c>
      <c r="E742" t="s">
        <v>87</v>
      </c>
      <c r="F742" t="s">
        <v>1742</v>
      </c>
      <c r="G742">
        <v>5635</v>
      </c>
      <c r="H742" t="s">
        <v>52</v>
      </c>
      <c r="I742" t="s">
        <v>89</v>
      </c>
      <c r="K742">
        <v>2534284</v>
      </c>
      <c r="L742">
        <v>1152491</v>
      </c>
      <c r="M742">
        <v>378</v>
      </c>
      <c r="N742" t="s">
        <v>1756</v>
      </c>
    </row>
    <row r="743" spans="1:14" x14ac:dyDescent="0.25">
      <c r="A743">
        <v>8591955</v>
      </c>
      <c r="B743" t="s">
        <v>1757</v>
      </c>
      <c r="C743" t="s">
        <v>242</v>
      </c>
      <c r="D743" t="s">
        <v>86</v>
      </c>
      <c r="E743" t="s">
        <v>87</v>
      </c>
      <c r="F743" t="s">
        <v>1742</v>
      </c>
      <c r="G743">
        <v>5635</v>
      </c>
      <c r="H743" t="s">
        <v>1743</v>
      </c>
      <c r="I743" t="s">
        <v>243</v>
      </c>
      <c r="K743">
        <v>2532890</v>
      </c>
      <c r="L743">
        <v>1154149</v>
      </c>
      <c r="M743">
        <v>412</v>
      </c>
      <c r="N743" t="s">
        <v>1758</v>
      </c>
    </row>
    <row r="744" spans="1:14" x14ac:dyDescent="0.25">
      <c r="A744">
        <v>8591951</v>
      </c>
      <c r="B744" t="s">
        <v>1759</v>
      </c>
      <c r="C744" t="s">
        <v>85</v>
      </c>
      <c r="D744" t="s">
        <v>86</v>
      </c>
      <c r="E744" t="s">
        <v>87</v>
      </c>
      <c r="F744" t="s">
        <v>1742</v>
      </c>
      <c r="G744">
        <v>5635</v>
      </c>
      <c r="H744" t="s">
        <v>1743</v>
      </c>
      <c r="I744" t="s">
        <v>89</v>
      </c>
      <c r="K744">
        <v>2532705</v>
      </c>
      <c r="L744">
        <v>1153108</v>
      </c>
      <c r="M744">
        <v>421</v>
      </c>
      <c r="N744" t="s">
        <v>1760</v>
      </c>
    </row>
    <row r="745" spans="1:14" x14ac:dyDescent="0.25">
      <c r="A745">
        <v>8591954</v>
      </c>
      <c r="B745" t="s">
        <v>1761</v>
      </c>
      <c r="C745" t="s">
        <v>242</v>
      </c>
      <c r="D745" t="s">
        <v>86</v>
      </c>
      <c r="E745" t="s">
        <v>87</v>
      </c>
      <c r="F745" t="s">
        <v>1742</v>
      </c>
      <c r="G745">
        <v>5635</v>
      </c>
      <c r="H745" t="s">
        <v>1743</v>
      </c>
      <c r="I745" t="s">
        <v>243</v>
      </c>
      <c r="K745">
        <v>2532466</v>
      </c>
      <c r="L745">
        <v>1153147</v>
      </c>
      <c r="M745">
        <v>420</v>
      </c>
      <c r="N745" t="s">
        <v>1762</v>
      </c>
    </row>
    <row r="746" spans="1:14" x14ac:dyDescent="0.25">
      <c r="A746">
        <v>8591959</v>
      </c>
      <c r="B746" t="s">
        <v>1763</v>
      </c>
      <c r="C746" t="s">
        <v>242</v>
      </c>
      <c r="D746" t="s">
        <v>86</v>
      </c>
      <c r="E746" t="s">
        <v>87</v>
      </c>
      <c r="F746" t="s">
        <v>1742</v>
      </c>
      <c r="G746">
        <v>5635</v>
      </c>
      <c r="H746" t="s">
        <v>1743</v>
      </c>
      <c r="I746" t="s">
        <v>243</v>
      </c>
      <c r="K746">
        <v>2531812</v>
      </c>
      <c r="L746">
        <v>1152058</v>
      </c>
      <c r="M746">
        <v>398</v>
      </c>
      <c r="N746" t="s">
        <v>1764</v>
      </c>
    </row>
    <row r="747" spans="1:14" x14ac:dyDescent="0.25">
      <c r="A747">
        <v>8591960</v>
      </c>
      <c r="B747" t="s">
        <v>1765</v>
      </c>
      <c r="C747" t="s">
        <v>242</v>
      </c>
      <c r="D747" t="s">
        <v>86</v>
      </c>
      <c r="E747" t="s">
        <v>87</v>
      </c>
      <c r="F747" t="s">
        <v>1742</v>
      </c>
      <c r="G747">
        <v>5635</v>
      </c>
      <c r="H747" t="s">
        <v>1743</v>
      </c>
      <c r="I747" t="s">
        <v>243</v>
      </c>
      <c r="K747">
        <v>2532936</v>
      </c>
      <c r="L747">
        <v>1153704</v>
      </c>
      <c r="M747">
        <v>398</v>
      </c>
      <c r="N747" t="s">
        <v>1766</v>
      </c>
    </row>
    <row r="748" spans="1:14" x14ac:dyDescent="0.25">
      <c r="A748">
        <v>8591945</v>
      </c>
      <c r="B748" t="s">
        <v>1767</v>
      </c>
      <c r="C748" t="s">
        <v>85</v>
      </c>
      <c r="D748" t="s">
        <v>86</v>
      </c>
      <c r="E748" t="s">
        <v>87</v>
      </c>
      <c r="F748" t="s">
        <v>1742</v>
      </c>
      <c r="G748">
        <v>5635</v>
      </c>
      <c r="H748" t="s">
        <v>1743</v>
      </c>
      <c r="I748" t="s">
        <v>89</v>
      </c>
      <c r="K748">
        <v>2533572.5054700002</v>
      </c>
      <c r="L748">
        <v>1152258.17793</v>
      </c>
      <c r="M748">
        <v>393.7</v>
      </c>
      <c r="N748" t="s">
        <v>1768</v>
      </c>
    </row>
    <row r="749" spans="1:14" x14ac:dyDescent="0.25">
      <c r="A749">
        <v>8591944</v>
      </c>
      <c r="B749" t="s">
        <v>1769</v>
      </c>
      <c r="C749" t="s">
        <v>242</v>
      </c>
      <c r="D749" t="s">
        <v>86</v>
      </c>
      <c r="E749" t="s">
        <v>87</v>
      </c>
      <c r="F749" t="s">
        <v>1742</v>
      </c>
      <c r="G749">
        <v>5635</v>
      </c>
      <c r="H749" t="s">
        <v>52</v>
      </c>
      <c r="I749" t="s">
        <v>243</v>
      </c>
      <c r="K749">
        <v>2533488</v>
      </c>
      <c r="L749">
        <v>1152483</v>
      </c>
      <c r="M749">
        <v>396</v>
      </c>
      <c r="N749" t="s">
        <v>1770</v>
      </c>
    </row>
    <row r="750" spans="1:14" x14ac:dyDescent="0.25">
      <c r="A750">
        <v>8592248</v>
      </c>
      <c r="B750" t="s">
        <v>1771</v>
      </c>
      <c r="C750" t="s">
        <v>85</v>
      </c>
      <c r="D750" t="s">
        <v>86</v>
      </c>
      <c r="E750" t="s">
        <v>87</v>
      </c>
      <c r="F750" t="s">
        <v>1742</v>
      </c>
      <c r="G750">
        <v>5635</v>
      </c>
      <c r="H750" t="s">
        <v>1743</v>
      </c>
      <c r="I750" t="s">
        <v>89</v>
      </c>
      <c r="K750">
        <v>2532232.1185699999</v>
      </c>
      <c r="L750">
        <v>1153795.57806</v>
      </c>
      <c r="M750">
        <v>405.4</v>
      </c>
      <c r="N750" t="s">
        <v>1772</v>
      </c>
    </row>
    <row r="751" spans="1:14" x14ac:dyDescent="0.25">
      <c r="A751">
        <v>8501129</v>
      </c>
      <c r="B751" t="s">
        <v>1773</v>
      </c>
      <c r="C751" t="s">
        <v>132</v>
      </c>
      <c r="E751" t="s">
        <v>87</v>
      </c>
      <c r="F751" t="s">
        <v>1742</v>
      </c>
      <c r="G751">
        <v>5635</v>
      </c>
      <c r="H751" t="s">
        <v>1743</v>
      </c>
      <c r="I751" t="s">
        <v>133</v>
      </c>
      <c r="J751" t="s">
        <v>625</v>
      </c>
      <c r="K751">
        <v>2533712</v>
      </c>
      <c r="L751">
        <v>1154678</v>
      </c>
      <c r="M751">
        <v>418</v>
      </c>
      <c r="N751" t="s">
        <v>1774</v>
      </c>
    </row>
    <row r="752" spans="1:14" x14ac:dyDescent="0.25">
      <c r="A752">
        <v>8579233</v>
      </c>
      <c r="B752" t="s">
        <v>1775</v>
      </c>
      <c r="C752" t="s">
        <v>85</v>
      </c>
      <c r="D752" t="s">
        <v>86</v>
      </c>
      <c r="E752" t="s">
        <v>87</v>
      </c>
      <c r="F752" t="s">
        <v>1742</v>
      </c>
      <c r="G752">
        <v>5635</v>
      </c>
      <c r="H752" t="s">
        <v>52</v>
      </c>
      <c r="I752" t="s">
        <v>89</v>
      </c>
      <c r="K752">
        <v>2533107</v>
      </c>
      <c r="L752">
        <v>1152679</v>
      </c>
      <c r="M752">
        <v>395</v>
      </c>
      <c r="N752" t="s">
        <v>1776</v>
      </c>
    </row>
    <row r="753" spans="1:14" x14ac:dyDescent="0.25">
      <c r="A753">
        <v>8579234</v>
      </c>
      <c r="B753" t="s">
        <v>1777</v>
      </c>
      <c r="C753" t="s">
        <v>85</v>
      </c>
      <c r="D753" t="s">
        <v>86</v>
      </c>
      <c r="E753" t="s">
        <v>87</v>
      </c>
      <c r="F753" t="s">
        <v>1742</v>
      </c>
      <c r="G753">
        <v>5635</v>
      </c>
      <c r="H753" t="s">
        <v>52</v>
      </c>
      <c r="I753" t="s">
        <v>89</v>
      </c>
      <c r="K753">
        <v>2533226.6260199999</v>
      </c>
      <c r="L753">
        <v>1152482.70215</v>
      </c>
      <c r="M753">
        <v>395.5</v>
      </c>
      <c r="N753" t="s">
        <v>1778</v>
      </c>
    </row>
    <row r="754" spans="1:14" x14ac:dyDescent="0.25">
      <c r="A754">
        <v>8594890</v>
      </c>
      <c r="B754" t="s">
        <v>1779</v>
      </c>
      <c r="C754" t="s">
        <v>242</v>
      </c>
      <c r="D754" t="s">
        <v>86</v>
      </c>
      <c r="E754" t="s">
        <v>87</v>
      </c>
      <c r="F754" t="s">
        <v>1742</v>
      </c>
      <c r="G754">
        <v>5635</v>
      </c>
      <c r="H754" t="s">
        <v>1743</v>
      </c>
      <c r="I754" t="s">
        <v>243</v>
      </c>
      <c r="K754">
        <v>2532022</v>
      </c>
      <c r="L754">
        <v>1152331</v>
      </c>
      <c r="M754">
        <v>398</v>
      </c>
      <c r="N754" t="s">
        <v>1780</v>
      </c>
    </row>
    <row r="755" spans="1:14" x14ac:dyDescent="0.25">
      <c r="A755">
        <v>8596053</v>
      </c>
      <c r="B755" t="s">
        <v>1781</v>
      </c>
      <c r="C755" t="s">
        <v>85</v>
      </c>
      <c r="D755" t="s">
        <v>86</v>
      </c>
      <c r="E755" t="s">
        <v>87</v>
      </c>
      <c r="F755" t="s">
        <v>1742</v>
      </c>
      <c r="G755">
        <v>5635</v>
      </c>
      <c r="H755" t="s">
        <v>1743</v>
      </c>
      <c r="I755" t="s">
        <v>89</v>
      </c>
      <c r="K755">
        <v>2533903.2183599998</v>
      </c>
      <c r="L755">
        <v>1152393.15561</v>
      </c>
      <c r="M755">
        <v>389.3</v>
      </c>
      <c r="N755" t="s">
        <v>1782</v>
      </c>
    </row>
    <row r="756" spans="1:14" x14ac:dyDescent="0.25">
      <c r="A756">
        <v>8591953</v>
      </c>
      <c r="B756" t="s">
        <v>1783</v>
      </c>
      <c r="C756" t="s">
        <v>242</v>
      </c>
      <c r="D756" t="s">
        <v>86</v>
      </c>
      <c r="E756" t="s">
        <v>87</v>
      </c>
      <c r="F756" t="s">
        <v>1742</v>
      </c>
      <c r="G756">
        <v>5635</v>
      </c>
      <c r="H756" t="s">
        <v>1743</v>
      </c>
      <c r="I756" t="s">
        <v>243</v>
      </c>
      <c r="K756">
        <v>2533217</v>
      </c>
      <c r="L756">
        <v>1154336</v>
      </c>
      <c r="M756">
        <v>419</v>
      </c>
      <c r="N756" t="s">
        <v>1784</v>
      </c>
    </row>
    <row r="757" spans="1:14" x14ac:dyDescent="0.25">
      <c r="A757">
        <v>8591952</v>
      </c>
      <c r="B757" t="s">
        <v>1785</v>
      </c>
      <c r="C757" t="s">
        <v>85</v>
      </c>
      <c r="D757" t="s">
        <v>86</v>
      </c>
      <c r="E757" t="s">
        <v>87</v>
      </c>
      <c r="F757" t="s">
        <v>1742</v>
      </c>
      <c r="G757">
        <v>5635</v>
      </c>
      <c r="H757" t="s">
        <v>1743</v>
      </c>
      <c r="I757" t="s">
        <v>89</v>
      </c>
      <c r="K757">
        <v>2532495</v>
      </c>
      <c r="L757">
        <v>1152858</v>
      </c>
      <c r="M757">
        <v>427</v>
      </c>
      <c r="N757" t="s">
        <v>1786</v>
      </c>
    </row>
    <row r="758" spans="1:14" x14ac:dyDescent="0.25">
      <c r="A758">
        <v>8591958</v>
      </c>
      <c r="B758" t="s">
        <v>1787</v>
      </c>
      <c r="C758" t="s">
        <v>242</v>
      </c>
      <c r="D758" t="s">
        <v>86</v>
      </c>
      <c r="E758" t="s">
        <v>87</v>
      </c>
      <c r="F758" t="s">
        <v>1742</v>
      </c>
      <c r="G758">
        <v>5635</v>
      </c>
      <c r="H758" t="s">
        <v>1743</v>
      </c>
      <c r="I758" t="s">
        <v>243</v>
      </c>
      <c r="K758">
        <v>2533411</v>
      </c>
      <c r="L758">
        <v>1154656</v>
      </c>
      <c r="M758">
        <v>415</v>
      </c>
      <c r="N758" t="s">
        <v>1788</v>
      </c>
    </row>
    <row r="759" spans="1:14" x14ac:dyDescent="0.25">
      <c r="A759">
        <v>8591957</v>
      </c>
      <c r="B759" t="s">
        <v>1789</v>
      </c>
      <c r="C759" t="s">
        <v>242</v>
      </c>
      <c r="D759" t="s">
        <v>86</v>
      </c>
      <c r="E759" t="s">
        <v>87</v>
      </c>
      <c r="F759" t="s">
        <v>1742</v>
      </c>
      <c r="G759">
        <v>5635</v>
      </c>
      <c r="H759" t="s">
        <v>1743</v>
      </c>
      <c r="I759" t="s">
        <v>243</v>
      </c>
      <c r="K759">
        <v>2532783</v>
      </c>
      <c r="L759">
        <v>1153872</v>
      </c>
      <c r="M759">
        <v>402</v>
      </c>
      <c r="N759" t="s">
        <v>1790</v>
      </c>
    </row>
    <row r="760" spans="1:14" x14ac:dyDescent="0.25">
      <c r="A760">
        <v>8591956</v>
      </c>
      <c r="B760" t="s">
        <v>1791</v>
      </c>
      <c r="C760" t="s">
        <v>242</v>
      </c>
      <c r="D760" t="s">
        <v>86</v>
      </c>
      <c r="E760" t="s">
        <v>87</v>
      </c>
      <c r="F760" t="s">
        <v>1742</v>
      </c>
      <c r="G760">
        <v>5635</v>
      </c>
      <c r="H760" t="s">
        <v>1743</v>
      </c>
      <c r="I760" t="s">
        <v>243</v>
      </c>
      <c r="K760">
        <v>2532177</v>
      </c>
      <c r="L760">
        <v>1152742</v>
      </c>
      <c r="M760">
        <v>408</v>
      </c>
      <c r="N760" t="s">
        <v>1792</v>
      </c>
    </row>
    <row r="761" spans="1:14" x14ac:dyDescent="0.25">
      <c r="A761">
        <v>8591947</v>
      </c>
      <c r="B761" t="s">
        <v>1793</v>
      </c>
      <c r="C761" t="s">
        <v>85</v>
      </c>
      <c r="D761" t="s">
        <v>86</v>
      </c>
      <c r="E761" t="s">
        <v>87</v>
      </c>
      <c r="F761" t="s">
        <v>1742</v>
      </c>
      <c r="G761">
        <v>5635</v>
      </c>
      <c r="H761" t="s">
        <v>1743</v>
      </c>
      <c r="I761" t="s">
        <v>89</v>
      </c>
      <c r="K761">
        <v>2532646.4025699999</v>
      </c>
      <c r="L761">
        <v>1152941.46273</v>
      </c>
      <c r="M761">
        <v>423.8</v>
      </c>
      <c r="N761" t="s">
        <v>1794</v>
      </c>
    </row>
    <row r="762" spans="1:14" x14ac:dyDescent="0.25">
      <c r="A762">
        <v>8512023</v>
      </c>
      <c r="B762" t="s">
        <v>1795</v>
      </c>
      <c r="C762" t="s">
        <v>242</v>
      </c>
      <c r="D762" t="s">
        <v>86</v>
      </c>
      <c r="E762" t="s">
        <v>87</v>
      </c>
      <c r="F762" t="s">
        <v>1742</v>
      </c>
      <c r="G762">
        <v>5635</v>
      </c>
      <c r="H762" t="s">
        <v>1743</v>
      </c>
      <c r="I762" t="s">
        <v>243</v>
      </c>
      <c r="K762">
        <v>2532533.4372</v>
      </c>
      <c r="L762">
        <v>1152069.3925399999</v>
      </c>
      <c r="M762">
        <v>404.1</v>
      </c>
      <c r="N762" t="s">
        <v>1796</v>
      </c>
    </row>
    <row r="763" spans="1:14" x14ac:dyDescent="0.25">
      <c r="A763">
        <v>8510721</v>
      </c>
      <c r="B763" t="s">
        <v>1797</v>
      </c>
      <c r="C763" t="s">
        <v>242</v>
      </c>
      <c r="D763" t="s">
        <v>86</v>
      </c>
      <c r="E763" t="s">
        <v>87</v>
      </c>
      <c r="F763" t="s">
        <v>1742</v>
      </c>
      <c r="G763">
        <v>5635</v>
      </c>
      <c r="H763" t="s">
        <v>1743</v>
      </c>
      <c r="I763" t="s">
        <v>243</v>
      </c>
      <c r="K763">
        <v>2533763.3281999999</v>
      </c>
      <c r="L763">
        <v>1154498.1669000001</v>
      </c>
      <c r="M763">
        <v>417</v>
      </c>
      <c r="N763" t="s">
        <v>1798</v>
      </c>
    </row>
    <row r="764" spans="1:14" x14ac:dyDescent="0.25">
      <c r="A764">
        <v>8515355</v>
      </c>
      <c r="B764" t="s">
        <v>1799</v>
      </c>
      <c r="C764" t="s">
        <v>132</v>
      </c>
      <c r="E764" t="s">
        <v>87</v>
      </c>
      <c r="F764" t="s">
        <v>1742</v>
      </c>
      <c r="G764">
        <v>5635</v>
      </c>
      <c r="H764" t="s">
        <v>1743</v>
      </c>
      <c r="I764" t="s">
        <v>133</v>
      </c>
      <c r="J764" t="s">
        <v>130</v>
      </c>
      <c r="K764">
        <v>2533530.071</v>
      </c>
      <c r="L764">
        <v>1154756.6399999999</v>
      </c>
      <c r="M764">
        <v>414.14800000000002</v>
      </c>
      <c r="N764" t="s">
        <v>1800</v>
      </c>
    </row>
    <row r="765" spans="1:14" x14ac:dyDescent="0.25">
      <c r="A765">
        <v>8515639</v>
      </c>
      <c r="B765" t="s">
        <v>1801</v>
      </c>
      <c r="C765" t="s">
        <v>132</v>
      </c>
      <c r="E765" t="s">
        <v>87</v>
      </c>
      <c r="F765" t="s">
        <v>1742</v>
      </c>
      <c r="G765">
        <v>5635</v>
      </c>
      <c r="H765" t="s">
        <v>1743</v>
      </c>
      <c r="I765" t="s">
        <v>133</v>
      </c>
      <c r="J765" t="s">
        <v>130</v>
      </c>
      <c r="K765">
        <v>2532096.0060000001</v>
      </c>
      <c r="L765">
        <v>1154205.1440000001</v>
      </c>
      <c r="M765">
        <v>400.25</v>
      </c>
      <c r="N765" t="s">
        <v>1802</v>
      </c>
    </row>
    <row r="766" spans="1:14" x14ac:dyDescent="0.25">
      <c r="A766">
        <v>8591961</v>
      </c>
      <c r="B766" t="s">
        <v>1803</v>
      </c>
      <c r="C766" t="s">
        <v>242</v>
      </c>
      <c r="D766" t="s">
        <v>86</v>
      </c>
      <c r="E766" t="s">
        <v>87</v>
      </c>
      <c r="F766" t="s">
        <v>1742</v>
      </c>
      <c r="G766">
        <v>5635</v>
      </c>
      <c r="H766" t="s">
        <v>1743</v>
      </c>
      <c r="I766" t="s">
        <v>243</v>
      </c>
      <c r="K766">
        <v>2532675</v>
      </c>
      <c r="L766">
        <v>1153514</v>
      </c>
      <c r="M766">
        <v>417</v>
      </c>
      <c r="N766" t="s">
        <v>1804</v>
      </c>
    </row>
    <row r="767" spans="1:14" x14ac:dyDescent="0.25">
      <c r="A767">
        <v>8511813</v>
      </c>
      <c r="B767" t="s">
        <v>1805</v>
      </c>
      <c r="C767" t="s">
        <v>242</v>
      </c>
      <c r="D767" t="s">
        <v>86</v>
      </c>
      <c r="E767" t="s">
        <v>87</v>
      </c>
      <c r="F767" t="s">
        <v>1742</v>
      </c>
      <c r="G767">
        <v>5635</v>
      </c>
      <c r="H767" t="s">
        <v>1743</v>
      </c>
      <c r="I767" t="s">
        <v>243</v>
      </c>
      <c r="K767">
        <v>2533321.7983900001</v>
      </c>
      <c r="L767">
        <v>1152163.7739200001</v>
      </c>
      <c r="M767">
        <v>397.7</v>
      </c>
      <c r="N767" t="s">
        <v>1806</v>
      </c>
    </row>
    <row r="768" spans="1:14" x14ac:dyDescent="0.25">
      <c r="A768">
        <v>8501214</v>
      </c>
      <c r="B768" t="s">
        <v>1807</v>
      </c>
      <c r="C768" t="s">
        <v>242</v>
      </c>
      <c r="D768" t="s">
        <v>1125</v>
      </c>
      <c r="E768" t="s">
        <v>87</v>
      </c>
      <c r="F768" t="s">
        <v>1742</v>
      </c>
      <c r="G768">
        <v>5635</v>
      </c>
      <c r="H768" t="s">
        <v>1743</v>
      </c>
      <c r="I768" t="s">
        <v>243</v>
      </c>
      <c r="K768">
        <v>2533051</v>
      </c>
      <c r="L768">
        <v>1152695</v>
      </c>
      <c r="M768">
        <v>396</v>
      </c>
      <c r="N768" t="s">
        <v>1808</v>
      </c>
    </row>
    <row r="769" spans="1:14" x14ac:dyDescent="0.25">
      <c r="A769">
        <v>8512022</v>
      </c>
      <c r="B769" t="s">
        <v>1809</v>
      </c>
      <c r="C769" t="s">
        <v>242</v>
      </c>
      <c r="D769" t="s">
        <v>86</v>
      </c>
      <c r="E769" t="s">
        <v>87</v>
      </c>
      <c r="F769" t="s">
        <v>1742</v>
      </c>
      <c r="G769">
        <v>5635</v>
      </c>
      <c r="H769" t="s">
        <v>1743</v>
      </c>
      <c r="I769" t="s">
        <v>243</v>
      </c>
      <c r="K769">
        <v>2532421.21814</v>
      </c>
      <c r="L769">
        <v>1152393.41655</v>
      </c>
      <c r="M769">
        <v>416.9</v>
      </c>
      <c r="N769" t="s">
        <v>1810</v>
      </c>
    </row>
    <row r="770" spans="1:14" x14ac:dyDescent="0.25">
      <c r="A770">
        <v>8512028</v>
      </c>
      <c r="B770" t="s">
        <v>1811</v>
      </c>
      <c r="C770" t="s">
        <v>242</v>
      </c>
      <c r="D770" t="s">
        <v>86</v>
      </c>
      <c r="E770" t="s">
        <v>87</v>
      </c>
      <c r="F770" t="s">
        <v>1742</v>
      </c>
      <c r="G770">
        <v>5635</v>
      </c>
      <c r="H770" t="s">
        <v>1743</v>
      </c>
      <c r="I770" t="s">
        <v>243</v>
      </c>
      <c r="K770">
        <v>2532415.7322300002</v>
      </c>
      <c r="L770">
        <v>1153908.53792</v>
      </c>
      <c r="M770">
        <v>409.4</v>
      </c>
      <c r="N770" t="s">
        <v>1812</v>
      </c>
    </row>
    <row r="771" spans="1:14" x14ac:dyDescent="0.25">
      <c r="A771">
        <v>8512029</v>
      </c>
      <c r="B771" t="s">
        <v>1813</v>
      </c>
      <c r="C771" t="s">
        <v>242</v>
      </c>
      <c r="D771" t="s">
        <v>86</v>
      </c>
      <c r="E771" t="s">
        <v>87</v>
      </c>
      <c r="F771" t="s">
        <v>1742</v>
      </c>
      <c r="G771">
        <v>5635</v>
      </c>
      <c r="H771" t="s">
        <v>1743</v>
      </c>
      <c r="I771" t="s">
        <v>243</v>
      </c>
      <c r="K771">
        <v>2532435.2403299999</v>
      </c>
      <c r="L771">
        <v>1154133.6442100001</v>
      </c>
      <c r="M771">
        <v>405.7</v>
      </c>
      <c r="N771" t="s">
        <v>1814</v>
      </c>
    </row>
    <row r="772" spans="1:14" x14ac:dyDescent="0.25">
      <c r="A772">
        <v>8512030</v>
      </c>
      <c r="B772" t="s">
        <v>1815</v>
      </c>
      <c r="C772" t="s">
        <v>242</v>
      </c>
      <c r="D772" t="s">
        <v>86</v>
      </c>
      <c r="E772" t="s">
        <v>87</v>
      </c>
      <c r="F772" t="s">
        <v>1742</v>
      </c>
      <c r="G772">
        <v>5635</v>
      </c>
      <c r="H772" t="s">
        <v>1743</v>
      </c>
      <c r="I772" t="s">
        <v>243</v>
      </c>
      <c r="K772">
        <v>2533370.8941299999</v>
      </c>
      <c r="L772">
        <v>1154524.01419</v>
      </c>
      <c r="M772">
        <v>406.6</v>
      </c>
      <c r="N772" t="s">
        <v>1816</v>
      </c>
    </row>
    <row r="773" spans="1:14" x14ac:dyDescent="0.25">
      <c r="A773">
        <v>8501218</v>
      </c>
      <c r="B773" t="s">
        <v>1817</v>
      </c>
      <c r="C773" t="s">
        <v>242</v>
      </c>
      <c r="D773" t="s">
        <v>1125</v>
      </c>
      <c r="E773" t="s">
        <v>87</v>
      </c>
      <c r="F773" t="s">
        <v>1742</v>
      </c>
      <c r="G773">
        <v>5635</v>
      </c>
      <c r="H773" t="s">
        <v>1743</v>
      </c>
      <c r="I773" t="s">
        <v>243</v>
      </c>
      <c r="K773">
        <v>2533641</v>
      </c>
      <c r="L773">
        <v>1154414</v>
      </c>
      <c r="M773">
        <v>417</v>
      </c>
      <c r="N773" t="s">
        <v>1818</v>
      </c>
    </row>
    <row r="774" spans="1:14" x14ac:dyDescent="0.25">
      <c r="A774">
        <v>8501213</v>
      </c>
      <c r="B774" t="s">
        <v>1819</v>
      </c>
      <c r="C774" t="s">
        <v>242</v>
      </c>
      <c r="D774" t="s">
        <v>1125</v>
      </c>
      <c r="E774" t="s">
        <v>87</v>
      </c>
      <c r="F774" t="s">
        <v>1742</v>
      </c>
      <c r="G774">
        <v>5635</v>
      </c>
      <c r="H774" t="s">
        <v>52</v>
      </c>
      <c r="I774" t="s">
        <v>243</v>
      </c>
      <c r="K774">
        <v>2533622</v>
      </c>
      <c r="L774">
        <v>1152717</v>
      </c>
      <c r="M774">
        <v>391</v>
      </c>
      <c r="N774" t="s">
        <v>1820</v>
      </c>
    </row>
    <row r="775" spans="1:14" x14ac:dyDescent="0.25">
      <c r="A775">
        <v>8512020</v>
      </c>
      <c r="B775" t="s">
        <v>1821</v>
      </c>
      <c r="C775" t="s">
        <v>242</v>
      </c>
      <c r="D775" t="s">
        <v>86</v>
      </c>
      <c r="E775" t="s">
        <v>87</v>
      </c>
      <c r="F775" t="s">
        <v>1742</v>
      </c>
      <c r="G775">
        <v>5635</v>
      </c>
      <c r="H775" t="s">
        <v>1743</v>
      </c>
      <c r="I775" t="s">
        <v>243</v>
      </c>
      <c r="K775">
        <v>2531682.2920900001</v>
      </c>
      <c r="L775">
        <v>1152213.92246</v>
      </c>
      <c r="M775">
        <v>393.4</v>
      </c>
      <c r="N775" t="s">
        <v>1822</v>
      </c>
    </row>
    <row r="776" spans="1:14" x14ac:dyDescent="0.25">
      <c r="A776">
        <v>8512024</v>
      </c>
      <c r="B776" t="s">
        <v>1823</v>
      </c>
      <c r="C776" t="s">
        <v>242</v>
      </c>
      <c r="D776" t="s">
        <v>86</v>
      </c>
      <c r="E776" t="s">
        <v>87</v>
      </c>
      <c r="F776" t="s">
        <v>1742</v>
      </c>
      <c r="G776">
        <v>5635</v>
      </c>
      <c r="H776" t="s">
        <v>1743</v>
      </c>
      <c r="I776" t="s">
        <v>243</v>
      </c>
      <c r="K776">
        <v>2532907.6830899999</v>
      </c>
      <c r="L776">
        <v>1153113.56929</v>
      </c>
      <c r="M776">
        <v>407</v>
      </c>
      <c r="N776" t="s">
        <v>1824</v>
      </c>
    </row>
    <row r="777" spans="1:14" x14ac:dyDescent="0.25">
      <c r="A777">
        <v>8512026</v>
      </c>
      <c r="B777" t="s">
        <v>1825</v>
      </c>
      <c r="C777" t="s">
        <v>242</v>
      </c>
      <c r="D777" t="s">
        <v>86</v>
      </c>
      <c r="E777" t="s">
        <v>87</v>
      </c>
      <c r="F777" t="s">
        <v>1742</v>
      </c>
      <c r="G777">
        <v>5635</v>
      </c>
      <c r="H777" t="s">
        <v>1743</v>
      </c>
      <c r="I777" t="s">
        <v>243</v>
      </c>
      <c r="K777">
        <v>2532628.9477300001</v>
      </c>
      <c r="L777">
        <v>1153819.39705</v>
      </c>
      <c r="M777">
        <v>426.9</v>
      </c>
      <c r="N777" t="s">
        <v>1826</v>
      </c>
    </row>
    <row r="778" spans="1:14" x14ac:dyDescent="0.25">
      <c r="A778">
        <v>8512027</v>
      </c>
      <c r="B778" t="s">
        <v>1827</v>
      </c>
      <c r="C778" t="s">
        <v>242</v>
      </c>
      <c r="D778" t="s">
        <v>86</v>
      </c>
      <c r="E778" t="s">
        <v>87</v>
      </c>
      <c r="F778" t="s">
        <v>1742</v>
      </c>
      <c r="G778">
        <v>5635</v>
      </c>
      <c r="H778" t="s">
        <v>1743</v>
      </c>
      <c r="I778" t="s">
        <v>243</v>
      </c>
      <c r="K778">
        <v>2533085.61454</v>
      </c>
      <c r="L778">
        <v>1153821.48539</v>
      </c>
      <c r="M778">
        <v>400</v>
      </c>
      <c r="N778" t="s">
        <v>1828</v>
      </c>
    </row>
    <row r="779" spans="1:14" x14ac:dyDescent="0.25">
      <c r="A779">
        <v>8510727</v>
      </c>
      <c r="B779" t="s">
        <v>1829</v>
      </c>
      <c r="C779" t="s">
        <v>242</v>
      </c>
      <c r="D779" t="s">
        <v>86</v>
      </c>
      <c r="E779" t="s">
        <v>87</v>
      </c>
      <c r="F779" t="s">
        <v>1742</v>
      </c>
      <c r="G779">
        <v>5635</v>
      </c>
      <c r="H779" t="s">
        <v>52</v>
      </c>
      <c r="I779" t="s">
        <v>243</v>
      </c>
      <c r="K779">
        <v>2532850.4670899999</v>
      </c>
      <c r="L779">
        <v>1152239.5379000001</v>
      </c>
      <c r="M779">
        <v>396</v>
      </c>
      <c r="N779" t="s">
        <v>1830</v>
      </c>
    </row>
    <row r="780" spans="1:14" x14ac:dyDescent="0.25">
      <c r="A780">
        <v>8512021</v>
      </c>
      <c r="B780" t="s">
        <v>1831</v>
      </c>
      <c r="C780" t="s">
        <v>242</v>
      </c>
      <c r="D780" t="s">
        <v>86</v>
      </c>
      <c r="E780" t="s">
        <v>87</v>
      </c>
      <c r="F780" t="s">
        <v>1742</v>
      </c>
      <c r="G780">
        <v>5635</v>
      </c>
      <c r="H780" t="s">
        <v>1743</v>
      </c>
      <c r="I780" t="s">
        <v>243</v>
      </c>
      <c r="K780">
        <v>2532069.24694</v>
      </c>
      <c r="L780">
        <v>1152892.5728199999</v>
      </c>
      <c r="M780">
        <v>398.5</v>
      </c>
      <c r="N780" t="s">
        <v>1832</v>
      </c>
    </row>
    <row r="781" spans="1:14" x14ac:dyDescent="0.25">
      <c r="A781">
        <v>8512034</v>
      </c>
      <c r="B781" t="s">
        <v>1833</v>
      </c>
      <c r="C781" t="s">
        <v>242</v>
      </c>
      <c r="D781" t="s">
        <v>86</v>
      </c>
      <c r="E781" t="s">
        <v>87</v>
      </c>
      <c r="F781" t="s">
        <v>1742</v>
      </c>
      <c r="G781">
        <v>5635</v>
      </c>
      <c r="H781" t="s">
        <v>1743</v>
      </c>
      <c r="I781" t="s">
        <v>243</v>
      </c>
      <c r="K781">
        <v>2533685.6849199999</v>
      </c>
      <c r="L781">
        <v>1154375.5555799999</v>
      </c>
      <c r="M781">
        <v>414.2</v>
      </c>
      <c r="N781" t="s">
        <v>1834</v>
      </c>
    </row>
    <row r="782" spans="1:14" x14ac:dyDescent="0.25">
      <c r="A782">
        <v>8510528</v>
      </c>
      <c r="B782" t="s">
        <v>1835</v>
      </c>
      <c r="C782" t="s">
        <v>85</v>
      </c>
      <c r="D782" t="s">
        <v>86</v>
      </c>
      <c r="E782" t="s">
        <v>87</v>
      </c>
      <c r="F782" t="s">
        <v>1742</v>
      </c>
      <c r="G782">
        <v>5635</v>
      </c>
      <c r="H782" t="s">
        <v>1836</v>
      </c>
      <c r="I782" t="s">
        <v>89</v>
      </c>
      <c r="K782">
        <v>2532618.2762600002</v>
      </c>
      <c r="L782">
        <v>1151924.21398</v>
      </c>
      <c r="M782">
        <v>395.7</v>
      </c>
      <c r="N782" t="s">
        <v>1837</v>
      </c>
    </row>
    <row r="783" spans="1:14" x14ac:dyDescent="0.25">
      <c r="A783">
        <v>8587546</v>
      </c>
      <c r="B783" t="s">
        <v>1838</v>
      </c>
      <c r="C783" t="s">
        <v>242</v>
      </c>
      <c r="D783" t="s">
        <v>86</v>
      </c>
      <c r="E783" t="s">
        <v>87</v>
      </c>
      <c r="F783" t="s">
        <v>49</v>
      </c>
      <c r="G783">
        <v>5584</v>
      </c>
      <c r="H783" t="s">
        <v>49</v>
      </c>
      <c r="I783" t="s">
        <v>243</v>
      </c>
      <c r="K783">
        <v>2541876.4008399998</v>
      </c>
      <c r="L783">
        <v>1155906.05425</v>
      </c>
      <c r="M783">
        <v>816</v>
      </c>
      <c r="N783" t="s">
        <v>1839</v>
      </c>
    </row>
    <row r="784" spans="1:14" x14ac:dyDescent="0.25">
      <c r="A784">
        <v>8591962</v>
      </c>
      <c r="B784" t="s">
        <v>1840</v>
      </c>
      <c r="C784" t="s">
        <v>242</v>
      </c>
      <c r="D784" t="s">
        <v>86</v>
      </c>
      <c r="E784" t="s">
        <v>87</v>
      </c>
      <c r="F784" t="s">
        <v>49</v>
      </c>
      <c r="G784">
        <v>5584</v>
      </c>
      <c r="H784" t="s">
        <v>49</v>
      </c>
      <c r="I784" t="s">
        <v>243</v>
      </c>
      <c r="K784">
        <v>2541045</v>
      </c>
      <c r="L784">
        <v>1156245</v>
      </c>
      <c r="M784">
        <v>812</v>
      </c>
      <c r="N784" t="s">
        <v>1841</v>
      </c>
    </row>
    <row r="785" spans="1:14" x14ac:dyDescent="0.25">
      <c r="A785">
        <v>8591968</v>
      </c>
      <c r="B785" t="s">
        <v>1842</v>
      </c>
      <c r="C785" t="s">
        <v>242</v>
      </c>
      <c r="D785" t="s">
        <v>86</v>
      </c>
      <c r="E785" t="s">
        <v>87</v>
      </c>
      <c r="F785" t="s">
        <v>49</v>
      </c>
      <c r="G785">
        <v>5584</v>
      </c>
      <c r="H785" t="s">
        <v>49</v>
      </c>
      <c r="I785" t="s">
        <v>243</v>
      </c>
      <c r="K785">
        <v>2542135.3661799999</v>
      </c>
      <c r="L785">
        <v>1156183.06574</v>
      </c>
      <c r="M785">
        <v>824</v>
      </c>
      <c r="N785" t="s">
        <v>1843</v>
      </c>
    </row>
    <row r="786" spans="1:14" x14ac:dyDescent="0.25">
      <c r="A786">
        <v>8591964</v>
      </c>
      <c r="B786" t="s">
        <v>1844</v>
      </c>
      <c r="C786" t="s">
        <v>242</v>
      </c>
      <c r="D786" t="s">
        <v>86</v>
      </c>
      <c r="E786" t="s">
        <v>87</v>
      </c>
      <c r="F786" t="s">
        <v>49</v>
      </c>
      <c r="G786">
        <v>5584</v>
      </c>
      <c r="H786" t="s">
        <v>49</v>
      </c>
      <c r="I786" t="s">
        <v>243</v>
      </c>
      <c r="K786">
        <v>2539851.7092599999</v>
      </c>
      <c r="L786">
        <v>1155168.4252200001</v>
      </c>
      <c r="M786">
        <v>720</v>
      </c>
      <c r="N786" t="s">
        <v>1845</v>
      </c>
    </row>
    <row r="787" spans="1:14" x14ac:dyDescent="0.25">
      <c r="A787">
        <v>8591971</v>
      </c>
      <c r="B787" t="s">
        <v>1846</v>
      </c>
      <c r="C787" t="s">
        <v>242</v>
      </c>
      <c r="D787" t="s">
        <v>86</v>
      </c>
      <c r="E787" t="s">
        <v>87</v>
      </c>
      <c r="F787" t="s">
        <v>49</v>
      </c>
      <c r="G787">
        <v>5584</v>
      </c>
      <c r="H787" t="s">
        <v>49</v>
      </c>
      <c r="I787" t="s">
        <v>243</v>
      </c>
      <c r="K787">
        <v>2540112.8604299999</v>
      </c>
      <c r="L787">
        <v>1155099.18912</v>
      </c>
      <c r="M787">
        <v>716</v>
      </c>
      <c r="N787" t="s">
        <v>1847</v>
      </c>
    </row>
    <row r="788" spans="1:14" x14ac:dyDescent="0.25">
      <c r="A788">
        <v>8589525</v>
      </c>
      <c r="B788" t="s">
        <v>1848</v>
      </c>
      <c r="C788" t="s">
        <v>242</v>
      </c>
      <c r="D788" t="s">
        <v>86</v>
      </c>
      <c r="E788" t="s">
        <v>87</v>
      </c>
      <c r="F788" t="s">
        <v>49</v>
      </c>
      <c r="G788">
        <v>5584</v>
      </c>
      <c r="H788" t="s">
        <v>49</v>
      </c>
      <c r="I788" t="s">
        <v>243</v>
      </c>
      <c r="K788">
        <v>2540791</v>
      </c>
      <c r="L788">
        <v>1155095</v>
      </c>
      <c r="M788">
        <v>747</v>
      </c>
      <c r="N788" t="s">
        <v>1849</v>
      </c>
    </row>
    <row r="789" spans="1:14" x14ac:dyDescent="0.25">
      <c r="A789">
        <v>8593824</v>
      </c>
      <c r="B789" t="s">
        <v>1850</v>
      </c>
      <c r="C789" t="s">
        <v>242</v>
      </c>
      <c r="D789" t="s">
        <v>86</v>
      </c>
      <c r="E789" t="s">
        <v>87</v>
      </c>
      <c r="F789" t="s">
        <v>49</v>
      </c>
      <c r="G789">
        <v>5584</v>
      </c>
      <c r="H789" t="s">
        <v>49</v>
      </c>
      <c r="I789" t="s">
        <v>243</v>
      </c>
      <c r="J789" t="s">
        <v>1851</v>
      </c>
      <c r="K789">
        <v>2541415</v>
      </c>
      <c r="L789">
        <v>1156470</v>
      </c>
      <c r="M789">
        <v>834</v>
      </c>
      <c r="N789" t="s">
        <v>1852</v>
      </c>
    </row>
    <row r="790" spans="1:14" x14ac:dyDescent="0.25">
      <c r="A790">
        <v>8593819</v>
      </c>
      <c r="B790" t="s">
        <v>1853</v>
      </c>
      <c r="C790" t="s">
        <v>242</v>
      </c>
      <c r="D790" t="s">
        <v>86</v>
      </c>
      <c r="E790" t="s">
        <v>87</v>
      </c>
      <c r="F790" t="s">
        <v>49</v>
      </c>
      <c r="G790">
        <v>5584</v>
      </c>
      <c r="H790" t="s">
        <v>49</v>
      </c>
      <c r="I790" t="s">
        <v>243</v>
      </c>
      <c r="J790" t="s">
        <v>1851</v>
      </c>
      <c r="K790">
        <v>2540707.75061</v>
      </c>
      <c r="L790">
        <v>1156238.88387</v>
      </c>
      <c r="M790">
        <v>802</v>
      </c>
      <c r="N790" t="s">
        <v>1854</v>
      </c>
    </row>
    <row r="791" spans="1:14" x14ac:dyDescent="0.25">
      <c r="A791">
        <v>8591970</v>
      </c>
      <c r="B791" t="s">
        <v>1855</v>
      </c>
      <c r="C791" t="s">
        <v>242</v>
      </c>
      <c r="D791" t="s">
        <v>86</v>
      </c>
      <c r="E791" t="s">
        <v>87</v>
      </c>
      <c r="F791" t="s">
        <v>49</v>
      </c>
      <c r="G791">
        <v>5584</v>
      </c>
      <c r="H791" t="s">
        <v>49</v>
      </c>
      <c r="I791" t="s">
        <v>243</v>
      </c>
      <c r="K791">
        <v>2541241</v>
      </c>
      <c r="L791">
        <v>1155021</v>
      </c>
      <c r="M791">
        <v>765</v>
      </c>
      <c r="N791" t="s">
        <v>1856</v>
      </c>
    </row>
    <row r="792" spans="1:14" x14ac:dyDescent="0.25">
      <c r="A792">
        <v>8591969</v>
      </c>
      <c r="B792" t="s">
        <v>1857</v>
      </c>
      <c r="C792" t="s">
        <v>242</v>
      </c>
      <c r="D792" t="s">
        <v>86</v>
      </c>
      <c r="E792" t="s">
        <v>87</v>
      </c>
      <c r="F792" t="s">
        <v>49</v>
      </c>
      <c r="G792">
        <v>5584</v>
      </c>
      <c r="H792" t="s">
        <v>49</v>
      </c>
      <c r="I792" t="s">
        <v>243</v>
      </c>
      <c r="K792">
        <v>2540711</v>
      </c>
      <c r="L792">
        <v>1156155</v>
      </c>
      <c r="M792">
        <v>797</v>
      </c>
      <c r="N792" t="s">
        <v>1858</v>
      </c>
    </row>
    <row r="793" spans="1:14" x14ac:dyDescent="0.25">
      <c r="A793">
        <v>8591965</v>
      </c>
      <c r="B793" t="s">
        <v>1859</v>
      </c>
      <c r="C793" t="s">
        <v>242</v>
      </c>
      <c r="D793" t="s">
        <v>86</v>
      </c>
      <c r="E793" t="s">
        <v>87</v>
      </c>
      <c r="F793" t="s">
        <v>49</v>
      </c>
      <c r="G793">
        <v>5584</v>
      </c>
      <c r="H793" t="s">
        <v>49</v>
      </c>
      <c r="I793" t="s">
        <v>243</v>
      </c>
      <c r="K793">
        <v>2541317.6712799999</v>
      </c>
      <c r="L793">
        <v>1155626.46796</v>
      </c>
      <c r="M793">
        <v>791</v>
      </c>
      <c r="N793" t="s">
        <v>1860</v>
      </c>
    </row>
    <row r="794" spans="1:14" x14ac:dyDescent="0.25">
      <c r="A794">
        <v>8591967</v>
      </c>
      <c r="B794" t="s">
        <v>1861</v>
      </c>
      <c r="C794" t="s">
        <v>242</v>
      </c>
      <c r="D794" t="s">
        <v>86</v>
      </c>
      <c r="E794" t="s">
        <v>87</v>
      </c>
      <c r="F794" t="s">
        <v>49</v>
      </c>
      <c r="G794">
        <v>5584</v>
      </c>
      <c r="H794" t="s">
        <v>49</v>
      </c>
      <c r="I794" t="s">
        <v>243</v>
      </c>
      <c r="K794">
        <v>2541166</v>
      </c>
      <c r="L794">
        <v>1155782</v>
      </c>
      <c r="M794">
        <v>796</v>
      </c>
      <c r="N794" t="s">
        <v>1862</v>
      </c>
    </row>
    <row r="795" spans="1:14" x14ac:dyDescent="0.25">
      <c r="A795">
        <v>8593827</v>
      </c>
      <c r="B795" t="s">
        <v>1863</v>
      </c>
      <c r="C795" t="s">
        <v>242</v>
      </c>
      <c r="D795" t="s">
        <v>86</v>
      </c>
      <c r="E795" t="s">
        <v>87</v>
      </c>
      <c r="F795" t="s">
        <v>49</v>
      </c>
      <c r="G795">
        <v>5584</v>
      </c>
      <c r="H795" t="s">
        <v>49</v>
      </c>
      <c r="I795" t="s">
        <v>243</v>
      </c>
      <c r="J795" t="s">
        <v>1851</v>
      </c>
      <c r="K795">
        <v>2541517.0687199999</v>
      </c>
      <c r="L795">
        <v>1155159.5334999999</v>
      </c>
      <c r="M795">
        <v>807</v>
      </c>
      <c r="N795" t="s">
        <v>1864</v>
      </c>
    </row>
    <row r="796" spans="1:14" x14ac:dyDescent="0.25">
      <c r="A796">
        <v>8593825</v>
      </c>
      <c r="B796" t="s">
        <v>1865</v>
      </c>
      <c r="C796" t="s">
        <v>242</v>
      </c>
      <c r="D796" t="s">
        <v>86</v>
      </c>
      <c r="E796" t="s">
        <v>87</v>
      </c>
      <c r="F796" t="s">
        <v>49</v>
      </c>
      <c r="G796">
        <v>5584</v>
      </c>
      <c r="H796" t="s">
        <v>49</v>
      </c>
      <c r="I796" t="s">
        <v>243</v>
      </c>
      <c r="J796" t="s">
        <v>1851</v>
      </c>
      <c r="K796">
        <v>2540849</v>
      </c>
      <c r="L796">
        <v>1156973</v>
      </c>
      <c r="M796">
        <v>809</v>
      </c>
      <c r="N796" t="s">
        <v>1866</v>
      </c>
    </row>
    <row r="797" spans="1:14" x14ac:dyDescent="0.25">
      <c r="A797">
        <v>8593828</v>
      </c>
      <c r="B797" t="s">
        <v>1867</v>
      </c>
      <c r="C797" t="s">
        <v>242</v>
      </c>
      <c r="D797" t="s">
        <v>86</v>
      </c>
      <c r="E797" t="s">
        <v>87</v>
      </c>
      <c r="F797" t="s">
        <v>49</v>
      </c>
      <c r="G797">
        <v>5584</v>
      </c>
      <c r="H797" t="s">
        <v>49</v>
      </c>
      <c r="I797" t="s">
        <v>243</v>
      </c>
      <c r="J797" t="s">
        <v>1851</v>
      </c>
      <c r="K797">
        <v>2541582</v>
      </c>
      <c r="L797">
        <v>1156073</v>
      </c>
      <c r="M797">
        <v>835</v>
      </c>
      <c r="N797" t="s">
        <v>1868</v>
      </c>
    </row>
    <row r="798" spans="1:14" x14ac:dyDescent="0.25">
      <c r="A798">
        <v>8593821</v>
      </c>
      <c r="B798" t="s">
        <v>1869</v>
      </c>
      <c r="C798" t="s">
        <v>242</v>
      </c>
      <c r="D798" t="s">
        <v>86</v>
      </c>
      <c r="E798" t="s">
        <v>87</v>
      </c>
      <c r="F798" t="s">
        <v>49</v>
      </c>
      <c r="G798">
        <v>5584</v>
      </c>
      <c r="H798" t="s">
        <v>49</v>
      </c>
      <c r="I798" t="s">
        <v>243</v>
      </c>
      <c r="K798">
        <v>2541398</v>
      </c>
      <c r="L798">
        <v>1155548</v>
      </c>
      <c r="M798">
        <v>786</v>
      </c>
      <c r="N798" t="s">
        <v>1870</v>
      </c>
    </row>
    <row r="799" spans="1:14" x14ac:dyDescent="0.25">
      <c r="A799">
        <v>8579239</v>
      </c>
      <c r="B799" t="s">
        <v>1871</v>
      </c>
      <c r="C799" t="s">
        <v>242</v>
      </c>
      <c r="D799" t="s">
        <v>1125</v>
      </c>
      <c r="E799" t="s">
        <v>87</v>
      </c>
      <c r="F799" t="s">
        <v>49</v>
      </c>
      <c r="G799">
        <v>5584</v>
      </c>
      <c r="H799" t="s">
        <v>49</v>
      </c>
      <c r="I799" t="s">
        <v>243</v>
      </c>
      <c r="K799">
        <v>2540394.4973599999</v>
      </c>
      <c r="L799">
        <v>1154941.15197</v>
      </c>
      <c r="M799">
        <v>718</v>
      </c>
      <c r="N799" t="s">
        <v>1872</v>
      </c>
    </row>
    <row r="800" spans="1:14" x14ac:dyDescent="0.25">
      <c r="A800">
        <v>8511383</v>
      </c>
      <c r="B800" t="s">
        <v>1873</v>
      </c>
      <c r="C800" t="s">
        <v>242</v>
      </c>
      <c r="D800" t="s">
        <v>86</v>
      </c>
      <c r="E800" t="s">
        <v>87</v>
      </c>
      <c r="F800" t="s">
        <v>49</v>
      </c>
      <c r="G800">
        <v>5584</v>
      </c>
      <c r="H800" t="s">
        <v>49</v>
      </c>
      <c r="I800" t="s">
        <v>243</v>
      </c>
      <c r="K800">
        <v>2540168.1784999999</v>
      </c>
      <c r="L800">
        <v>1155118.55712</v>
      </c>
      <c r="M800">
        <v>715</v>
      </c>
      <c r="N800" t="s">
        <v>1874</v>
      </c>
    </row>
    <row r="801" spans="1:14" x14ac:dyDescent="0.25">
      <c r="A801">
        <v>8511382</v>
      </c>
      <c r="B801" t="s">
        <v>1875</v>
      </c>
      <c r="C801" t="s">
        <v>242</v>
      </c>
      <c r="D801" t="s">
        <v>86</v>
      </c>
      <c r="E801" t="s">
        <v>87</v>
      </c>
      <c r="F801" t="s">
        <v>49</v>
      </c>
      <c r="G801">
        <v>5584</v>
      </c>
      <c r="H801" t="s">
        <v>49</v>
      </c>
      <c r="I801" t="s">
        <v>243</v>
      </c>
      <c r="K801">
        <v>2540495.4549500002</v>
      </c>
      <c r="L801">
        <v>1156645.46251</v>
      </c>
      <c r="M801">
        <v>791</v>
      </c>
      <c r="N801" t="s">
        <v>1876</v>
      </c>
    </row>
    <row r="802" spans="1:14" x14ac:dyDescent="0.25">
      <c r="A802">
        <v>8593826</v>
      </c>
      <c r="B802" t="s">
        <v>1877</v>
      </c>
      <c r="C802" t="s">
        <v>242</v>
      </c>
      <c r="D802" t="s">
        <v>86</v>
      </c>
      <c r="E802" t="s">
        <v>87</v>
      </c>
      <c r="F802" t="s">
        <v>49</v>
      </c>
      <c r="G802">
        <v>5584</v>
      </c>
      <c r="H802" t="s">
        <v>49</v>
      </c>
      <c r="I802" t="s">
        <v>243</v>
      </c>
      <c r="J802" t="s">
        <v>1851</v>
      </c>
      <c r="K802">
        <v>2541159</v>
      </c>
      <c r="L802">
        <v>1154749</v>
      </c>
      <c r="M802">
        <v>754</v>
      </c>
      <c r="N802" t="s">
        <v>1878</v>
      </c>
    </row>
    <row r="803" spans="1:14" x14ac:dyDescent="0.25">
      <c r="A803">
        <v>8591963</v>
      </c>
      <c r="B803" t="s">
        <v>1879</v>
      </c>
      <c r="C803" t="s">
        <v>242</v>
      </c>
      <c r="D803" t="s">
        <v>86</v>
      </c>
      <c r="E803" t="s">
        <v>87</v>
      </c>
      <c r="F803" t="s">
        <v>49</v>
      </c>
      <c r="G803">
        <v>5584</v>
      </c>
      <c r="H803" t="s">
        <v>49</v>
      </c>
      <c r="I803" t="s">
        <v>243</v>
      </c>
      <c r="K803">
        <v>2540931</v>
      </c>
      <c r="L803">
        <v>1155977</v>
      </c>
      <c r="M803">
        <v>795</v>
      </c>
      <c r="N803" t="s">
        <v>1880</v>
      </c>
    </row>
    <row r="804" spans="1:14" x14ac:dyDescent="0.25">
      <c r="A804">
        <v>8591966</v>
      </c>
      <c r="B804" t="s">
        <v>1881</v>
      </c>
      <c r="C804" t="s">
        <v>242</v>
      </c>
      <c r="D804" t="s">
        <v>86</v>
      </c>
      <c r="E804" t="s">
        <v>87</v>
      </c>
      <c r="F804" t="s">
        <v>49</v>
      </c>
      <c r="G804">
        <v>5584</v>
      </c>
      <c r="H804" t="s">
        <v>49</v>
      </c>
      <c r="I804" t="s">
        <v>243</v>
      </c>
      <c r="K804">
        <v>2541117</v>
      </c>
      <c r="L804">
        <v>1155439</v>
      </c>
      <c r="M804">
        <v>787</v>
      </c>
      <c r="N804" t="s">
        <v>1882</v>
      </c>
    </row>
    <row r="805" spans="1:14" x14ac:dyDescent="0.25">
      <c r="A805">
        <v>8593820</v>
      </c>
      <c r="B805" t="s">
        <v>1883</v>
      </c>
      <c r="C805" t="s">
        <v>242</v>
      </c>
      <c r="D805" t="s">
        <v>86</v>
      </c>
      <c r="E805" t="s">
        <v>87</v>
      </c>
      <c r="F805" t="s">
        <v>49</v>
      </c>
      <c r="G805">
        <v>5584</v>
      </c>
      <c r="H805" t="s">
        <v>49</v>
      </c>
      <c r="I805" t="s">
        <v>243</v>
      </c>
      <c r="J805" t="s">
        <v>1851</v>
      </c>
      <c r="K805">
        <v>2540197.6103599998</v>
      </c>
      <c r="L805">
        <v>1155513.88937</v>
      </c>
      <c r="M805">
        <v>716</v>
      </c>
      <c r="N805" t="s">
        <v>1884</v>
      </c>
    </row>
    <row r="806" spans="1:14" x14ac:dyDescent="0.25">
      <c r="A806">
        <v>8593822</v>
      </c>
      <c r="B806" t="s">
        <v>1885</v>
      </c>
      <c r="C806" t="s">
        <v>242</v>
      </c>
      <c r="D806" t="s">
        <v>86</v>
      </c>
      <c r="E806" t="s">
        <v>87</v>
      </c>
      <c r="F806" t="s">
        <v>49</v>
      </c>
      <c r="G806">
        <v>5584</v>
      </c>
      <c r="H806" t="s">
        <v>49</v>
      </c>
      <c r="I806" t="s">
        <v>243</v>
      </c>
      <c r="J806" t="s">
        <v>1851</v>
      </c>
      <c r="K806">
        <v>2540455.97352</v>
      </c>
      <c r="L806">
        <v>1155859.53345</v>
      </c>
      <c r="M806">
        <v>769</v>
      </c>
      <c r="N806" t="s">
        <v>1886</v>
      </c>
    </row>
    <row r="807" spans="1:14" x14ac:dyDescent="0.25">
      <c r="A807">
        <v>8511098</v>
      </c>
      <c r="B807" t="s">
        <v>1887</v>
      </c>
      <c r="C807" t="s">
        <v>94</v>
      </c>
      <c r="D807" t="s">
        <v>86</v>
      </c>
      <c r="E807" t="s">
        <v>87</v>
      </c>
      <c r="F807" t="s">
        <v>1888</v>
      </c>
      <c r="G807">
        <v>5914</v>
      </c>
      <c r="H807" t="s">
        <v>1889</v>
      </c>
      <c r="I807" t="s">
        <v>96</v>
      </c>
      <c r="K807">
        <v>2536513</v>
      </c>
      <c r="L807">
        <v>1177567</v>
      </c>
      <c r="M807">
        <v>440</v>
      </c>
      <c r="N807" t="s">
        <v>1890</v>
      </c>
    </row>
    <row r="808" spans="1:14" x14ac:dyDescent="0.25">
      <c r="A808">
        <v>8501110</v>
      </c>
      <c r="B808" t="s">
        <v>1889</v>
      </c>
      <c r="C808" t="s">
        <v>132</v>
      </c>
      <c r="D808" t="s">
        <v>112</v>
      </c>
      <c r="E808" t="s">
        <v>87</v>
      </c>
      <c r="F808" t="s">
        <v>1888</v>
      </c>
      <c r="G808">
        <v>5914</v>
      </c>
      <c r="H808" t="s">
        <v>1889</v>
      </c>
      <c r="I808" t="s">
        <v>133</v>
      </c>
      <c r="K808">
        <v>2536501.324</v>
      </c>
      <c r="L808">
        <v>1177584.6839999999</v>
      </c>
      <c r="M808">
        <v>439.95</v>
      </c>
      <c r="N808" t="s">
        <v>1891</v>
      </c>
    </row>
    <row r="809" spans="1:14" x14ac:dyDescent="0.25">
      <c r="A809">
        <v>8501860</v>
      </c>
      <c r="B809" t="s">
        <v>1892</v>
      </c>
      <c r="C809" t="s">
        <v>94</v>
      </c>
      <c r="D809" t="s">
        <v>86</v>
      </c>
      <c r="E809" t="s">
        <v>87</v>
      </c>
      <c r="F809" t="s">
        <v>1893</v>
      </c>
      <c r="G809">
        <v>5856</v>
      </c>
      <c r="H809" t="s">
        <v>1893</v>
      </c>
      <c r="I809" t="s">
        <v>96</v>
      </c>
      <c r="K809">
        <v>2513927</v>
      </c>
      <c r="L809">
        <v>1149693</v>
      </c>
      <c r="M809">
        <v>726</v>
      </c>
      <c r="N809" t="s">
        <v>1894</v>
      </c>
    </row>
    <row r="810" spans="1:14" x14ac:dyDescent="0.25">
      <c r="A810">
        <v>8579691</v>
      </c>
      <c r="B810" t="s">
        <v>1895</v>
      </c>
      <c r="C810" t="s">
        <v>94</v>
      </c>
      <c r="D810" t="s">
        <v>86</v>
      </c>
      <c r="E810" t="s">
        <v>87</v>
      </c>
      <c r="F810" t="s">
        <v>1893</v>
      </c>
      <c r="G810">
        <v>5856</v>
      </c>
      <c r="H810" t="s">
        <v>1893</v>
      </c>
      <c r="I810" t="s">
        <v>96</v>
      </c>
      <c r="K810">
        <v>2514321</v>
      </c>
      <c r="L810">
        <v>1149744</v>
      </c>
      <c r="M810">
        <v>694</v>
      </c>
      <c r="N810" t="s">
        <v>1896</v>
      </c>
    </row>
    <row r="811" spans="1:14" x14ac:dyDescent="0.25">
      <c r="A811">
        <v>8507675</v>
      </c>
      <c r="B811" t="s">
        <v>1897</v>
      </c>
      <c r="C811" t="s">
        <v>94</v>
      </c>
      <c r="D811" t="s">
        <v>86</v>
      </c>
      <c r="E811" t="s">
        <v>87</v>
      </c>
      <c r="F811" t="s">
        <v>1898</v>
      </c>
      <c r="G811">
        <v>5520</v>
      </c>
      <c r="H811" t="s">
        <v>1899</v>
      </c>
      <c r="I811" t="s">
        <v>96</v>
      </c>
      <c r="K811">
        <v>2539003</v>
      </c>
      <c r="L811">
        <v>1176683</v>
      </c>
      <c r="M811">
        <v>513</v>
      </c>
      <c r="N811" t="s">
        <v>1900</v>
      </c>
    </row>
    <row r="812" spans="1:14" x14ac:dyDescent="0.25">
      <c r="A812">
        <v>8583030</v>
      </c>
      <c r="B812" t="s">
        <v>1901</v>
      </c>
      <c r="C812" t="s">
        <v>94</v>
      </c>
      <c r="D812" t="s">
        <v>86</v>
      </c>
      <c r="E812" t="s">
        <v>87</v>
      </c>
      <c r="F812" t="s">
        <v>1898</v>
      </c>
      <c r="G812">
        <v>5520</v>
      </c>
      <c r="H812" t="s">
        <v>1898</v>
      </c>
      <c r="I812" t="s">
        <v>96</v>
      </c>
      <c r="K812">
        <v>2538908</v>
      </c>
      <c r="L812">
        <v>1174154</v>
      </c>
      <c r="M812">
        <v>600</v>
      </c>
      <c r="N812" t="s">
        <v>1902</v>
      </c>
    </row>
    <row r="813" spans="1:14" x14ac:dyDescent="0.25">
      <c r="A813">
        <v>8587727</v>
      </c>
      <c r="B813" t="s">
        <v>1903</v>
      </c>
      <c r="C813" t="s">
        <v>238</v>
      </c>
      <c r="D813" t="s">
        <v>112</v>
      </c>
      <c r="E813" t="s">
        <v>87</v>
      </c>
      <c r="F813" t="s">
        <v>50</v>
      </c>
      <c r="G813">
        <v>5521</v>
      </c>
      <c r="H813" t="s">
        <v>50</v>
      </c>
      <c r="I813" t="s">
        <v>239</v>
      </c>
      <c r="K813">
        <v>2536349.9169999999</v>
      </c>
      <c r="L813">
        <v>1160440.5290000001</v>
      </c>
      <c r="M813">
        <v>623.70000000000005</v>
      </c>
      <c r="N813" t="s">
        <v>1904</v>
      </c>
    </row>
    <row r="814" spans="1:14" x14ac:dyDescent="0.25">
      <c r="A814">
        <v>8507626</v>
      </c>
      <c r="B814" t="s">
        <v>1905</v>
      </c>
      <c r="C814" t="s">
        <v>242</v>
      </c>
      <c r="D814" t="s">
        <v>86</v>
      </c>
      <c r="E814" t="s">
        <v>87</v>
      </c>
      <c r="F814" t="s">
        <v>50</v>
      </c>
      <c r="G814">
        <v>5521</v>
      </c>
      <c r="H814" t="s">
        <v>50</v>
      </c>
      <c r="I814" t="s">
        <v>243</v>
      </c>
      <c r="K814">
        <v>2536719</v>
      </c>
      <c r="L814">
        <v>1161272</v>
      </c>
      <c r="M814">
        <v>628.6</v>
      </c>
      <c r="N814" t="s">
        <v>1906</v>
      </c>
    </row>
    <row r="815" spans="1:14" x14ac:dyDescent="0.25">
      <c r="A815">
        <v>8501171</v>
      </c>
      <c r="B815" t="s">
        <v>50</v>
      </c>
      <c r="C815" t="s">
        <v>238</v>
      </c>
      <c r="D815" t="s">
        <v>112</v>
      </c>
      <c r="E815" t="s">
        <v>87</v>
      </c>
      <c r="F815" t="s">
        <v>50</v>
      </c>
      <c r="G815">
        <v>5521</v>
      </c>
      <c r="H815" t="s">
        <v>50</v>
      </c>
      <c r="I815" t="s">
        <v>239</v>
      </c>
      <c r="K815">
        <v>2536865.64481</v>
      </c>
      <c r="L815">
        <v>1161600.5609899999</v>
      </c>
      <c r="M815">
        <v>624.5</v>
      </c>
      <c r="N815" t="s">
        <v>1907</v>
      </c>
    </row>
    <row r="816" spans="1:14" x14ac:dyDescent="0.25">
      <c r="A816">
        <v>8577520</v>
      </c>
      <c r="B816" t="s">
        <v>1908</v>
      </c>
      <c r="C816" t="s">
        <v>94</v>
      </c>
      <c r="D816" t="s">
        <v>86</v>
      </c>
      <c r="E816" t="s">
        <v>87</v>
      </c>
      <c r="F816" t="s">
        <v>1909</v>
      </c>
      <c r="G816">
        <v>5636</v>
      </c>
      <c r="H816" t="s">
        <v>1909</v>
      </c>
      <c r="I816" t="s">
        <v>96</v>
      </c>
      <c r="K816">
        <v>2521615</v>
      </c>
      <c r="L816">
        <v>1149411</v>
      </c>
      <c r="M816">
        <v>478</v>
      </c>
      <c r="N816" t="s">
        <v>1910</v>
      </c>
    </row>
    <row r="817" spans="1:14" x14ac:dyDescent="0.25">
      <c r="A817">
        <v>8577558</v>
      </c>
      <c r="B817" t="s">
        <v>1911</v>
      </c>
      <c r="C817" t="s">
        <v>94</v>
      </c>
      <c r="D817" t="s">
        <v>86</v>
      </c>
      <c r="E817" t="s">
        <v>87</v>
      </c>
      <c r="F817" t="s">
        <v>1909</v>
      </c>
      <c r="G817">
        <v>5636</v>
      </c>
      <c r="H817" t="s">
        <v>1909</v>
      </c>
      <c r="I817" t="s">
        <v>96</v>
      </c>
      <c r="K817">
        <v>2521478</v>
      </c>
      <c r="L817">
        <v>1148512</v>
      </c>
      <c r="M817">
        <v>439</v>
      </c>
      <c r="N817" t="s">
        <v>1912</v>
      </c>
    </row>
    <row r="818" spans="1:14" x14ac:dyDescent="0.25">
      <c r="A818">
        <v>8501042</v>
      </c>
      <c r="B818" t="s">
        <v>1909</v>
      </c>
      <c r="C818" t="s">
        <v>132</v>
      </c>
      <c r="D818" t="s">
        <v>112</v>
      </c>
      <c r="E818" t="s">
        <v>87</v>
      </c>
      <c r="F818" t="s">
        <v>1909</v>
      </c>
      <c r="G818">
        <v>5636</v>
      </c>
      <c r="H818" t="s">
        <v>1909</v>
      </c>
      <c r="I818" t="s">
        <v>133</v>
      </c>
      <c r="K818">
        <v>2522317.7719999999</v>
      </c>
      <c r="L818">
        <v>1147596.371</v>
      </c>
      <c r="M818">
        <v>406.49</v>
      </c>
      <c r="N818" t="s">
        <v>1913</v>
      </c>
    </row>
    <row r="819" spans="1:14" x14ac:dyDescent="0.25">
      <c r="A819">
        <v>8577557</v>
      </c>
      <c r="B819" t="s">
        <v>1914</v>
      </c>
      <c r="C819" t="s">
        <v>94</v>
      </c>
      <c r="D819" t="s">
        <v>86</v>
      </c>
      <c r="E819" t="s">
        <v>87</v>
      </c>
      <c r="F819" t="s">
        <v>1909</v>
      </c>
      <c r="G819">
        <v>5636</v>
      </c>
      <c r="H819" t="s">
        <v>1909</v>
      </c>
      <c r="I819" t="s">
        <v>96</v>
      </c>
      <c r="K819">
        <v>2521745</v>
      </c>
      <c r="L819">
        <v>1148836</v>
      </c>
      <c r="M819">
        <v>454</v>
      </c>
      <c r="N819" t="s">
        <v>1915</v>
      </c>
    </row>
    <row r="820" spans="1:14" x14ac:dyDescent="0.25">
      <c r="A820">
        <v>8577593</v>
      </c>
      <c r="B820" t="s">
        <v>1916</v>
      </c>
      <c r="C820" t="s">
        <v>94</v>
      </c>
      <c r="D820" t="s">
        <v>86</v>
      </c>
      <c r="E820" t="s">
        <v>87</v>
      </c>
      <c r="F820" t="s">
        <v>1909</v>
      </c>
      <c r="G820">
        <v>5636</v>
      </c>
      <c r="H820" t="s">
        <v>1909</v>
      </c>
      <c r="I820" t="s">
        <v>96</v>
      </c>
      <c r="K820">
        <v>2522291</v>
      </c>
      <c r="L820">
        <v>1147290</v>
      </c>
      <c r="M820">
        <v>396</v>
      </c>
      <c r="N820" t="s">
        <v>1917</v>
      </c>
    </row>
    <row r="821" spans="1:14" x14ac:dyDescent="0.25">
      <c r="A821">
        <v>8577562</v>
      </c>
      <c r="B821" t="s">
        <v>1918</v>
      </c>
      <c r="C821" t="s">
        <v>94</v>
      </c>
      <c r="D821" t="s">
        <v>86</v>
      </c>
      <c r="E821" t="s">
        <v>87</v>
      </c>
      <c r="F821" t="s">
        <v>1909</v>
      </c>
      <c r="G821">
        <v>5636</v>
      </c>
      <c r="H821" t="s">
        <v>1909</v>
      </c>
      <c r="I821" t="s">
        <v>96</v>
      </c>
      <c r="K821">
        <v>2521324</v>
      </c>
      <c r="L821">
        <v>1148066</v>
      </c>
      <c r="M821">
        <v>422</v>
      </c>
      <c r="N821" t="s">
        <v>1919</v>
      </c>
    </row>
    <row r="822" spans="1:14" x14ac:dyDescent="0.25">
      <c r="A822">
        <v>8577555</v>
      </c>
      <c r="B822" t="s">
        <v>1920</v>
      </c>
      <c r="C822" t="s">
        <v>94</v>
      </c>
      <c r="D822" t="s">
        <v>86</v>
      </c>
      <c r="E822" t="s">
        <v>87</v>
      </c>
      <c r="F822" t="s">
        <v>1909</v>
      </c>
      <c r="G822">
        <v>5636</v>
      </c>
      <c r="H822" t="s">
        <v>1909</v>
      </c>
      <c r="I822" t="s">
        <v>96</v>
      </c>
      <c r="K822">
        <v>2521748</v>
      </c>
      <c r="L822">
        <v>1149177</v>
      </c>
      <c r="M822">
        <v>465</v>
      </c>
      <c r="N822" t="s">
        <v>1921</v>
      </c>
    </row>
    <row r="823" spans="1:14" x14ac:dyDescent="0.25">
      <c r="A823">
        <v>8577604</v>
      </c>
      <c r="B823" t="s">
        <v>1922</v>
      </c>
      <c r="C823" t="s">
        <v>94</v>
      </c>
      <c r="D823" t="s">
        <v>86</v>
      </c>
      <c r="E823" t="s">
        <v>87</v>
      </c>
      <c r="F823" t="s">
        <v>1909</v>
      </c>
      <c r="G823">
        <v>5636</v>
      </c>
      <c r="H823" t="s">
        <v>1909</v>
      </c>
      <c r="I823" t="s">
        <v>96</v>
      </c>
      <c r="K823">
        <v>2522238</v>
      </c>
      <c r="L823">
        <v>1147593</v>
      </c>
      <c r="M823">
        <v>405</v>
      </c>
      <c r="N823" t="s">
        <v>1923</v>
      </c>
    </row>
    <row r="824" spans="1:14" x14ac:dyDescent="0.25">
      <c r="A824">
        <v>8577590</v>
      </c>
      <c r="B824" t="s">
        <v>1924</v>
      </c>
      <c r="C824" t="s">
        <v>94</v>
      </c>
      <c r="D824" t="s">
        <v>86</v>
      </c>
      <c r="E824" t="s">
        <v>87</v>
      </c>
      <c r="F824" t="s">
        <v>1909</v>
      </c>
      <c r="G824">
        <v>5636</v>
      </c>
      <c r="H824" t="s">
        <v>1909</v>
      </c>
      <c r="I824" t="s">
        <v>96</v>
      </c>
      <c r="K824">
        <v>2521218</v>
      </c>
      <c r="L824">
        <v>1147604</v>
      </c>
      <c r="M824">
        <v>411</v>
      </c>
      <c r="N824" t="s">
        <v>1925</v>
      </c>
    </row>
    <row r="825" spans="1:14" x14ac:dyDescent="0.25">
      <c r="A825">
        <v>8506407</v>
      </c>
      <c r="B825" t="s">
        <v>1926</v>
      </c>
      <c r="C825" t="s">
        <v>85</v>
      </c>
      <c r="D825" t="s">
        <v>86</v>
      </c>
      <c r="E825" t="s">
        <v>87</v>
      </c>
      <c r="F825" t="s">
        <v>1909</v>
      </c>
      <c r="G825">
        <v>5636</v>
      </c>
      <c r="H825" t="s">
        <v>1909</v>
      </c>
      <c r="I825" t="s">
        <v>89</v>
      </c>
      <c r="K825">
        <v>2521235</v>
      </c>
      <c r="L825">
        <v>1147480</v>
      </c>
      <c r="M825">
        <v>411</v>
      </c>
      <c r="N825" t="s">
        <v>1927</v>
      </c>
    </row>
    <row r="826" spans="1:14" x14ac:dyDescent="0.25">
      <c r="A826">
        <v>8583358</v>
      </c>
      <c r="B826" t="s">
        <v>1928</v>
      </c>
      <c r="C826" t="s">
        <v>94</v>
      </c>
      <c r="D826" t="s">
        <v>86</v>
      </c>
      <c r="E826" t="s">
        <v>87</v>
      </c>
      <c r="F826" t="s">
        <v>1909</v>
      </c>
      <c r="G826">
        <v>5636</v>
      </c>
      <c r="H826" t="s">
        <v>1909</v>
      </c>
      <c r="I826" t="s">
        <v>96</v>
      </c>
      <c r="K826">
        <v>2522012</v>
      </c>
      <c r="L826">
        <v>1148435</v>
      </c>
      <c r="M826">
        <v>432</v>
      </c>
      <c r="N826" t="s">
        <v>1929</v>
      </c>
    </row>
    <row r="827" spans="1:14" x14ac:dyDescent="0.25">
      <c r="A827">
        <v>8594453</v>
      </c>
      <c r="B827" t="s">
        <v>1930</v>
      </c>
      <c r="C827" t="s">
        <v>85</v>
      </c>
      <c r="D827" t="s">
        <v>86</v>
      </c>
      <c r="E827" t="s">
        <v>87</v>
      </c>
      <c r="F827" t="s">
        <v>1909</v>
      </c>
      <c r="G827">
        <v>5636</v>
      </c>
      <c r="H827" t="s">
        <v>1909</v>
      </c>
      <c r="I827" t="s">
        <v>89</v>
      </c>
      <c r="K827">
        <v>2521673</v>
      </c>
      <c r="L827">
        <v>1147499</v>
      </c>
      <c r="M827">
        <v>407</v>
      </c>
      <c r="N827" t="s">
        <v>1931</v>
      </c>
    </row>
    <row r="828" spans="1:14" x14ac:dyDescent="0.25">
      <c r="A828">
        <v>8579308</v>
      </c>
      <c r="B828" t="s">
        <v>1932</v>
      </c>
      <c r="C828" t="s">
        <v>206</v>
      </c>
      <c r="D828" t="s">
        <v>86</v>
      </c>
      <c r="E828" t="s">
        <v>87</v>
      </c>
      <c r="F828" t="s">
        <v>1933</v>
      </c>
      <c r="G828">
        <v>5716</v>
      </c>
      <c r="H828" t="s">
        <v>1933</v>
      </c>
      <c r="I828" t="s">
        <v>208</v>
      </c>
      <c r="K828">
        <v>2505336</v>
      </c>
      <c r="L828">
        <v>1137649</v>
      </c>
      <c r="M828">
        <v>436</v>
      </c>
      <c r="N828" t="s">
        <v>1934</v>
      </c>
    </row>
    <row r="829" spans="1:14" x14ac:dyDescent="0.25">
      <c r="A829">
        <v>8595202</v>
      </c>
      <c r="B829" t="s">
        <v>1935</v>
      </c>
      <c r="C829" t="s">
        <v>206</v>
      </c>
      <c r="D829" t="s">
        <v>86</v>
      </c>
      <c r="E829" t="s">
        <v>87</v>
      </c>
      <c r="F829" t="s">
        <v>1933</v>
      </c>
      <c r="G829">
        <v>5716</v>
      </c>
      <c r="H829" t="s">
        <v>1933</v>
      </c>
      <c r="I829" t="s">
        <v>208</v>
      </c>
      <c r="K829">
        <v>2505731</v>
      </c>
      <c r="L829">
        <v>1137533</v>
      </c>
      <c r="M829">
        <v>427</v>
      </c>
      <c r="N829" t="s">
        <v>1936</v>
      </c>
    </row>
    <row r="830" spans="1:14" x14ac:dyDescent="0.25">
      <c r="A830">
        <v>8595175</v>
      </c>
      <c r="B830" t="s">
        <v>1937</v>
      </c>
      <c r="C830" t="s">
        <v>206</v>
      </c>
      <c r="D830" t="s">
        <v>86</v>
      </c>
      <c r="E830" t="s">
        <v>87</v>
      </c>
      <c r="F830" t="s">
        <v>1933</v>
      </c>
      <c r="G830">
        <v>5716</v>
      </c>
      <c r="H830" t="s">
        <v>1933</v>
      </c>
      <c r="I830" t="s">
        <v>208</v>
      </c>
      <c r="K830">
        <v>2505124</v>
      </c>
      <c r="L830">
        <v>1137967</v>
      </c>
      <c r="M830">
        <v>443</v>
      </c>
      <c r="N830" t="s">
        <v>1938</v>
      </c>
    </row>
    <row r="831" spans="1:14" x14ac:dyDescent="0.25">
      <c r="A831">
        <v>8579309</v>
      </c>
      <c r="B831" t="s">
        <v>1939</v>
      </c>
      <c r="C831" t="s">
        <v>206</v>
      </c>
      <c r="D831" t="s">
        <v>86</v>
      </c>
      <c r="E831" t="s">
        <v>87</v>
      </c>
      <c r="F831" t="s">
        <v>1933</v>
      </c>
      <c r="G831">
        <v>5716</v>
      </c>
      <c r="H831" t="s">
        <v>1933</v>
      </c>
      <c r="I831" t="s">
        <v>208</v>
      </c>
      <c r="K831">
        <v>2505100</v>
      </c>
      <c r="L831">
        <v>1137369</v>
      </c>
      <c r="M831">
        <v>436</v>
      </c>
      <c r="N831" t="s">
        <v>1940</v>
      </c>
    </row>
    <row r="832" spans="1:14" x14ac:dyDescent="0.25">
      <c r="A832">
        <v>8516946</v>
      </c>
      <c r="B832" t="s">
        <v>1941</v>
      </c>
      <c r="C832" t="s">
        <v>132</v>
      </c>
      <c r="E832" t="s">
        <v>87</v>
      </c>
      <c r="F832" t="s">
        <v>1933</v>
      </c>
      <c r="G832">
        <v>5716</v>
      </c>
      <c r="H832" t="s">
        <v>1933</v>
      </c>
      <c r="I832" t="s">
        <v>133</v>
      </c>
      <c r="J832" t="s">
        <v>130</v>
      </c>
      <c r="K832">
        <v>2505019.449</v>
      </c>
      <c r="L832">
        <v>1137418.8689999999</v>
      </c>
      <c r="M832">
        <v>435</v>
      </c>
      <c r="N832" t="s">
        <v>1942</v>
      </c>
    </row>
    <row r="833" spans="1:14" x14ac:dyDescent="0.25">
      <c r="A833">
        <v>8594847</v>
      </c>
      <c r="B833" t="s">
        <v>1943</v>
      </c>
      <c r="C833" t="s">
        <v>1944</v>
      </c>
      <c r="D833" t="s">
        <v>86</v>
      </c>
      <c r="E833" t="s">
        <v>87</v>
      </c>
      <c r="F833" t="s">
        <v>1933</v>
      </c>
      <c r="G833">
        <v>5716</v>
      </c>
      <c r="H833" t="s">
        <v>1933</v>
      </c>
      <c r="I833" t="s">
        <v>1945</v>
      </c>
      <c r="K833">
        <v>2505783</v>
      </c>
      <c r="L833">
        <v>1137642</v>
      </c>
      <c r="M833">
        <v>428</v>
      </c>
      <c r="N833" t="s">
        <v>1946</v>
      </c>
    </row>
    <row r="834" spans="1:14" x14ac:dyDescent="0.25">
      <c r="A834">
        <v>8595905</v>
      </c>
      <c r="B834" t="s">
        <v>1947</v>
      </c>
      <c r="C834" t="s">
        <v>206</v>
      </c>
      <c r="D834" t="s">
        <v>86</v>
      </c>
      <c r="E834" t="s">
        <v>87</v>
      </c>
      <c r="F834" t="s">
        <v>1933</v>
      </c>
      <c r="G834">
        <v>5716</v>
      </c>
      <c r="H834" t="s">
        <v>1933</v>
      </c>
      <c r="I834" t="s">
        <v>208</v>
      </c>
      <c r="K834">
        <v>2505862</v>
      </c>
      <c r="L834">
        <v>1137839</v>
      </c>
      <c r="M834">
        <v>433</v>
      </c>
      <c r="N834" t="s">
        <v>1948</v>
      </c>
    </row>
    <row r="835" spans="1:14" x14ac:dyDescent="0.25">
      <c r="A835">
        <v>8510143</v>
      </c>
      <c r="B835" t="s">
        <v>1949</v>
      </c>
      <c r="C835" t="s">
        <v>297</v>
      </c>
      <c r="D835" t="s">
        <v>86</v>
      </c>
      <c r="E835" t="s">
        <v>87</v>
      </c>
      <c r="F835" t="s">
        <v>1950</v>
      </c>
      <c r="G835">
        <v>5458</v>
      </c>
      <c r="H835" t="s">
        <v>1950</v>
      </c>
      <c r="I835" t="s">
        <v>298</v>
      </c>
      <c r="K835">
        <v>2572294</v>
      </c>
      <c r="L835">
        <v>1195293</v>
      </c>
      <c r="M835">
        <v>434.9</v>
      </c>
      <c r="N835" t="s">
        <v>1951</v>
      </c>
    </row>
    <row r="836" spans="1:14" x14ac:dyDescent="0.25">
      <c r="A836">
        <v>8504127</v>
      </c>
      <c r="B836" t="s">
        <v>1950</v>
      </c>
      <c r="C836" t="s">
        <v>132</v>
      </c>
      <c r="D836" t="s">
        <v>112</v>
      </c>
      <c r="E836" t="s">
        <v>87</v>
      </c>
      <c r="F836" t="s">
        <v>1950</v>
      </c>
      <c r="G836">
        <v>5458</v>
      </c>
      <c r="H836" t="s">
        <v>1950</v>
      </c>
      <c r="I836" t="s">
        <v>133</v>
      </c>
      <c r="K836">
        <v>2572261.5438000001</v>
      </c>
      <c r="L836">
        <v>1195309.7165999999</v>
      </c>
      <c r="M836">
        <v>433.56700000000001</v>
      </c>
      <c r="N836" t="s">
        <v>1952</v>
      </c>
    </row>
    <row r="837" spans="1:14" x14ac:dyDescent="0.25">
      <c r="A837">
        <v>8530821</v>
      </c>
      <c r="B837" t="s">
        <v>1953</v>
      </c>
      <c r="C837" t="s">
        <v>301</v>
      </c>
      <c r="D837" t="s">
        <v>302</v>
      </c>
      <c r="E837" t="s">
        <v>87</v>
      </c>
      <c r="F837" t="s">
        <v>1950</v>
      </c>
      <c r="G837">
        <v>5458</v>
      </c>
      <c r="H837" t="s">
        <v>1950</v>
      </c>
      <c r="I837" t="s">
        <v>303</v>
      </c>
      <c r="K837">
        <v>2572440.49969</v>
      </c>
      <c r="L837">
        <v>1195510.9629899999</v>
      </c>
      <c r="M837">
        <v>430</v>
      </c>
      <c r="N837" t="s">
        <v>1954</v>
      </c>
    </row>
    <row r="838" spans="1:14" x14ac:dyDescent="0.25">
      <c r="A838">
        <v>8570044</v>
      </c>
      <c r="B838" t="s">
        <v>1955</v>
      </c>
      <c r="C838" t="s">
        <v>94</v>
      </c>
      <c r="D838" t="s">
        <v>86</v>
      </c>
      <c r="E838" t="s">
        <v>87</v>
      </c>
      <c r="F838" t="s">
        <v>1956</v>
      </c>
      <c r="G838">
        <v>5427</v>
      </c>
      <c r="H838" t="s">
        <v>1956</v>
      </c>
      <c r="I838" t="s">
        <v>96</v>
      </c>
      <c r="K838">
        <v>2517790</v>
      </c>
      <c r="L838">
        <v>1148822</v>
      </c>
      <c r="M838">
        <v>549</v>
      </c>
      <c r="N838" t="s">
        <v>1957</v>
      </c>
    </row>
    <row r="839" spans="1:14" x14ac:dyDescent="0.25">
      <c r="A839">
        <v>8581659</v>
      </c>
      <c r="B839" t="s">
        <v>1958</v>
      </c>
      <c r="C839" t="s">
        <v>94</v>
      </c>
      <c r="D839" t="s">
        <v>86</v>
      </c>
      <c r="E839" t="s">
        <v>87</v>
      </c>
      <c r="F839" t="s">
        <v>1956</v>
      </c>
      <c r="G839">
        <v>5427</v>
      </c>
      <c r="H839" t="s">
        <v>1956</v>
      </c>
      <c r="I839" t="s">
        <v>96</v>
      </c>
      <c r="K839">
        <v>2518158</v>
      </c>
      <c r="L839">
        <v>1148139</v>
      </c>
      <c r="M839">
        <v>442</v>
      </c>
      <c r="N839" t="s">
        <v>1959</v>
      </c>
    </row>
    <row r="840" spans="1:14" x14ac:dyDescent="0.25">
      <c r="A840">
        <v>8511904</v>
      </c>
      <c r="B840" t="s">
        <v>1960</v>
      </c>
      <c r="C840" t="s">
        <v>132</v>
      </c>
      <c r="E840" t="s">
        <v>87</v>
      </c>
      <c r="F840" t="s">
        <v>1956</v>
      </c>
      <c r="G840">
        <v>5427</v>
      </c>
      <c r="H840" t="s">
        <v>1956</v>
      </c>
      <c r="I840" t="s">
        <v>133</v>
      </c>
      <c r="K840">
        <v>2518258.8884999999</v>
      </c>
      <c r="L840">
        <v>1147560.9791000001</v>
      </c>
      <c r="M840">
        <v>423.5</v>
      </c>
      <c r="N840" t="s">
        <v>1961</v>
      </c>
    </row>
    <row r="841" spans="1:14" x14ac:dyDescent="0.25">
      <c r="A841">
        <v>8583527</v>
      </c>
      <c r="B841" t="s">
        <v>1962</v>
      </c>
      <c r="C841" t="s">
        <v>94</v>
      </c>
      <c r="D841" t="s">
        <v>86</v>
      </c>
      <c r="E841" t="s">
        <v>87</v>
      </c>
      <c r="F841" t="s">
        <v>1956</v>
      </c>
      <c r="G841">
        <v>5427</v>
      </c>
      <c r="H841" t="s">
        <v>1956</v>
      </c>
      <c r="I841" t="s">
        <v>96</v>
      </c>
      <c r="K841">
        <v>2518755</v>
      </c>
      <c r="L841">
        <v>1147499</v>
      </c>
      <c r="M841">
        <v>425</v>
      </c>
      <c r="N841" t="s">
        <v>1963</v>
      </c>
    </row>
    <row r="842" spans="1:14" x14ac:dyDescent="0.25">
      <c r="A842">
        <v>8570146</v>
      </c>
      <c r="B842" t="s">
        <v>1964</v>
      </c>
      <c r="C842" t="s">
        <v>85</v>
      </c>
      <c r="D842" t="s">
        <v>86</v>
      </c>
      <c r="E842" t="s">
        <v>87</v>
      </c>
      <c r="F842" t="s">
        <v>1965</v>
      </c>
      <c r="G842">
        <v>5483</v>
      </c>
      <c r="H842" t="s">
        <v>1965</v>
      </c>
      <c r="I842" t="s">
        <v>89</v>
      </c>
      <c r="K842">
        <v>2527746.50159</v>
      </c>
      <c r="L842">
        <v>1167688.53984</v>
      </c>
      <c r="M842">
        <v>527.9</v>
      </c>
      <c r="N842" t="s">
        <v>1966</v>
      </c>
    </row>
    <row r="843" spans="1:14" x14ac:dyDescent="0.25">
      <c r="A843">
        <v>8504651</v>
      </c>
      <c r="B843" t="s">
        <v>1967</v>
      </c>
      <c r="C843" t="s">
        <v>85</v>
      </c>
      <c r="D843" t="s">
        <v>86</v>
      </c>
      <c r="E843" t="s">
        <v>87</v>
      </c>
      <c r="F843" t="s">
        <v>1965</v>
      </c>
      <c r="G843">
        <v>5483</v>
      </c>
      <c r="H843" t="s">
        <v>1965</v>
      </c>
      <c r="I843" t="s">
        <v>89</v>
      </c>
      <c r="K843">
        <v>2527074.5874899998</v>
      </c>
      <c r="L843">
        <v>1167900.9943299999</v>
      </c>
      <c r="M843">
        <v>559.79999999999995</v>
      </c>
      <c r="N843" t="s">
        <v>1968</v>
      </c>
    </row>
    <row r="844" spans="1:14" x14ac:dyDescent="0.25">
      <c r="A844">
        <v>8510735</v>
      </c>
      <c r="B844" t="s">
        <v>1969</v>
      </c>
      <c r="C844" t="s">
        <v>242</v>
      </c>
      <c r="D844" t="s">
        <v>86</v>
      </c>
      <c r="E844" t="s">
        <v>87</v>
      </c>
      <c r="F844" t="s">
        <v>1970</v>
      </c>
      <c r="G844">
        <v>5522</v>
      </c>
      <c r="H844" t="s">
        <v>1970</v>
      </c>
      <c r="I844" t="s">
        <v>243</v>
      </c>
      <c r="K844">
        <v>2542207.69759</v>
      </c>
      <c r="L844">
        <v>1169609.83372</v>
      </c>
      <c r="M844">
        <v>641</v>
      </c>
      <c r="N844" t="s">
        <v>1971</v>
      </c>
    </row>
    <row r="845" spans="1:14" x14ac:dyDescent="0.25">
      <c r="A845">
        <v>8501176</v>
      </c>
      <c r="B845" t="s">
        <v>1970</v>
      </c>
      <c r="C845" t="s">
        <v>238</v>
      </c>
      <c r="D845" t="s">
        <v>112</v>
      </c>
      <c r="E845" t="s">
        <v>87</v>
      </c>
      <c r="F845" t="s">
        <v>1970</v>
      </c>
      <c r="G845">
        <v>5522</v>
      </c>
      <c r="H845" t="s">
        <v>1970</v>
      </c>
      <c r="I845" t="s">
        <v>239</v>
      </c>
      <c r="K845">
        <v>2542339.8909999998</v>
      </c>
      <c r="L845">
        <v>1169510.4920000001</v>
      </c>
      <c r="M845">
        <v>646.1</v>
      </c>
      <c r="N845" t="s">
        <v>1972</v>
      </c>
    </row>
    <row r="846" spans="1:14" x14ac:dyDescent="0.25">
      <c r="A846">
        <v>8507677</v>
      </c>
      <c r="B846" t="s">
        <v>1973</v>
      </c>
      <c r="C846" t="s">
        <v>94</v>
      </c>
      <c r="D846" t="s">
        <v>86</v>
      </c>
      <c r="E846" t="s">
        <v>87</v>
      </c>
      <c r="F846" t="s">
        <v>1974</v>
      </c>
      <c r="G846">
        <v>5556</v>
      </c>
      <c r="H846" t="s">
        <v>1974</v>
      </c>
      <c r="I846" t="s">
        <v>96</v>
      </c>
      <c r="K846">
        <v>2537800</v>
      </c>
      <c r="L846">
        <v>1186545</v>
      </c>
      <c r="M846">
        <v>522</v>
      </c>
      <c r="N846" t="s">
        <v>1975</v>
      </c>
    </row>
    <row r="847" spans="1:14" x14ac:dyDescent="0.25">
      <c r="A847">
        <v>8582422</v>
      </c>
      <c r="B847" t="s">
        <v>1976</v>
      </c>
      <c r="C847" t="s">
        <v>94</v>
      </c>
      <c r="D847" t="s">
        <v>86</v>
      </c>
      <c r="E847" t="s">
        <v>87</v>
      </c>
      <c r="F847" t="s">
        <v>1974</v>
      </c>
      <c r="G847">
        <v>5556</v>
      </c>
      <c r="H847" t="s">
        <v>1974</v>
      </c>
      <c r="I847" t="s">
        <v>96</v>
      </c>
      <c r="K847">
        <v>2537691</v>
      </c>
      <c r="L847">
        <v>1186735</v>
      </c>
      <c r="M847">
        <v>535</v>
      </c>
      <c r="N847" t="s">
        <v>1977</v>
      </c>
    </row>
    <row r="848" spans="1:14" x14ac:dyDescent="0.25">
      <c r="A848">
        <v>8507679</v>
      </c>
      <c r="B848" t="s">
        <v>1978</v>
      </c>
      <c r="C848" t="s">
        <v>94</v>
      </c>
      <c r="D848" t="s">
        <v>86</v>
      </c>
      <c r="E848" t="s">
        <v>87</v>
      </c>
      <c r="F848" t="s">
        <v>1979</v>
      </c>
      <c r="G848">
        <v>5557</v>
      </c>
      <c r="H848" t="s">
        <v>1979</v>
      </c>
      <c r="I848" t="s">
        <v>96</v>
      </c>
      <c r="K848">
        <v>2537487</v>
      </c>
      <c r="L848">
        <v>1187421</v>
      </c>
      <c r="M848">
        <v>564</v>
      </c>
      <c r="N848" t="s">
        <v>1980</v>
      </c>
    </row>
    <row r="849" spans="1:14" x14ac:dyDescent="0.25">
      <c r="A849">
        <v>8587545</v>
      </c>
      <c r="B849" t="s">
        <v>1981</v>
      </c>
      <c r="C849" t="s">
        <v>94</v>
      </c>
      <c r="D849" t="s">
        <v>86</v>
      </c>
      <c r="E849" t="s">
        <v>87</v>
      </c>
      <c r="F849" t="s">
        <v>51</v>
      </c>
      <c r="G849">
        <v>5604</v>
      </c>
      <c r="H849" t="s">
        <v>51</v>
      </c>
      <c r="I849" t="s">
        <v>96</v>
      </c>
      <c r="K849">
        <v>2549615</v>
      </c>
      <c r="L849">
        <v>1156584</v>
      </c>
      <c r="M849">
        <v>761</v>
      </c>
      <c r="N849" t="s">
        <v>1982</v>
      </c>
    </row>
    <row r="850" spans="1:14" x14ac:dyDescent="0.25">
      <c r="A850">
        <v>8582773</v>
      </c>
      <c r="B850" t="s">
        <v>1983</v>
      </c>
      <c r="C850" t="s">
        <v>94</v>
      </c>
      <c r="D850" t="s">
        <v>86</v>
      </c>
      <c r="E850" t="s">
        <v>87</v>
      </c>
      <c r="F850" t="s">
        <v>51</v>
      </c>
      <c r="G850">
        <v>5604</v>
      </c>
      <c r="H850" t="s">
        <v>51</v>
      </c>
      <c r="I850" t="s">
        <v>96</v>
      </c>
      <c r="K850">
        <v>2547242</v>
      </c>
      <c r="L850">
        <v>1153401</v>
      </c>
      <c r="M850">
        <v>713</v>
      </c>
      <c r="N850" t="s">
        <v>1984</v>
      </c>
    </row>
    <row r="851" spans="1:14" x14ac:dyDescent="0.25">
      <c r="A851">
        <v>8582776</v>
      </c>
      <c r="B851" t="s">
        <v>1985</v>
      </c>
      <c r="C851" t="s">
        <v>94</v>
      </c>
      <c r="D851" t="s">
        <v>86</v>
      </c>
      <c r="E851" t="s">
        <v>87</v>
      </c>
      <c r="F851" t="s">
        <v>51</v>
      </c>
      <c r="G851">
        <v>5604</v>
      </c>
      <c r="H851" t="s">
        <v>51</v>
      </c>
      <c r="I851" t="s">
        <v>96</v>
      </c>
      <c r="K851">
        <v>2545897</v>
      </c>
      <c r="L851">
        <v>1151982</v>
      </c>
      <c r="M851">
        <v>721</v>
      </c>
      <c r="N851" t="s">
        <v>1986</v>
      </c>
    </row>
    <row r="852" spans="1:14" x14ac:dyDescent="0.25">
      <c r="A852">
        <v>8591975</v>
      </c>
      <c r="B852" t="s">
        <v>1987</v>
      </c>
      <c r="C852" t="s">
        <v>94</v>
      </c>
      <c r="D852" t="s">
        <v>86</v>
      </c>
      <c r="E852" t="s">
        <v>87</v>
      </c>
      <c r="F852" t="s">
        <v>51</v>
      </c>
      <c r="G852">
        <v>5604</v>
      </c>
      <c r="H852" t="s">
        <v>51</v>
      </c>
      <c r="I852" t="s">
        <v>96</v>
      </c>
      <c r="K852">
        <v>2548372</v>
      </c>
      <c r="L852">
        <v>1154800</v>
      </c>
      <c r="M852">
        <v>729</v>
      </c>
      <c r="N852" t="s">
        <v>1988</v>
      </c>
    </row>
    <row r="853" spans="1:14" x14ac:dyDescent="0.25">
      <c r="A853">
        <v>8596091</v>
      </c>
      <c r="B853" t="s">
        <v>1989</v>
      </c>
      <c r="C853" t="s">
        <v>94</v>
      </c>
      <c r="D853" t="s">
        <v>86</v>
      </c>
      <c r="E853" t="s">
        <v>87</v>
      </c>
      <c r="F853" t="s">
        <v>51</v>
      </c>
      <c r="G853">
        <v>5604</v>
      </c>
      <c r="H853" t="s">
        <v>51</v>
      </c>
      <c r="I853" t="s">
        <v>96</v>
      </c>
      <c r="K853">
        <v>2547722</v>
      </c>
      <c r="L853">
        <v>1154848</v>
      </c>
      <c r="M853">
        <v>727</v>
      </c>
      <c r="N853" t="s">
        <v>1990</v>
      </c>
    </row>
    <row r="854" spans="1:14" x14ac:dyDescent="0.25">
      <c r="A854">
        <v>8579251</v>
      </c>
      <c r="B854" t="s">
        <v>1991</v>
      </c>
      <c r="C854" t="s">
        <v>94</v>
      </c>
      <c r="D854" t="s">
        <v>86</v>
      </c>
      <c r="E854" t="s">
        <v>87</v>
      </c>
      <c r="F854" t="s">
        <v>51</v>
      </c>
      <c r="G854">
        <v>5604</v>
      </c>
      <c r="H854" t="s">
        <v>51</v>
      </c>
      <c r="I854" t="s">
        <v>96</v>
      </c>
      <c r="K854">
        <v>2548697</v>
      </c>
      <c r="L854">
        <v>1154694</v>
      </c>
      <c r="M854">
        <v>725</v>
      </c>
      <c r="N854" t="s">
        <v>1992</v>
      </c>
    </row>
    <row r="855" spans="1:14" x14ac:dyDescent="0.25">
      <c r="A855">
        <v>8582774</v>
      </c>
      <c r="B855" t="s">
        <v>1993</v>
      </c>
      <c r="C855" t="s">
        <v>94</v>
      </c>
      <c r="D855" t="s">
        <v>86</v>
      </c>
      <c r="E855" t="s">
        <v>87</v>
      </c>
      <c r="F855" t="s">
        <v>51</v>
      </c>
      <c r="G855">
        <v>5604</v>
      </c>
      <c r="H855" t="s">
        <v>51</v>
      </c>
      <c r="I855" t="s">
        <v>96</v>
      </c>
      <c r="K855">
        <v>2546249</v>
      </c>
      <c r="L855">
        <v>1152388</v>
      </c>
      <c r="M855">
        <v>724</v>
      </c>
      <c r="N855" t="s">
        <v>1994</v>
      </c>
    </row>
    <row r="856" spans="1:14" x14ac:dyDescent="0.25">
      <c r="A856">
        <v>8591973</v>
      </c>
      <c r="B856" t="s">
        <v>1995</v>
      </c>
      <c r="C856" t="s">
        <v>94</v>
      </c>
      <c r="D856" t="s">
        <v>86</v>
      </c>
      <c r="E856" t="s">
        <v>87</v>
      </c>
      <c r="F856" t="s">
        <v>51</v>
      </c>
      <c r="G856">
        <v>5604</v>
      </c>
      <c r="H856" t="s">
        <v>51</v>
      </c>
      <c r="I856" t="s">
        <v>96</v>
      </c>
      <c r="K856">
        <v>2549285</v>
      </c>
      <c r="L856">
        <v>1155923</v>
      </c>
      <c r="M856">
        <v>755</v>
      </c>
      <c r="N856" t="s">
        <v>1996</v>
      </c>
    </row>
    <row r="857" spans="1:14" x14ac:dyDescent="0.25">
      <c r="A857">
        <v>8582775</v>
      </c>
      <c r="B857" t="s">
        <v>1997</v>
      </c>
      <c r="C857" t="s">
        <v>94</v>
      </c>
      <c r="D857" t="s">
        <v>86</v>
      </c>
      <c r="E857" t="s">
        <v>87</v>
      </c>
      <c r="F857" t="s">
        <v>51</v>
      </c>
      <c r="G857">
        <v>5604</v>
      </c>
      <c r="H857" t="s">
        <v>51</v>
      </c>
      <c r="I857" t="s">
        <v>96</v>
      </c>
      <c r="K857">
        <v>2546422</v>
      </c>
      <c r="L857">
        <v>1152587</v>
      </c>
      <c r="M857">
        <v>729</v>
      </c>
      <c r="N857" t="s">
        <v>1998</v>
      </c>
    </row>
    <row r="858" spans="1:14" x14ac:dyDescent="0.25">
      <c r="A858">
        <v>8582772</v>
      </c>
      <c r="B858" t="s">
        <v>1999</v>
      </c>
      <c r="C858" t="s">
        <v>94</v>
      </c>
      <c r="D858" t="s">
        <v>86</v>
      </c>
      <c r="E858" t="s">
        <v>87</v>
      </c>
      <c r="F858" t="s">
        <v>51</v>
      </c>
      <c r="G858">
        <v>5604</v>
      </c>
      <c r="H858" t="s">
        <v>51</v>
      </c>
      <c r="I858" t="s">
        <v>96</v>
      </c>
      <c r="K858">
        <v>2547647</v>
      </c>
      <c r="L858">
        <v>1153848</v>
      </c>
      <c r="M858">
        <v>690</v>
      </c>
      <c r="N858" t="s">
        <v>2000</v>
      </c>
    </row>
    <row r="859" spans="1:14" x14ac:dyDescent="0.25">
      <c r="A859">
        <v>8557076</v>
      </c>
      <c r="B859" t="s">
        <v>2001</v>
      </c>
      <c r="C859" t="s">
        <v>94</v>
      </c>
      <c r="D859" t="s">
        <v>86</v>
      </c>
      <c r="E859" t="s">
        <v>87</v>
      </c>
      <c r="F859" t="s">
        <v>51</v>
      </c>
      <c r="G859">
        <v>5604</v>
      </c>
      <c r="H859" t="s">
        <v>51</v>
      </c>
      <c r="I859" t="s">
        <v>96</v>
      </c>
      <c r="K859">
        <v>2548536.9468200002</v>
      </c>
      <c r="L859">
        <v>1153462.5818400001</v>
      </c>
      <c r="M859">
        <v>681.4</v>
      </c>
      <c r="N859" t="s">
        <v>2002</v>
      </c>
    </row>
    <row r="860" spans="1:14" x14ac:dyDescent="0.25">
      <c r="A860">
        <v>8501016</v>
      </c>
      <c r="B860" t="s">
        <v>2003</v>
      </c>
      <c r="C860" t="s">
        <v>132</v>
      </c>
      <c r="E860" t="s">
        <v>87</v>
      </c>
      <c r="F860" t="s">
        <v>2003</v>
      </c>
      <c r="G860">
        <v>5717</v>
      </c>
      <c r="H860" t="s">
        <v>2003</v>
      </c>
      <c r="I860" t="s">
        <v>133</v>
      </c>
      <c r="J860" t="s">
        <v>130</v>
      </c>
      <c r="K860">
        <v>2504185.665</v>
      </c>
      <c r="L860">
        <v>1131582.423</v>
      </c>
      <c r="M860">
        <v>393.67899999999997</v>
      </c>
      <c r="N860" t="s">
        <v>2004</v>
      </c>
    </row>
    <row r="861" spans="1:14" x14ac:dyDescent="0.25">
      <c r="A861">
        <v>8587707</v>
      </c>
      <c r="B861" t="s">
        <v>2005</v>
      </c>
      <c r="C861" t="s">
        <v>206</v>
      </c>
      <c r="D861" t="s">
        <v>86</v>
      </c>
      <c r="E861" t="s">
        <v>87</v>
      </c>
      <c r="F861" t="s">
        <v>2003</v>
      </c>
      <c r="G861">
        <v>5717</v>
      </c>
      <c r="H861" t="s">
        <v>2003</v>
      </c>
      <c r="I861" t="s">
        <v>208</v>
      </c>
      <c r="K861">
        <v>2502070.3649900001</v>
      </c>
      <c r="L861">
        <v>1132627.23713</v>
      </c>
      <c r="M861">
        <v>470.4</v>
      </c>
      <c r="N861" t="s">
        <v>2006</v>
      </c>
    </row>
    <row r="862" spans="1:14" x14ac:dyDescent="0.25">
      <c r="A862">
        <v>8588666</v>
      </c>
      <c r="B862" t="s">
        <v>2007</v>
      </c>
      <c r="C862" t="s">
        <v>206</v>
      </c>
      <c r="D862" t="s">
        <v>86</v>
      </c>
      <c r="E862" t="s">
        <v>87</v>
      </c>
      <c r="F862" t="s">
        <v>2003</v>
      </c>
      <c r="G862">
        <v>5717</v>
      </c>
      <c r="H862" t="s">
        <v>2003</v>
      </c>
      <c r="I862" t="s">
        <v>208</v>
      </c>
      <c r="K862">
        <v>2504240</v>
      </c>
      <c r="L862">
        <v>1132246</v>
      </c>
      <c r="M862">
        <v>396</v>
      </c>
      <c r="N862" t="s">
        <v>2008</v>
      </c>
    </row>
    <row r="863" spans="1:14" x14ac:dyDescent="0.25">
      <c r="A863">
        <v>8588668</v>
      </c>
      <c r="B863" t="s">
        <v>2009</v>
      </c>
      <c r="C863" t="s">
        <v>206</v>
      </c>
      <c r="D863" t="s">
        <v>86</v>
      </c>
      <c r="E863" t="s">
        <v>87</v>
      </c>
      <c r="F863" t="s">
        <v>2003</v>
      </c>
      <c r="G863">
        <v>5717</v>
      </c>
      <c r="H863" t="s">
        <v>2003</v>
      </c>
      <c r="I863" t="s">
        <v>208</v>
      </c>
      <c r="K863">
        <v>2503977.1101799998</v>
      </c>
      <c r="L863">
        <v>1131729.48166</v>
      </c>
      <c r="M863">
        <v>399.7</v>
      </c>
      <c r="N863" t="s">
        <v>2010</v>
      </c>
    </row>
    <row r="864" spans="1:14" x14ac:dyDescent="0.25">
      <c r="A864">
        <v>8588667</v>
      </c>
      <c r="B864" t="s">
        <v>2011</v>
      </c>
      <c r="C864" t="s">
        <v>206</v>
      </c>
      <c r="D864" t="s">
        <v>86</v>
      </c>
      <c r="E864" t="s">
        <v>87</v>
      </c>
      <c r="F864" t="s">
        <v>2003</v>
      </c>
      <c r="G864">
        <v>5717</v>
      </c>
      <c r="H864" t="s">
        <v>2003</v>
      </c>
      <c r="I864" t="s">
        <v>208</v>
      </c>
      <c r="K864">
        <v>2504066.3747299998</v>
      </c>
      <c r="L864">
        <v>1132066.75321</v>
      </c>
      <c r="M864">
        <v>397.6</v>
      </c>
      <c r="N864" t="s">
        <v>2012</v>
      </c>
    </row>
    <row r="865" spans="1:14" x14ac:dyDescent="0.25">
      <c r="A865">
        <v>8587579</v>
      </c>
      <c r="B865" t="s">
        <v>2013</v>
      </c>
      <c r="C865" t="s">
        <v>206</v>
      </c>
      <c r="D865" t="s">
        <v>86</v>
      </c>
      <c r="E865" t="s">
        <v>87</v>
      </c>
      <c r="F865" t="s">
        <v>2003</v>
      </c>
      <c r="G865">
        <v>5717</v>
      </c>
      <c r="H865" t="s">
        <v>2003</v>
      </c>
      <c r="I865" t="s">
        <v>208</v>
      </c>
      <c r="K865">
        <v>2502365</v>
      </c>
      <c r="L865">
        <v>1132271</v>
      </c>
      <c r="M865">
        <v>444</v>
      </c>
      <c r="N865" t="s">
        <v>2014</v>
      </c>
    </row>
    <row r="866" spans="1:14" x14ac:dyDescent="0.25">
      <c r="A866">
        <v>8570168</v>
      </c>
      <c r="B866" t="s">
        <v>2015</v>
      </c>
      <c r="C866" t="s">
        <v>242</v>
      </c>
      <c r="D866" t="s">
        <v>86</v>
      </c>
      <c r="E866" t="s">
        <v>87</v>
      </c>
      <c r="F866" t="s">
        <v>2016</v>
      </c>
      <c r="G866">
        <v>5523</v>
      </c>
      <c r="H866" t="s">
        <v>2016</v>
      </c>
      <c r="I866" t="s">
        <v>243</v>
      </c>
      <c r="K866">
        <v>2541825</v>
      </c>
      <c r="L866">
        <v>1161390</v>
      </c>
      <c r="M866">
        <v>820</v>
      </c>
      <c r="N866" t="s">
        <v>2017</v>
      </c>
    </row>
    <row r="867" spans="1:14" x14ac:dyDescent="0.25">
      <c r="A867">
        <v>8570167</v>
      </c>
      <c r="B867" t="s">
        <v>2018</v>
      </c>
      <c r="C867" t="s">
        <v>242</v>
      </c>
      <c r="D867" t="s">
        <v>86</v>
      </c>
      <c r="E867" t="s">
        <v>87</v>
      </c>
      <c r="F867" t="s">
        <v>2016</v>
      </c>
      <c r="G867">
        <v>5523</v>
      </c>
      <c r="H867" t="s">
        <v>2016</v>
      </c>
      <c r="I867" t="s">
        <v>243</v>
      </c>
      <c r="K867">
        <v>2541581</v>
      </c>
      <c r="L867">
        <v>1161247</v>
      </c>
      <c r="M867">
        <v>820</v>
      </c>
      <c r="N867" t="s">
        <v>2019</v>
      </c>
    </row>
    <row r="868" spans="1:14" x14ac:dyDescent="0.25">
      <c r="A868">
        <v>8570169</v>
      </c>
      <c r="B868" t="s">
        <v>2020</v>
      </c>
      <c r="C868" t="s">
        <v>242</v>
      </c>
      <c r="D868" t="s">
        <v>86</v>
      </c>
      <c r="E868" t="s">
        <v>87</v>
      </c>
      <c r="F868" t="s">
        <v>2016</v>
      </c>
      <c r="G868">
        <v>5523</v>
      </c>
      <c r="H868" t="s">
        <v>2016</v>
      </c>
      <c r="I868" t="s">
        <v>243</v>
      </c>
      <c r="K868">
        <v>2542060</v>
      </c>
      <c r="L868">
        <v>1161375</v>
      </c>
      <c r="M868">
        <v>806</v>
      </c>
      <c r="N868" t="s">
        <v>2021</v>
      </c>
    </row>
    <row r="869" spans="1:14" x14ac:dyDescent="0.25">
      <c r="A869">
        <v>8510726</v>
      </c>
      <c r="B869" t="s">
        <v>2022</v>
      </c>
      <c r="C869" t="s">
        <v>223</v>
      </c>
      <c r="D869" t="s">
        <v>86</v>
      </c>
      <c r="E869" t="s">
        <v>87</v>
      </c>
      <c r="F869" t="s">
        <v>2023</v>
      </c>
      <c r="G869">
        <v>5718</v>
      </c>
      <c r="H869" t="s">
        <v>2023</v>
      </c>
      <c r="I869" t="s">
        <v>224</v>
      </c>
      <c r="K869">
        <v>2505759.4314700002</v>
      </c>
      <c r="L869">
        <v>1143723.6844800001</v>
      </c>
      <c r="M869">
        <v>570.70000000000005</v>
      </c>
      <c r="N869" t="s">
        <v>2024</v>
      </c>
    </row>
    <row r="870" spans="1:14" x14ac:dyDescent="0.25">
      <c r="A870">
        <v>8501066</v>
      </c>
      <c r="B870" t="s">
        <v>2023</v>
      </c>
      <c r="C870" t="s">
        <v>227</v>
      </c>
      <c r="D870" t="s">
        <v>112</v>
      </c>
      <c r="E870" t="s">
        <v>87</v>
      </c>
      <c r="F870" t="s">
        <v>2023</v>
      </c>
      <c r="G870">
        <v>5718</v>
      </c>
      <c r="H870" t="s">
        <v>2023</v>
      </c>
      <c r="I870" t="s">
        <v>228</v>
      </c>
      <c r="K870">
        <v>2505926.6630000002</v>
      </c>
      <c r="L870">
        <v>1143502.9820000001</v>
      </c>
      <c r="M870">
        <v>560.1</v>
      </c>
      <c r="N870" t="s">
        <v>2025</v>
      </c>
    </row>
    <row r="871" spans="1:14" x14ac:dyDescent="0.25">
      <c r="A871">
        <v>8570010</v>
      </c>
      <c r="B871" t="s">
        <v>2026</v>
      </c>
      <c r="C871" t="s">
        <v>94</v>
      </c>
      <c r="D871" t="s">
        <v>86</v>
      </c>
      <c r="E871" t="s">
        <v>87</v>
      </c>
      <c r="F871" t="s">
        <v>2023</v>
      </c>
      <c r="G871">
        <v>5718</v>
      </c>
      <c r="H871" t="s">
        <v>2023</v>
      </c>
      <c r="I871" t="s">
        <v>96</v>
      </c>
      <c r="K871">
        <v>2506599</v>
      </c>
      <c r="L871">
        <v>1141860</v>
      </c>
      <c r="M871">
        <v>475</v>
      </c>
      <c r="N871" t="s">
        <v>2027</v>
      </c>
    </row>
    <row r="872" spans="1:14" x14ac:dyDescent="0.25">
      <c r="A872">
        <v>8501058</v>
      </c>
      <c r="B872" t="s">
        <v>2028</v>
      </c>
      <c r="C872" t="s">
        <v>227</v>
      </c>
      <c r="D872" t="s">
        <v>112</v>
      </c>
      <c r="E872" t="s">
        <v>87</v>
      </c>
      <c r="F872" t="s">
        <v>2023</v>
      </c>
      <c r="G872">
        <v>5718</v>
      </c>
      <c r="H872" t="s">
        <v>2023</v>
      </c>
      <c r="I872" t="s">
        <v>228</v>
      </c>
      <c r="K872">
        <v>2506112.4670000002</v>
      </c>
      <c r="L872">
        <v>1144622.8859999999</v>
      </c>
      <c r="M872">
        <v>660.9</v>
      </c>
      <c r="N872" t="s">
        <v>2029</v>
      </c>
    </row>
    <row r="873" spans="1:14" x14ac:dyDescent="0.25">
      <c r="A873">
        <v>8501056</v>
      </c>
      <c r="B873" t="s">
        <v>2030</v>
      </c>
      <c r="C873" t="s">
        <v>227</v>
      </c>
      <c r="D873" t="s">
        <v>112</v>
      </c>
      <c r="E873" t="s">
        <v>87</v>
      </c>
      <c r="F873" t="s">
        <v>2023</v>
      </c>
      <c r="G873">
        <v>5718</v>
      </c>
      <c r="H873" t="s">
        <v>2023</v>
      </c>
      <c r="I873" t="s">
        <v>228</v>
      </c>
      <c r="K873">
        <v>2505261.2480000001</v>
      </c>
      <c r="L873">
        <v>1143762.4569999999</v>
      </c>
      <c r="M873">
        <v>599.29999999999995</v>
      </c>
      <c r="N873" t="s">
        <v>2031</v>
      </c>
    </row>
    <row r="874" spans="1:14" x14ac:dyDescent="0.25">
      <c r="A874">
        <v>8510729</v>
      </c>
      <c r="B874" t="s">
        <v>2032</v>
      </c>
      <c r="C874" t="s">
        <v>223</v>
      </c>
      <c r="D874" t="s">
        <v>86</v>
      </c>
      <c r="E874" t="s">
        <v>87</v>
      </c>
      <c r="F874" t="s">
        <v>2023</v>
      </c>
      <c r="G874">
        <v>5718</v>
      </c>
      <c r="H874" t="s">
        <v>2023</v>
      </c>
      <c r="I874" t="s">
        <v>224</v>
      </c>
      <c r="K874">
        <v>2506154.92778</v>
      </c>
      <c r="L874">
        <v>1143337.9387699999</v>
      </c>
      <c r="M874">
        <v>549.70000000000005</v>
      </c>
      <c r="N874" t="s">
        <v>2033</v>
      </c>
    </row>
    <row r="875" spans="1:14" x14ac:dyDescent="0.25">
      <c r="A875">
        <v>8510731</v>
      </c>
      <c r="B875" t="s">
        <v>2034</v>
      </c>
      <c r="C875" t="s">
        <v>223</v>
      </c>
      <c r="D875" t="s">
        <v>86</v>
      </c>
      <c r="E875" t="s">
        <v>87</v>
      </c>
      <c r="F875" t="s">
        <v>2023</v>
      </c>
      <c r="G875">
        <v>5718</v>
      </c>
      <c r="H875" t="s">
        <v>2023</v>
      </c>
      <c r="I875" t="s">
        <v>224</v>
      </c>
      <c r="K875">
        <v>2506219.6310800002</v>
      </c>
      <c r="L875">
        <v>1144511.14665</v>
      </c>
      <c r="M875">
        <v>639.29999999999995</v>
      </c>
      <c r="N875" t="s">
        <v>2035</v>
      </c>
    </row>
    <row r="876" spans="1:14" x14ac:dyDescent="0.25">
      <c r="A876">
        <v>8507681</v>
      </c>
      <c r="B876" t="s">
        <v>2036</v>
      </c>
      <c r="C876" t="s">
        <v>94</v>
      </c>
      <c r="D876" t="s">
        <v>86</v>
      </c>
      <c r="E876" t="s">
        <v>87</v>
      </c>
      <c r="F876" t="s">
        <v>2037</v>
      </c>
      <c r="G876">
        <v>5559</v>
      </c>
      <c r="H876" t="s">
        <v>2037</v>
      </c>
      <c r="I876" t="s">
        <v>96</v>
      </c>
      <c r="K876">
        <v>2537386</v>
      </c>
      <c r="L876">
        <v>1184776</v>
      </c>
      <c r="M876">
        <v>523</v>
      </c>
      <c r="N876" t="s">
        <v>2038</v>
      </c>
    </row>
    <row r="877" spans="1:14" x14ac:dyDescent="0.25">
      <c r="A877">
        <v>8570256</v>
      </c>
      <c r="B877" t="s">
        <v>2039</v>
      </c>
      <c r="C877" t="s">
        <v>94</v>
      </c>
      <c r="D877" t="s">
        <v>86</v>
      </c>
      <c r="E877" t="s">
        <v>87</v>
      </c>
      <c r="F877" t="s">
        <v>2037</v>
      </c>
      <c r="G877">
        <v>5559</v>
      </c>
      <c r="H877" t="s">
        <v>2037</v>
      </c>
      <c r="I877" t="s">
        <v>96</v>
      </c>
      <c r="K877">
        <v>2537735</v>
      </c>
      <c r="L877">
        <v>1184651</v>
      </c>
      <c r="M877">
        <v>505</v>
      </c>
      <c r="N877" t="s">
        <v>2040</v>
      </c>
    </row>
    <row r="878" spans="1:14" x14ac:dyDescent="0.25">
      <c r="A878">
        <v>8570257</v>
      </c>
      <c r="B878" t="s">
        <v>2041</v>
      </c>
      <c r="C878" t="s">
        <v>94</v>
      </c>
      <c r="D878" t="s">
        <v>86</v>
      </c>
      <c r="E878" t="s">
        <v>87</v>
      </c>
      <c r="F878" t="s">
        <v>2037</v>
      </c>
      <c r="G878">
        <v>5559</v>
      </c>
      <c r="H878" t="s">
        <v>2037</v>
      </c>
      <c r="I878" t="s">
        <v>96</v>
      </c>
      <c r="K878">
        <v>2536957</v>
      </c>
      <c r="L878">
        <v>1184858</v>
      </c>
      <c r="M878">
        <v>544</v>
      </c>
      <c r="N878" t="s">
        <v>2042</v>
      </c>
    </row>
    <row r="879" spans="1:14" x14ac:dyDescent="0.25">
      <c r="A879">
        <v>8500738</v>
      </c>
      <c r="B879" t="s">
        <v>2043</v>
      </c>
      <c r="C879" t="s">
        <v>94</v>
      </c>
      <c r="D879" t="s">
        <v>86</v>
      </c>
      <c r="E879" t="s">
        <v>87</v>
      </c>
      <c r="F879" t="s">
        <v>2044</v>
      </c>
      <c r="G879">
        <v>5857</v>
      </c>
      <c r="H879" t="s">
        <v>2044</v>
      </c>
      <c r="I879" t="s">
        <v>96</v>
      </c>
      <c r="K879">
        <v>2512238</v>
      </c>
      <c r="L879">
        <v>1145790</v>
      </c>
      <c r="M879">
        <v>485</v>
      </c>
      <c r="N879" t="s">
        <v>2045</v>
      </c>
    </row>
    <row r="880" spans="1:14" x14ac:dyDescent="0.25">
      <c r="A880">
        <v>8583860</v>
      </c>
      <c r="B880" t="s">
        <v>2046</v>
      </c>
      <c r="C880" t="s">
        <v>94</v>
      </c>
      <c r="D880" t="s">
        <v>86</v>
      </c>
      <c r="E880" t="s">
        <v>87</v>
      </c>
      <c r="F880" t="s">
        <v>2044</v>
      </c>
      <c r="G880">
        <v>5857</v>
      </c>
      <c r="H880" t="s">
        <v>2044</v>
      </c>
      <c r="I880" t="s">
        <v>96</v>
      </c>
      <c r="K880">
        <v>2512281</v>
      </c>
      <c r="L880">
        <v>1145477</v>
      </c>
      <c r="M880">
        <v>467</v>
      </c>
      <c r="N880" t="s">
        <v>2047</v>
      </c>
    </row>
    <row r="881" spans="1:14" x14ac:dyDescent="0.25">
      <c r="A881">
        <v>8570056</v>
      </c>
      <c r="B881" t="s">
        <v>2048</v>
      </c>
      <c r="C881" t="s">
        <v>94</v>
      </c>
      <c r="D881" t="s">
        <v>86</v>
      </c>
      <c r="E881" t="s">
        <v>87</v>
      </c>
      <c r="F881" t="s">
        <v>2044</v>
      </c>
      <c r="G881">
        <v>5857</v>
      </c>
      <c r="H881" t="s">
        <v>2044</v>
      </c>
      <c r="I881" t="s">
        <v>96</v>
      </c>
      <c r="K881">
        <v>2513236</v>
      </c>
      <c r="L881">
        <v>1146445</v>
      </c>
      <c r="M881">
        <v>502</v>
      </c>
      <c r="N881" t="s">
        <v>2049</v>
      </c>
    </row>
    <row r="882" spans="1:14" x14ac:dyDescent="0.25">
      <c r="A882">
        <v>8583433</v>
      </c>
      <c r="B882" t="s">
        <v>2050</v>
      </c>
      <c r="C882" t="s">
        <v>94</v>
      </c>
      <c r="D882" t="s">
        <v>86</v>
      </c>
      <c r="E882" t="s">
        <v>87</v>
      </c>
      <c r="F882" t="s">
        <v>2044</v>
      </c>
      <c r="G882">
        <v>5857</v>
      </c>
      <c r="H882" t="s">
        <v>2044</v>
      </c>
      <c r="I882" t="s">
        <v>96</v>
      </c>
      <c r="K882">
        <v>2512530</v>
      </c>
      <c r="L882">
        <v>1145982</v>
      </c>
      <c r="M882">
        <v>496</v>
      </c>
      <c r="N882" t="s">
        <v>2051</v>
      </c>
    </row>
    <row r="883" spans="1:14" x14ac:dyDescent="0.25">
      <c r="A883">
        <v>8579086</v>
      </c>
      <c r="B883" t="s">
        <v>2052</v>
      </c>
      <c r="C883" t="s">
        <v>94</v>
      </c>
      <c r="D883" t="s">
        <v>86</v>
      </c>
      <c r="E883" t="s">
        <v>87</v>
      </c>
      <c r="F883" t="s">
        <v>2053</v>
      </c>
      <c r="G883">
        <v>5428</v>
      </c>
      <c r="H883" t="s">
        <v>2053</v>
      </c>
      <c r="I883" t="s">
        <v>96</v>
      </c>
      <c r="K883">
        <v>2513163</v>
      </c>
      <c r="L883">
        <v>1151595</v>
      </c>
      <c r="M883">
        <v>735</v>
      </c>
      <c r="N883" t="s">
        <v>2054</v>
      </c>
    </row>
    <row r="884" spans="1:14" x14ac:dyDescent="0.25">
      <c r="A884">
        <v>8579840</v>
      </c>
      <c r="B884" t="s">
        <v>2055</v>
      </c>
      <c r="C884" t="s">
        <v>94</v>
      </c>
      <c r="D884" t="s">
        <v>86</v>
      </c>
      <c r="E884" t="s">
        <v>87</v>
      </c>
      <c r="F884" t="s">
        <v>2053</v>
      </c>
      <c r="G884">
        <v>5428</v>
      </c>
      <c r="H884" t="s">
        <v>2053</v>
      </c>
      <c r="I884" t="s">
        <v>96</v>
      </c>
      <c r="K884">
        <v>2512222</v>
      </c>
      <c r="L884">
        <v>1151392</v>
      </c>
      <c r="M884">
        <v>758</v>
      </c>
      <c r="N884" t="s">
        <v>2056</v>
      </c>
    </row>
    <row r="885" spans="1:14" x14ac:dyDescent="0.25">
      <c r="A885">
        <v>8583862</v>
      </c>
      <c r="B885" t="s">
        <v>2057</v>
      </c>
      <c r="C885" t="s">
        <v>94</v>
      </c>
      <c r="D885" t="s">
        <v>86</v>
      </c>
      <c r="E885" t="s">
        <v>87</v>
      </c>
      <c r="F885" t="s">
        <v>2053</v>
      </c>
      <c r="G885">
        <v>5428</v>
      </c>
      <c r="H885" t="s">
        <v>2053</v>
      </c>
      <c r="I885" t="s">
        <v>96</v>
      </c>
      <c r="K885">
        <v>2509181</v>
      </c>
      <c r="L885">
        <v>1155191</v>
      </c>
      <c r="M885">
        <v>1339</v>
      </c>
      <c r="N885" t="s">
        <v>2058</v>
      </c>
    </row>
    <row r="886" spans="1:14" x14ac:dyDescent="0.25">
      <c r="A886">
        <v>8501872</v>
      </c>
      <c r="B886" t="s">
        <v>2059</v>
      </c>
      <c r="C886" t="s">
        <v>94</v>
      </c>
      <c r="D886" t="s">
        <v>86</v>
      </c>
      <c r="E886" t="s">
        <v>87</v>
      </c>
      <c r="F886" t="s">
        <v>2053</v>
      </c>
      <c r="G886">
        <v>5428</v>
      </c>
      <c r="H886" t="s">
        <v>2053</v>
      </c>
      <c r="I886" t="s">
        <v>96</v>
      </c>
      <c r="K886">
        <v>2514059.0005000001</v>
      </c>
      <c r="L886">
        <v>1151488.0011400001</v>
      </c>
      <c r="M886">
        <v>693</v>
      </c>
      <c r="N886" t="s">
        <v>2060</v>
      </c>
    </row>
    <row r="887" spans="1:14" x14ac:dyDescent="0.25">
      <c r="A887">
        <v>8505917</v>
      </c>
      <c r="B887" t="s">
        <v>2061</v>
      </c>
      <c r="C887" t="s">
        <v>94</v>
      </c>
      <c r="D887" t="s">
        <v>86</v>
      </c>
      <c r="E887" t="s">
        <v>87</v>
      </c>
      <c r="F887" t="s">
        <v>2053</v>
      </c>
      <c r="G887">
        <v>5428</v>
      </c>
      <c r="H887" t="s">
        <v>2053</v>
      </c>
      <c r="I887" t="s">
        <v>96</v>
      </c>
      <c r="K887">
        <v>2513188</v>
      </c>
      <c r="L887">
        <v>1151451</v>
      </c>
      <c r="M887">
        <v>726</v>
      </c>
      <c r="N887" t="s">
        <v>2062</v>
      </c>
    </row>
    <row r="888" spans="1:14" x14ac:dyDescent="0.25">
      <c r="A888">
        <v>8570021</v>
      </c>
      <c r="B888" t="s">
        <v>2063</v>
      </c>
      <c r="C888" t="s">
        <v>94</v>
      </c>
      <c r="D888" t="s">
        <v>86</v>
      </c>
      <c r="E888" t="s">
        <v>87</v>
      </c>
      <c r="F888" t="s">
        <v>2053</v>
      </c>
      <c r="G888">
        <v>5428</v>
      </c>
      <c r="H888" t="s">
        <v>2053</v>
      </c>
      <c r="I888" t="s">
        <v>96</v>
      </c>
      <c r="K888">
        <v>2512765</v>
      </c>
      <c r="L888">
        <v>1151367</v>
      </c>
      <c r="M888">
        <v>728</v>
      </c>
      <c r="N888" t="s">
        <v>2064</v>
      </c>
    </row>
    <row r="889" spans="1:14" x14ac:dyDescent="0.25">
      <c r="A889">
        <v>8570127</v>
      </c>
      <c r="B889" t="s">
        <v>2065</v>
      </c>
      <c r="C889" t="s">
        <v>94</v>
      </c>
      <c r="D889" t="s">
        <v>86</v>
      </c>
      <c r="E889" t="s">
        <v>87</v>
      </c>
      <c r="F889" t="s">
        <v>2053</v>
      </c>
      <c r="G889">
        <v>5428</v>
      </c>
      <c r="H889" t="s">
        <v>2053</v>
      </c>
      <c r="I889" t="s">
        <v>96</v>
      </c>
      <c r="K889">
        <v>2513503</v>
      </c>
      <c r="L889">
        <v>1151384</v>
      </c>
      <c r="M889">
        <v>710</v>
      </c>
      <c r="N889" t="s">
        <v>2066</v>
      </c>
    </row>
    <row r="890" spans="1:14" x14ac:dyDescent="0.25">
      <c r="A890">
        <v>8570022</v>
      </c>
      <c r="B890" t="s">
        <v>2067</v>
      </c>
      <c r="C890" t="s">
        <v>94</v>
      </c>
      <c r="D890" t="s">
        <v>86</v>
      </c>
      <c r="E890" t="s">
        <v>87</v>
      </c>
      <c r="F890" t="s">
        <v>2053</v>
      </c>
      <c r="G890">
        <v>5428</v>
      </c>
      <c r="H890" t="s">
        <v>2053</v>
      </c>
      <c r="I890" t="s">
        <v>96</v>
      </c>
      <c r="K890">
        <v>2508891</v>
      </c>
      <c r="L890">
        <v>1156383</v>
      </c>
      <c r="M890">
        <v>1443</v>
      </c>
      <c r="N890" t="s">
        <v>2068</v>
      </c>
    </row>
    <row r="891" spans="1:14" x14ac:dyDescent="0.25">
      <c r="A891">
        <v>8570020</v>
      </c>
      <c r="B891" t="s">
        <v>2069</v>
      </c>
      <c r="C891" t="s">
        <v>94</v>
      </c>
      <c r="D891" t="s">
        <v>86</v>
      </c>
      <c r="E891" t="s">
        <v>87</v>
      </c>
      <c r="F891" t="s">
        <v>2053</v>
      </c>
      <c r="G891">
        <v>5428</v>
      </c>
      <c r="H891" t="s">
        <v>2053</v>
      </c>
      <c r="I891" t="s">
        <v>96</v>
      </c>
      <c r="K891">
        <v>2511287</v>
      </c>
      <c r="L891">
        <v>1151713</v>
      </c>
      <c r="M891">
        <v>826</v>
      </c>
      <c r="N891" t="s">
        <v>2070</v>
      </c>
    </row>
    <row r="892" spans="1:14" x14ac:dyDescent="0.25">
      <c r="A892">
        <v>8531457</v>
      </c>
      <c r="B892" t="s">
        <v>2071</v>
      </c>
      <c r="C892" t="s">
        <v>2072</v>
      </c>
      <c r="D892" t="s">
        <v>692</v>
      </c>
      <c r="E892" t="s">
        <v>87</v>
      </c>
      <c r="F892" t="s">
        <v>2073</v>
      </c>
      <c r="G892">
        <v>5719</v>
      </c>
      <c r="H892" t="s">
        <v>2073</v>
      </c>
      <c r="I892" t="s">
        <v>2074</v>
      </c>
      <c r="J892" t="s">
        <v>2075</v>
      </c>
      <c r="K892">
        <v>2497041</v>
      </c>
      <c r="L892">
        <v>1142498</v>
      </c>
      <c r="M892">
        <v>1660</v>
      </c>
      <c r="N892" t="s">
        <v>2076</v>
      </c>
    </row>
    <row r="893" spans="1:14" x14ac:dyDescent="0.25">
      <c r="A893">
        <v>8570007</v>
      </c>
      <c r="B893" t="s">
        <v>2077</v>
      </c>
      <c r="C893" t="s">
        <v>206</v>
      </c>
      <c r="D893" t="s">
        <v>86</v>
      </c>
      <c r="E893" t="s">
        <v>87</v>
      </c>
      <c r="F893" t="s">
        <v>2073</v>
      </c>
      <c r="G893">
        <v>5719</v>
      </c>
      <c r="H893" t="s">
        <v>2073</v>
      </c>
      <c r="I893" t="s">
        <v>208</v>
      </c>
      <c r="K893">
        <v>2502950</v>
      </c>
      <c r="L893">
        <v>1140350</v>
      </c>
      <c r="M893">
        <v>540</v>
      </c>
      <c r="N893" t="s">
        <v>2078</v>
      </c>
    </row>
    <row r="894" spans="1:14" x14ac:dyDescent="0.25">
      <c r="A894">
        <v>8501967</v>
      </c>
      <c r="B894" t="s">
        <v>2079</v>
      </c>
      <c r="C894" t="s">
        <v>206</v>
      </c>
      <c r="D894" t="s">
        <v>86</v>
      </c>
      <c r="E894" t="s">
        <v>87</v>
      </c>
      <c r="F894" t="s">
        <v>2073</v>
      </c>
      <c r="G894">
        <v>5719</v>
      </c>
      <c r="H894" t="s">
        <v>2073</v>
      </c>
      <c r="I894" t="s">
        <v>208</v>
      </c>
      <c r="K894">
        <v>2503125</v>
      </c>
      <c r="L894">
        <v>1140375</v>
      </c>
      <c r="M894">
        <v>542</v>
      </c>
      <c r="N894" t="s">
        <v>2080</v>
      </c>
    </row>
    <row r="895" spans="1:14" x14ac:dyDescent="0.25">
      <c r="A895">
        <v>8531456</v>
      </c>
      <c r="B895" t="s">
        <v>2081</v>
      </c>
      <c r="C895" t="s">
        <v>2072</v>
      </c>
      <c r="D895" t="s">
        <v>692</v>
      </c>
      <c r="E895" t="s">
        <v>87</v>
      </c>
      <c r="F895" t="s">
        <v>2073</v>
      </c>
      <c r="G895">
        <v>5719</v>
      </c>
      <c r="H895" t="s">
        <v>2073</v>
      </c>
      <c r="I895" t="s">
        <v>2074</v>
      </c>
      <c r="J895" t="s">
        <v>2082</v>
      </c>
      <c r="K895">
        <v>2495817</v>
      </c>
      <c r="L895">
        <v>1143911</v>
      </c>
      <c r="M895">
        <v>1233</v>
      </c>
      <c r="N895" t="s">
        <v>2083</v>
      </c>
    </row>
    <row r="896" spans="1:14" x14ac:dyDescent="0.25">
      <c r="A896">
        <v>8501067</v>
      </c>
      <c r="B896" t="s">
        <v>2084</v>
      </c>
      <c r="C896" t="s">
        <v>227</v>
      </c>
      <c r="D896" t="s">
        <v>112</v>
      </c>
      <c r="E896" t="s">
        <v>87</v>
      </c>
      <c r="F896" t="s">
        <v>2084</v>
      </c>
      <c r="G896">
        <v>5720</v>
      </c>
      <c r="H896" t="s">
        <v>2084</v>
      </c>
      <c r="I896" t="s">
        <v>228</v>
      </c>
      <c r="K896">
        <v>2505195.1979999999</v>
      </c>
      <c r="L896">
        <v>1142691.7320000001</v>
      </c>
      <c r="M896">
        <v>550.9</v>
      </c>
      <c r="N896" t="s">
        <v>2085</v>
      </c>
    </row>
    <row r="897" spans="1:14" x14ac:dyDescent="0.25">
      <c r="A897">
        <v>8510723</v>
      </c>
      <c r="B897" t="s">
        <v>2086</v>
      </c>
      <c r="C897" t="s">
        <v>223</v>
      </c>
      <c r="D897" t="s">
        <v>86</v>
      </c>
      <c r="E897" t="s">
        <v>87</v>
      </c>
      <c r="F897" t="s">
        <v>2084</v>
      </c>
      <c r="G897">
        <v>5720</v>
      </c>
      <c r="H897" t="s">
        <v>2084</v>
      </c>
      <c r="I897" t="s">
        <v>224</v>
      </c>
      <c r="K897">
        <v>2505174.4183499999</v>
      </c>
      <c r="L897">
        <v>1142700.6875799999</v>
      </c>
      <c r="M897">
        <v>551</v>
      </c>
      <c r="N897" t="s">
        <v>2087</v>
      </c>
    </row>
    <row r="898" spans="1:14" x14ac:dyDescent="0.25">
      <c r="A898">
        <v>8505427</v>
      </c>
      <c r="B898" t="s">
        <v>2088</v>
      </c>
      <c r="C898" t="s">
        <v>94</v>
      </c>
      <c r="D898" t="s">
        <v>86</v>
      </c>
      <c r="E898" t="s">
        <v>87</v>
      </c>
      <c r="F898" t="s">
        <v>2089</v>
      </c>
      <c r="G898">
        <v>5721</v>
      </c>
      <c r="H898" t="s">
        <v>2089</v>
      </c>
      <c r="I898" t="s">
        <v>96</v>
      </c>
      <c r="K898">
        <v>2511216</v>
      </c>
      <c r="L898">
        <v>1141539</v>
      </c>
      <c r="M898">
        <v>392.7</v>
      </c>
      <c r="N898" t="s">
        <v>2090</v>
      </c>
    </row>
    <row r="899" spans="1:14" x14ac:dyDescent="0.25">
      <c r="A899">
        <v>8505428</v>
      </c>
      <c r="B899" t="s">
        <v>2091</v>
      </c>
      <c r="C899" t="s">
        <v>94</v>
      </c>
      <c r="D899" t="s">
        <v>86</v>
      </c>
      <c r="E899" t="s">
        <v>87</v>
      </c>
      <c r="F899" t="s">
        <v>2089</v>
      </c>
      <c r="G899">
        <v>5721</v>
      </c>
      <c r="H899" t="s">
        <v>2089</v>
      </c>
      <c r="I899" t="s">
        <v>96</v>
      </c>
      <c r="K899">
        <v>2510792</v>
      </c>
      <c r="L899">
        <v>1141190</v>
      </c>
      <c r="M899">
        <v>399</v>
      </c>
      <c r="N899" t="s">
        <v>2092</v>
      </c>
    </row>
    <row r="900" spans="1:14" x14ac:dyDescent="0.25">
      <c r="A900">
        <v>8581929</v>
      </c>
      <c r="B900" t="s">
        <v>2093</v>
      </c>
      <c r="C900" t="s">
        <v>94</v>
      </c>
      <c r="D900" t="s">
        <v>86</v>
      </c>
      <c r="E900" t="s">
        <v>87</v>
      </c>
      <c r="F900" t="s">
        <v>2089</v>
      </c>
      <c r="G900">
        <v>5721</v>
      </c>
      <c r="H900" t="s">
        <v>2089</v>
      </c>
      <c r="I900" t="s">
        <v>96</v>
      </c>
      <c r="J900" t="s">
        <v>2094</v>
      </c>
      <c r="K900">
        <v>2510527</v>
      </c>
      <c r="L900">
        <v>1141040</v>
      </c>
      <c r="M900">
        <v>403</v>
      </c>
      <c r="N900" t="s">
        <v>2095</v>
      </c>
    </row>
    <row r="901" spans="1:14" x14ac:dyDescent="0.25">
      <c r="A901">
        <v>8581941</v>
      </c>
      <c r="B901" t="s">
        <v>2096</v>
      </c>
      <c r="C901" t="s">
        <v>94</v>
      </c>
      <c r="D901" t="s">
        <v>86</v>
      </c>
      <c r="E901" t="s">
        <v>87</v>
      </c>
      <c r="F901" t="s">
        <v>2089</v>
      </c>
      <c r="G901">
        <v>5721</v>
      </c>
      <c r="H901" t="s">
        <v>2089</v>
      </c>
      <c r="I901" t="s">
        <v>96</v>
      </c>
      <c r="J901" t="s">
        <v>2094</v>
      </c>
      <c r="K901">
        <v>2510563</v>
      </c>
      <c r="L901">
        <v>1140242</v>
      </c>
      <c r="M901">
        <v>401</v>
      </c>
      <c r="N901" t="s">
        <v>2097</v>
      </c>
    </row>
    <row r="902" spans="1:14" x14ac:dyDescent="0.25">
      <c r="A902">
        <v>8581932</v>
      </c>
      <c r="B902" t="s">
        <v>2098</v>
      </c>
      <c r="C902" t="s">
        <v>94</v>
      </c>
      <c r="D902" t="s">
        <v>86</v>
      </c>
      <c r="E902" t="s">
        <v>87</v>
      </c>
      <c r="F902" t="s">
        <v>2089</v>
      </c>
      <c r="G902">
        <v>5721</v>
      </c>
      <c r="H902" t="s">
        <v>2089</v>
      </c>
      <c r="I902" t="s">
        <v>96</v>
      </c>
      <c r="J902" t="s">
        <v>2094</v>
      </c>
      <c r="K902">
        <v>2511555</v>
      </c>
      <c r="L902">
        <v>1142272</v>
      </c>
      <c r="M902">
        <v>399</v>
      </c>
      <c r="N902" t="s">
        <v>2099</v>
      </c>
    </row>
    <row r="903" spans="1:14" x14ac:dyDescent="0.25">
      <c r="A903">
        <v>8588688</v>
      </c>
      <c r="B903" t="s">
        <v>2100</v>
      </c>
      <c r="C903" t="s">
        <v>206</v>
      </c>
      <c r="D903" t="s">
        <v>86</v>
      </c>
      <c r="E903" t="s">
        <v>87</v>
      </c>
      <c r="F903" t="s">
        <v>2089</v>
      </c>
      <c r="G903">
        <v>5721</v>
      </c>
      <c r="H903" t="s">
        <v>2089</v>
      </c>
      <c r="I903" t="s">
        <v>208</v>
      </c>
      <c r="K903">
        <v>2510358.3449400002</v>
      </c>
      <c r="L903">
        <v>1140496.9673899999</v>
      </c>
      <c r="M903">
        <v>405</v>
      </c>
      <c r="N903" t="s">
        <v>2101</v>
      </c>
    </row>
    <row r="904" spans="1:14" x14ac:dyDescent="0.25">
      <c r="A904">
        <v>8581925</v>
      </c>
      <c r="B904" t="s">
        <v>2102</v>
      </c>
      <c r="C904" t="s">
        <v>94</v>
      </c>
      <c r="D904" t="s">
        <v>86</v>
      </c>
      <c r="E904" t="s">
        <v>87</v>
      </c>
      <c r="F904" t="s">
        <v>2089</v>
      </c>
      <c r="G904">
        <v>5721</v>
      </c>
      <c r="H904" t="s">
        <v>2089</v>
      </c>
      <c r="I904" t="s">
        <v>96</v>
      </c>
      <c r="J904" t="s">
        <v>2094</v>
      </c>
      <c r="K904">
        <v>2510278</v>
      </c>
      <c r="L904">
        <v>1141391</v>
      </c>
      <c r="M904">
        <v>408</v>
      </c>
      <c r="N904" t="s">
        <v>2103</v>
      </c>
    </row>
    <row r="905" spans="1:14" x14ac:dyDescent="0.25">
      <c r="A905">
        <v>8594161</v>
      </c>
      <c r="B905" t="s">
        <v>2104</v>
      </c>
      <c r="C905" t="s">
        <v>206</v>
      </c>
      <c r="D905" t="s">
        <v>86</v>
      </c>
      <c r="E905" t="s">
        <v>87</v>
      </c>
      <c r="F905" t="s">
        <v>2089</v>
      </c>
      <c r="G905">
        <v>5721</v>
      </c>
      <c r="H905" t="s">
        <v>2089</v>
      </c>
      <c r="I905" t="s">
        <v>208</v>
      </c>
      <c r="K905">
        <v>2510300</v>
      </c>
      <c r="L905">
        <v>1141171</v>
      </c>
      <c r="M905">
        <v>407</v>
      </c>
      <c r="N905" t="s">
        <v>2105</v>
      </c>
    </row>
    <row r="906" spans="1:14" x14ac:dyDescent="0.25">
      <c r="A906">
        <v>8519355</v>
      </c>
      <c r="B906" t="s">
        <v>2106</v>
      </c>
      <c r="C906" t="s">
        <v>132</v>
      </c>
      <c r="E906" t="s">
        <v>87</v>
      </c>
      <c r="F906" t="s">
        <v>2089</v>
      </c>
      <c r="G906">
        <v>5721</v>
      </c>
      <c r="H906" t="s">
        <v>2089</v>
      </c>
      <c r="I906" t="s">
        <v>133</v>
      </c>
      <c r="J906" t="s">
        <v>130</v>
      </c>
      <c r="K906">
        <v>2509822.679</v>
      </c>
      <c r="L906">
        <v>1141285.7819999999</v>
      </c>
      <c r="M906">
        <v>416</v>
      </c>
      <c r="N906" t="s">
        <v>2107</v>
      </c>
    </row>
    <row r="907" spans="1:14" x14ac:dyDescent="0.25">
      <c r="A907">
        <v>8519356</v>
      </c>
      <c r="B907" t="s">
        <v>2108</v>
      </c>
      <c r="C907" t="s">
        <v>132</v>
      </c>
      <c r="E907" t="s">
        <v>87</v>
      </c>
      <c r="F907" t="s">
        <v>2089</v>
      </c>
      <c r="G907">
        <v>5721</v>
      </c>
      <c r="H907" t="s">
        <v>2089</v>
      </c>
      <c r="I907" t="s">
        <v>133</v>
      </c>
      <c r="J907" t="s">
        <v>130</v>
      </c>
      <c r="K907">
        <v>2509439.2719999999</v>
      </c>
      <c r="L907">
        <v>1141493.1969999999</v>
      </c>
      <c r="M907">
        <v>423</v>
      </c>
      <c r="N907" t="s">
        <v>2109</v>
      </c>
    </row>
    <row r="908" spans="1:14" x14ac:dyDescent="0.25">
      <c r="A908">
        <v>8583804</v>
      </c>
      <c r="B908" t="s">
        <v>2110</v>
      </c>
      <c r="C908" t="s">
        <v>94</v>
      </c>
      <c r="D908" t="s">
        <v>86</v>
      </c>
      <c r="E908" t="s">
        <v>87</v>
      </c>
      <c r="F908" t="s">
        <v>2089</v>
      </c>
      <c r="G908">
        <v>5721</v>
      </c>
      <c r="H908" t="s">
        <v>2089</v>
      </c>
      <c r="I908" t="s">
        <v>96</v>
      </c>
      <c r="K908">
        <v>2511120</v>
      </c>
      <c r="L908">
        <v>1141675</v>
      </c>
      <c r="M908">
        <v>394</v>
      </c>
      <c r="N908" t="s">
        <v>2111</v>
      </c>
    </row>
    <row r="909" spans="1:14" x14ac:dyDescent="0.25">
      <c r="A909">
        <v>8511672</v>
      </c>
      <c r="B909" t="s">
        <v>2112</v>
      </c>
      <c r="C909" t="s">
        <v>94</v>
      </c>
      <c r="D909" t="s">
        <v>86</v>
      </c>
      <c r="E909" t="s">
        <v>87</v>
      </c>
      <c r="F909" t="s">
        <v>2089</v>
      </c>
      <c r="G909">
        <v>5721</v>
      </c>
      <c r="H909" t="s">
        <v>2089</v>
      </c>
      <c r="I909" t="s">
        <v>96</v>
      </c>
      <c r="K909">
        <v>2510385.0463399999</v>
      </c>
      <c r="L909">
        <v>1142131.09586</v>
      </c>
      <c r="M909">
        <v>414.6</v>
      </c>
      <c r="N909" t="s">
        <v>2113</v>
      </c>
    </row>
    <row r="910" spans="1:14" x14ac:dyDescent="0.25">
      <c r="A910">
        <v>8570032</v>
      </c>
      <c r="B910" t="s">
        <v>2114</v>
      </c>
      <c r="C910" t="s">
        <v>94</v>
      </c>
      <c r="D910" t="s">
        <v>86</v>
      </c>
      <c r="E910" t="s">
        <v>87</v>
      </c>
      <c r="F910" t="s">
        <v>2089</v>
      </c>
      <c r="G910">
        <v>5721</v>
      </c>
      <c r="H910" t="s">
        <v>2089</v>
      </c>
      <c r="I910" t="s">
        <v>96</v>
      </c>
      <c r="K910">
        <v>2509573</v>
      </c>
      <c r="L910">
        <v>1141815</v>
      </c>
      <c r="M910">
        <v>428</v>
      </c>
      <c r="N910" t="s">
        <v>2115</v>
      </c>
    </row>
    <row r="911" spans="1:14" x14ac:dyDescent="0.25">
      <c r="A911">
        <v>8511671</v>
      </c>
      <c r="B911" t="s">
        <v>2116</v>
      </c>
      <c r="C911" t="s">
        <v>94</v>
      </c>
      <c r="D911" t="s">
        <v>86</v>
      </c>
      <c r="E911" t="s">
        <v>87</v>
      </c>
      <c r="F911" t="s">
        <v>2089</v>
      </c>
      <c r="G911">
        <v>5721</v>
      </c>
      <c r="H911" t="s">
        <v>2089</v>
      </c>
      <c r="I911" t="s">
        <v>96</v>
      </c>
      <c r="K911">
        <v>2509825.1145799998</v>
      </c>
      <c r="L911">
        <v>1142094.43395</v>
      </c>
      <c r="M911">
        <v>432.4</v>
      </c>
      <c r="N911" t="s">
        <v>2117</v>
      </c>
    </row>
    <row r="912" spans="1:14" x14ac:dyDescent="0.25">
      <c r="A912">
        <v>8583803</v>
      </c>
      <c r="B912" t="s">
        <v>2118</v>
      </c>
      <c r="C912" t="s">
        <v>94</v>
      </c>
      <c r="D912" t="s">
        <v>86</v>
      </c>
      <c r="E912" t="s">
        <v>87</v>
      </c>
      <c r="F912" t="s">
        <v>2089</v>
      </c>
      <c r="G912">
        <v>5721</v>
      </c>
      <c r="H912" t="s">
        <v>2089</v>
      </c>
      <c r="I912" t="s">
        <v>96</v>
      </c>
      <c r="K912">
        <v>2510771</v>
      </c>
      <c r="L912">
        <v>1141626</v>
      </c>
      <c r="M912">
        <v>405</v>
      </c>
      <c r="N912" t="s">
        <v>2119</v>
      </c>
    </row>
    <row r="913" spans="1:14" x14ac:dyDescent="0.25">
      <c r="A913">
        <v>8581940</v>
      </c>
      <c r="B913" t="s">
        <v>2120</v>
      </c>
      <c r="C913" t="s">
        <v>94</v>
      </c>
      <c r="D913" t="s">
        <v>86</v>
      </c>
      <c r="E913" t="s">
        <v>87</v>
      </c>
      <c r="F913" t="s">
        <v>2089</v>
      </c>
      <c r="G913">
        <v>5721</v>
      </c>
      <c r="H913" t="s">
        <v>2089</v>
      </c>
      <c r="I913" t="s">
        <v>96</v>
      </c>
      <c r="K913">
        <v>2510283</v>
      </c>
      <c r="L913">
        <v>1142215</v>
      </c>
      <c r="M913">
        <v>418</v>
      </c>
      <c r="N913" t="s">
        <v>2121</v>
      </c>
    </row>
    <row r="914" spans="1:14" x14ac:dyDescent="0.25">
      <c r="A914">
        <v>8581928</v>
      </c>
      <c r="B914" t="s">
        <v>2122</v>
      </c>
      <c r="C914" t="s">
        <v>94</v>
      </c>
      <c r="D914" t="s">
        <v>86</v>
      </c>
      <c r="E914" t="s">
        <v>87</v>
      </c>
      <c r="F914" t="s">
        <v>2089</v>
      </c>
      <c r="G914">
        <v>5721</v>
      </c>
      <c r="H914" t="s">
        <v>2089</v>
      </c>
      <c r="I914" t="s">
        <v>96</v>
      </c>
      <c r="K914">
        <v>2511124</v>
      </c>
      <c r="L914">
        <v>1141513</v>
      </c>
      <c r="M914">
        <v>393</v>
      </c>
      <c r="N914" t="s">
        <v>2123</v>
      </c>
    </row>
    <row r="915" spans="1:14" x14ac:dyDescent="0.25">
      <c r="A915">
        <v>8583430</v>
      </c>
      <c r="B915" t="s">
        <v>2124</v>
      </c>
      <c r="C915" t="s">
        <v>94</v>
      </c>
      <c r="D915" t="s">
        <v>86</v>
      </c>
      <c r="E915" t="s">
        <v>87</v>
      </c>
      <c r="F915" t="s">
        <v>2089</v>
      </c>
      <c r="G915">
        <v>5721</v>
      </c>
      <c r="H915" t="s">
        <v>2089</v>
      </c>
      <c r="I915" t="s">
        <v>96</v>
      </c>
      <c r="K915">
        <v>2511740</v>
      </c>
      <c r="L915">
        <v>1142086</v>
      </c>
      <c r="M915">
        <v>387</v>
      </c>
      <c r="N915" t="s">
        <v>2125</v>
      </c>
    </row>
    <row r="916" spans="1:14" x14ac:dyDescent="0.25">
      <c r="A916">
        <v>8570030</v>
      </c>
      <c r="B916" t="s">
        <v>2126</v>
      </c>
      <c r="C916" t="s">
        <v>94</v>
      </c>
      <c r="D916" t="s">
        <v>86</v>
      </c>
      <c r="E916" t="s">
        <v>87</v>
      </c>
      <c r="F916" t="s">
        <v>2089</v>
      </c>
      <c r="G916">
        <v>5721</v>
      </c>
      <c r="H916" t="s">
        <v>2089</v>
      </c>
      <c r="I916" t="s">
        <v>96</v>
      </c>
      <c r="K916">
        <v>2510075</v>
      </c>
      <c r="L916">
        <v>1141643</v>
      </c>
      <c r="M916">
        <v>418</v>
      </c>
      <c r="N916" t="s">
        <v>2127</v>
      </c>
    </row>
    <row r="917" spans="1:14" x14ac:dyDescent="0.25">
      <c r="A917">
        <v>8570031</v>
      </c>
      <c r="B917" t="s">
        <v>2128</v>
      </c>
      <c r="C917" t="s">
        <v>94</v>
      </c>
      <c r="D917" t="s">
        <v>86</v>
      </c>
      <c r="E917" t="s">
        <v>87</v>
      </c>
      <c r="F917" t="s">
        <v>2089</v>
      </c>
      <c r="G917">
        <v>5721</v>
      </c>
      <c r="H917" t="s">
        <v>2089</v>
      </c>
      <c r="I917" t="s">
        <v>96</v>
      </c>
      <c r="K917">
        <v>2509855</v>
      </c>
      <c r="L917">
        <v>1141711</v>
      </c>
      <c r="M917">
        <v>422</v>
      </c>
      <c r="N917" t="s">
        <v>2129</v>
      </c>
    </row>
    <row r="918" spans="1:14" x14ac:dyDescent="0.25">
      <c r="A918">
        <v>8581927</v>
      </c>
      <c r="B918" t="s">
        <v>2130</v>
      </c>
      <c r="C918" t="s">
        <v>94</v>
      </c>
      <c r="D918" t="s">
        <v>86</v>
      </c>
      <c r="E918" t="s">
        <v>87</v>
      </c>
      <c r="F918" t="s">
        <v>2089</v>
      </c>
      <c r="G918">
        <v>5721</v>
      </c>
      <c r="H918" t="s">
        <v>2089</v>
      </c>
      <c r="I918" t="s">
        <v>96</v>
      </c>
      <c r="K918">
        <v>2509592</v>
      </c>
      <c r="L918">
        <v>1142091</v>
      </c>
      <c r="M918">
        <v>430</v>
      </c>
      <c r="N918" t="s">
        <v>2131</v>
      </c>
    </row>
    <row r="919" spans="1:14" x14ac:dyDescent="0.25">
      <c r="A919">
        <v>8581930</v>
      </c>
      <c r="B919" t="s">
        <v>2132</v>
      </c>
      <c r="C919" t="s">
        <v>94</v>
      </c>
      <c r="D919" t="s">
        <v>86</v>
      </c>
      <c r="E919" t="s">
        <v>87</v>
      </c>
      <c r="F919" t="s">
        <v>2089</v>
      </c>
      <c r="G919">
        <v>5721</v>
      </c>
      <c r="H919" t="s">
        <v>2089</v>
      </c>
      <c r="I919" t="s">
        <v>96</v>
      </c>
      <c r="K919">
        <v>2510559</v>
      </c>
      <c r="L919">
        <v>1141383</v>
      </c>
      <c r="M919">
        <v>404</v>
      </c>
      <c r="N919" t="s">
        <v>2133</v>
      </c>
    </row>
    <row r="920" spans="1:14" x14ac:dyDescent="0.25">
      <c r="A920">
        <v>8581935</v>
      </c>
      <c r="B920" t="s">
        <v>2134</v>
      </c>
      <c r="C920" t="s">
        <v>94</v>
      </c>
      <c r="D920" t="s">
        <v>86</v>
      </c>
      <c r="E920" t="s">
        <v>87</v>
      </c>
      <c r="F920" t="s">
        <v>2089</v>
      </c>
      <c r="G920">
        <v>5721</v>
      </c>
      <c r="H920" t="s">
        <v>2089</v>
      </c>
      <c r="I920" t="s">
        <v>96</v>
      </c>
      <c r="K920">
        <v>2510255</v>
      </c>
      <c r="L920">
        <v>1141653</v>
      </c>
      <c r="M920">
        <v>415</v>
      </c>
      <c r="N920" t="s">
        <v>2135</v>
      </c>
    </row>
    <row r="921" spans="1:14" x14ac:dyDescent="0.25">
      <c r="A921">
        <v>8581936</v>
      </c>
      <c r="B921" t="s">
        <v>2136</v>
      </c>
      <c r="C921" t="s">
        <v>94</v>
      </c>
      <c r="D921" t="s">
        <v>86</v>
      </c>
      <c r="E921" t="s">
        <v>87</v>
      </c>
      <c r="F921" t="s">
        <v>2089</v>
      </c>
      <c r="G921">
        <v>5721</v>
      </c>
      <c r="H921" t="s">
        <v>2089</v>
      </c>
      <c r="I921" t="s">
        <v>96</v>
      </c>
      <c r="K921">
        <v>2510527</v>
      </c>
      <c r="L921">
        <v>1141900</v>
      </c>
      <c r="M921">
        <v>417</v>
      </c>
      <c r="N921" t="s">
        <v>2137</v>
      </c>
    </row>
    <row r="922" spans="1:14" x14ac:dyDescent="0.25">
      <c r="A922">
        <v>8583431</v>
      </c>
      <c r="B922" t="s">
        <v>2138</v>
      </c>
      <c r="C922" t="s">
        <v>94</v>
      </c>
      <c r="D922" t="s">
        <v>86</v>
      </c>
      <c r="E922" t="s">
        <v>87</v>
      </c>
      <c r="F922" t="s">
        <v>2089</v>
      </c>
      <c r="G922">
        <v>5721</v>
      </c>
      <c r="H922" t="s">
        <v>2089</v>
      </c>
      <c r="I922" t="s">
        <v>96</v>
      </c>
      <c r="K922">
        <v>2509374</v>
      </c>
      <c r="L922">
        <v>1142028</v>
      </c>
      <c r="M922">
        <v>434</v>
      </c>
      <c r="N922" t="s">
        <v>2139</v>
      </c>
    </row>
    <row r="923" spans="1:14" x14ac:dyDescent="0.25">
      <c r="A923">
        <v>8501031</v>
      </c>
      <c r="B923" t="s">
        <v>2089</v>
      </c>
      <c r="C923" t="s">
        <v>132</v>
      </c>
      <c r="D923" t="s">
        <v>112</v>
      </c>
      <c r="E923" t="s">
        <v>87</v>
      </c>
      <c r="F923" t="s">
        <v>2089</v>
      </c>
      <c r="G923">
        <v>5721</v>
      </c>
      <c r="H923" t="s">
        <v>2089</v>
      </c>
      <c r="I923" t="s">
        <v>133</v>
      </c>
      <c r="K923">
        <v>2510093.1979999999</v>
      </c>
      <c r="L923">
        <v>1141631.179</v>
      </c>
      <c r="M923">
        <v>415.57100000000003</v>
      </c>
      <c r="N923" t="s">
        <v>2140</v>
      </c>
    </row>
    <row r="924" spans="1:14" x14ac:dyDescent="0.25">
      <c r="A924">
        <v>8501333</v>
      </c>
      <c r="B924" t="s">
        <v>2141</v>
      </c>
      <c r="C924" t="s">
        <v>94</v>
      </c>
      <c r="D924" t="s">
        <v>86</v>
      </c>
      <c r="E924" t="s">
        <v>87</v>
      </c>
      <c r="F924" t="s">
        <v>2089</v>
      </c>
      <c r="G924">
        <v>5721</v>
      </c>
      <c r="H924" t="s">
        <v>2089</v>
      </c>
      <c r="I924" t="s">
        <v>96</v>
      </c>
      <c r="K924">
        <v>2509351</v>
      </c>
      <c r="L924">
        <v>1141958</v>
      </c>
      <c r="M924">
        <v>433</v>
      </c>
      <c r="N924" t="s">
        <v>2142</v>
      </c>
    </row>
    <row r="925" spans="1:14" x14ac:dyDescent="0.25">
      <c r="A925">
        <v>8583432</v>
      </c>
      <c r="B925" t="s">
        <v>2143</v>
      </c>
      <c r="C925" t="s">
        <v>94</v>
      </c>
      <c r="D925" t="s">
        <v>86</v>
      </c>
      <c r="E925" t="s">
        <v>87</v>
      </c>
      <c r="F925" t="s">
        <v>2089</v>
      </c>
      <c r="G925">
        <v>5721</v>
      </c>
      <c r="H925" t="s">
        <v>2089</v>
      </c>
      <c r="I925" t="s">
        <v>96</v>
      </c>
      <c r="K925">
        <v>2509892</v>
      </c>
      <c r="L925">
        <v>1142488</v>
      </c>
      <c r="M925">
        <v>430</v>
      </c>
      <c r="N925" t="s">
        <v>2144</v>
      </c>
    </row>
    <row r="926" spans="1:14" x14ac:dyDescent="0.25">
      <c r="A926">
        <v>8507269</v>
      </c>
      <c r="B926" t="s">
        <v>2145</v>
      </c>
      <c r="C926" t="s">
        <v>85</v>
      </c>
      <c r="D926" t="s">
        <v>86</v>
      </c>
      <c r="E926" t="s">
        <v>87</v>
      </c>
      <c r="F926" t="s">
        <v>2146</v>
      </c>
      <c r="G926">
        <v>5484</v>
      </c>
      <c r="H926" t="s">
        <v>2146</v>
      </c>
      <c r="I926" t="s">
        <v>89</v>
      </c>
      <c r="K926">
        <v>2530106.0350500001</v>
      </c>
      <c r="L926">
        <v>1160794.2732800001</v>
      </c>
      <c r="M926">
        <v>449.6</v>
      </c>
      <c r="N926" t="s">
        <v>2147</v>
      </c>
    </row>
    <row r="927" spans="1:14" x14ac:dyDescent="0.25">
      <c r="A927">
        <v>8507283</v>
      </c>
      <c r="B927" t="s">
        <v>2148</v>
      </c>
      <c r="C927" t="s">
        <v>85</v>
      </c>
      <c r="D927" t="s">
        <v>86</v>
      </c>
      <c r="E927" t="s">
        <v>87</v>
      </c>
      <c r="F927" t="s">
        <v>2146</v>
      </c>
      <c r="G927">
        <v>5484</v>
      </c>
      <c r="H927" t="s">
        <v>2146</v>
      </c>
      <c r="I927" t="s">
        <v>89</v>
      </c>
      <c r="K927">
        <v>2528796.1379999998</v>
      </c>
      <c r="L927">
        <v>1159651.5719999999</v>
      </c>
      <c r="M927">
        <v>497.8</v>
      </c>
      <c r="N927" t="s">
        <v>2149</v>
      </c>
    </row>
    <row r="928" spans="1:14" x14ac:dyDescent="0.25">
      <c r="A928">
        <v>8511586</v>
      </c>
      <c r="B928" t="s">
        <v>2150</v>
      </c>
      <c r="C928" t="s">
        <v>85</v>
      </c>
      <c r="D928" t="s">
        <v>86</v>
      </c>
      <c r="E928" t="s">
        <v>87</v>
      </c>
      <c r="F928" t="s">
        <v>2146</v>
      </c>
      <c r="G928">
        <v>5484</v>
      </c>
      <c r="H928" t="s">
        <v>2146</v>
      </c>
      <c r="I928" t="s">
        <v>89</v>
      </c>
      <c r="K928">
        <v>2528842.6320000002</v>
      </c>
      <c r="L928">
        <v>1159975.2812900001</v>
      </c>
      <c r="M928">
        <v>504.4</v>
      </c>
      <c r="N928" t="s">
        <v>2151</v>
      </c>
    </row>
    <row r="929" spans="1:14" x14ac:dyDescent="0.25">
      <c r="A929">
        <v>8570094</v>
      </c>
      <c r="B929" t="s">
        <v>2152</v>
      </c>
      <c r="C929" t="s">
        <v>85</v>
      </c>
      <c r="D929" t="s">
        <v>86</v>
      </c>
      <c r="E929" t="s">
        <v>87</v>
      </c>
      <c r="F929" t="s">
        <v>2146</v>
      </c>
      <c r="G929">
        <v>5484</v>
      </c>
      <c r="H929" t="s">
        <v>2146</v>
      </c>
      <c r="I929" t="s">
        <v>89</v>
      </c>
      <c r="K929">
        <v>2528775</v>
      </c>
      <c r="L929">
        <v>1159850</v>
      </c>
      <c r="M929">
        <v>506</v>
      </c>
      <c r="N929" t="s">
        <v>2153</v>
      </c>
    </row>
    <row r="930" spans="1:14" x14ac:dyDescent="0.25">
      <c r="A930">
        <v>8570201</v>
      </c>
      <c r="B930" t="s">
        <v>2154</v>
      </c>
      <c r="C930" t="s">
        <v>94</v>
      </c>
      <c r="D930" t="s">
        <v>86</v>
      </c>
      <c r="E930" t="s">
        <v>87</v>
      </c>
      <c r="F930" t="s">
        <v>2155</v>
      </c>
      <c r="G930">
        <v>5541</v>
      </c>
      <c r="H930" t="s">
        <v>2156</v>
      </c>
      <c r="I930" t="s">
        <v>96</v>
      </c>
      <c r="K930">
        <v>2537030</v>
      </c>
      <c r="L930">
        <v>1167145</v>
      </c>
      <c r="M930">
        <v>614</v>
      </c>
      <c r="N930" t="s">
        <v>2157</v>
      </c>
    </row>
    <row r="931" spans="1:14" x14ac:dyDescent="0.25">
      <c r="A931">
        <v>8570188</v>
      </c>
      <c r="B931" t="s">
        <v>2158</v>
      </c>
      <c r="C931" t="s">
        <v>94</v>
      </c>
      <c r="D931" t="s">
        <v>86</v>
      </c>
      <c r="E931" t="s">
        <v>87</v>
      </c>
      <c r="F931" t="s">
        <v>2155</v>
      </c>
      <c r="G931">
        <v>5541</v>
      </c>
      <c r="H931" t="s">
        <v>2159</v>
      </c>
      <c r="I931" t="s">
        <v>96</v>
      </c>
      <c r="K931">
        <v>2535145</v>
      </c>
      <c r="L931">
        <v>1167039</v>
      </c>
      <c r="M931">
        <v>594</v>
      </c>
      <c r="N931" t="s">
        <v>2160</v>
      </c>
    </row>
    <row r="932" spans="1:14" x14ac:dyDescent="0.25">
      <c r="A932">
        <v>8570190</v>
      </c>
      <c r="B932" t="s">
        <v>2161</v>
      </c>
      <c r="C932" t="s">
        <v>94</v>
      </c>
      <c r="D932" t="s">
        <v>86</v>
      </c>
      <c r="E932" t="s">
        <v>87</v>
      </c>
      <c r="F932" t="s">
        <v>2155</v>
      </c>
      <c r="G932">
        <v>5541</v>
      </c>
      <c r="H932" t="s">
        <v>2156</v>
      </c>
      <c r="I932" t="s">
        <v>96</v>
      </c>
      <c r="K932">
        <v>2536117</v>
      </c>
      <c r="L932">
        <v>1167767</v>
      </c>
      <c r="M932">
        <v>616</v>
      </c>
      <c r="N932" t="s">
        <v>2162</v>
      </c>
    </row>
    <row r="933" spans="1:14" x14ac:dyDescent="0.25">
      <c r="A933">
        <v>8570189</v>
      </c>
      <c r="B933" t="s">
        <v>2163</v>
      </c>
      <c r="C933" t="s">
        <v>94</v>
      </c>
      <c r="D933" t="s">
        <v>86</v>
      </c>
      <c r="E933" t="s">
        <v>87</v>
      </c>
      <c r="F933" t="s">
        <v>2155</v>
      </c>
      <c r="G933">
        <v>5541</v>
      </c>
      <c r="H933" t="s">
        <v>2156</v>
      </c>
      <c r="I933" t="s">
        <v>96</v>
      </c>
      <c r="K933">
        <v>2535997</v>
      </c>
      <c r="L933">
        <v>1167628</v>
      </c>
      <c r="M933">
        <v>612</v>
      </c>
      <c r="N933" t="s">
        <v>2164</v>
      </c>
    </row>
    <row r="934" spans="1:14" x14ac:dyDescent="0.25">
      <c r="A934">
        <v>8570107</v>
      </c>
      <c r="B934" t="s">
        <v>2165</v>
      </c>
      <c r="C934" t="s">
        <v>85</v>
      </c>
      <c r="D934" t="s">
        <v>86</v>
      </c>
      <c r="E934" t="s">
        <v>87</v>
      </c>
      <c r="F934" t="s">
        <v>2166</v>
      </c>
      <c r="G934">
        <v>5485</v>
      </c>
      <c r="H934" t="s">
        <v>2166</v>
      </c>
      <c r="I934" t="s">
        <v>89</v>
      </c>
      <c r="K934">
        <v>2525416.93725</v>
      </c>
      <c r="L934">
        <v>1160568.1799900001</v>
      </c>
      <c r="M934">
        <v>581.20000000000005</v>
      </c>
      <c r="N934" t="s">
        <v>2167</v>
      </c>
    </row>
    <row r="935" spans="1:14" x14ac:dyDescent="0.25">
      <c r="A935">
        <v>8570106</v>
      </c>
      <c r="B935" t="s">
        <v>2168</v>
      </c>
      <c r="C935" t="s">
        <v>85</v>
      </c>
      <c r="D935" t="s">
        <v>86</v>
      </c>
      <c r="E935" t="s">
        <v>87</v>
      </c>
      <c r="F935" t="s">
        <v>2166</v>
      </c>
      <c r="G935">
        <v>5485</v>
      </c>
      <c r="H935" t="s">
        <v>2166</v>
      </c>
      <c r="I935" t="s">
        <v>89</v>
      </c>
      <c r="K935">
        <v>2525175</v>
      </c>
      <c r="L935">
        <v>1160225</v>
      </c>
      <c r="M935">
        <v>597</v>
      </c>
      <c r="N935" t="s">
        <v>2169</v>
      </c>
    </row>
    <row r="936" spans="1:14" x14ac:dyDescent="0.25">
      <c r="A936">
        <v>8577639</v>
      </c>
      <c r="B936" t="s">
        <v>2170</v>
      </c>
      <c r="C936" t="s">
        <v>297</v>
      </c>
      <c r="D936" t="s">
        <v>86</v>
      </c>
      <c r="E936" t="s">
        <v>87</v>
      </c>
      <c r="F936" t="s">
        <v>2171</v>
      </c>
      <c r="G936">
        <v>5817</v>
      </c>
      <c r="H936" t="s">
        <v>2171</v>
      </c>
      <c r="I936" t="s">
        <v>298</v>
      </c>
      <c r="K936">
        <v>2559923.3944700002</v>
      </c>
      <c r="L936">
        <v>1190654.6950000001</v>
      </c>
      <c r="M936">
        <v>496.7</v>
      </c>
      <c r="N936" t="s">
        <v>2172</v>
      </c>
    </row>
    <row r="937" spans="1:14" x14ac:dyDescent="0.25">
      <c r="A937">
        <v>8577641</v>
      </c>
      <c r="B937" t="s">
        <v>2173</v>
      </c>
      <c r="C937" t="s">
        <v>297</v>
      </c>
      <c r="D937" t="s">
        <v>86</v>
      </c>
      <c r="E937" t="s">
        <v>87</v>
      </c>
      <c r="F937" t="s">
        <v>2171</v>
      </c>
      <c r="G937">
        <v>5817</v>
      </c>
      <c r="H937" t="s">
        <v>2171</v>
      </c>
      <c r="I937" t="s">
        <v>298</v>
      </c>
      <c r="K937">
        <v>2562481.7067499999</v>
      </c>
      <c r="L937">
        <v>1191221.7315799999</v>
      </c>
      <c r="M937">
        <v>447.8</v>
      </c>
      <c r="N937" t="s">
        <v>2174</v>
      </c>
    </row>
    <row r="938" spans="1:14" x14ac:dyDescent="0.25">
      <c r="A938">
        <v>8557020</v>
      </c>
      <c r="B938" t="s">
        <v>2175</v>
      </c>
      <c r="C938" t="s">
        <v>94</v>
      </c>
      <c r="D938" t="s">
        <v>86</v>
      </c>
      <c r="E938" t="s">
        <v>87</v>
      </c>
      <c r="F938" t="s">
        <v>2171</v>
      </c>
      <c r="G938">
        <v>5817</v>
      </c>
      <c r="H938" t="s">
        <v>2171</v>
      </c>
      <c r="I938" t="s">
        <v>96</v>
      </c>
      <c r="K938">
        <v>2560939</v>
      </c>
      <c r="L938">
        <v>1191726</v>
      </c>
      <c r="M938">
        <v>477</v>
      </c>
      <c r="N938" t="s">
        <v>2176</v>
      </c>
    </row>
    <row r="939" spans="1:14" x14ac:dyDescent="0.25">
      <c r="A939">
        <v>8583724</v>
      </c>
      <c r="B939" t="s">
        <v>2177</v>
      </c>
      <c r="C939" t="s">
        <v>94</v>
      </c>
      <c r="D939" t="s">
        <v>86</v>
      </c>
      <c r="E939" t="s">
        <v>87</v>
      </c>
      <c r="F939" t="s">
        <v>2171</v>
      </c>
      <c r="G939">
        <v>5817</v>
      </c>
      <c r="H939" t="s">
        <v>2171</v>
      </c>
      <c r="I939" t="s">
        <v>96</v>
      </c>
      <c r="K939">
        <v>2560824</v>
      </c>
      <c r="L939">
        <v>1191130</v>
      </c>
      <c r="M939">
        <v>447</v>
      </c>
      <c r="N939" t="s">
        <v>2178</v>
      </c>
    </row>
    <row r="940" spans="1:14" x14ac:dyDescent="0.25">
      <c r="A940">
        <v>8504986</v>
      </c>
      <c r="B940" t="s">
        <v>2179</v>
      </c>
      <c r="C940" t="s">
        <v>94</v>
      </c>
      <c r="D940" t="s">
        <v>86</v>
      </c>
      <c r="E940" t="s">
        <v>87</v>
      </c>
      <c r="F940" t="s">
        <v>2171</v>
      </c>
      <c r="G940">
        <v>5817</v>
      </c>
      <c r="H940" t="s">
        <v>2171</v>
      </c>
      <c r="I940" t="s">
        <v>96</v>
      </c>
      <c r="K940">
        <v>2561134</v>
      </c>
      <c r="L940">
        <v>1191316</v>
      </c>
      <c r="M940">
        <v>481</v>
      </c>
      <c r="N940" t="s">
        <v>2180</v>
      </c>
    </row>
    <row r="941" spans="1:14" x14ac:dyDescent="0.25">
      <c r="A941">
        <v>8580463</v>
      </c>
      <c r="B941" t="s">
        <v>2181</v>
      </c>
      <c r="C941" t="s">
        <v>94</v>
      </c>
      <c r="D941" t="s">
        <v>86</v>
      </c>
      <c r="E941" t="s">
        <v>87</v>
      </c>
      <c r="F941" t="s">
        <v>2182</v>
      </c>
      <c r="G941">
        <v>5560</v>
      </c>
      <c r="H941" t="s">
        <v>2182</v>
      </c>
      <c r="I941" t="s">
        <v>96</v>
      </c>
      <c r="K941">
        <v>2536574</v>
      </c>
      <c r="L941">
        <v>1187912</v>
      </c>
      <c r="M941">
        <v>679</v>
      </c>
      <c r="N941" t="s">
        <v>2183</v>
      </c>
    </row>
    <row r="942" spans="1:14" x14ac:dyDescent="0.25">
      <c r="A942">
        <v>8583823</v>
      </c>
      <c r="B942" t="s">
        <v>2184</v>
      </c>
      <c r="C942" t="s">
        <v>94</v>
      </c>
      <c r="D942" t="s">
        <v>86</v>
      </c>
      <c r="E942" t="s">
        <v>87</v>
      </c>
      <c r="F942" t="s">
        <v>2182</v>
      </c>
      <c r="G942">
        <v>5560</v>
      </c>
      <c r="H942" t="s">
        <v>2182</v>
      </c>
      <c r="I942" t="s">
        <v>96</v>
      </c>
      <c r="K942">
        <v>2536325</v>
      </c>
      <c r="L942">
        <v>1187662</v>
      </c>
      <c r="M942">
        <v>648</v>
      </c>
      <c r="N942" t="s">
        <v>2185</v>
      </c>
    </row>
    <row r="943" spans="1:14" x14ac:dyDescent="0.25">
      <c r="A943">
        <v>8504557</v>
      </c>
      <c r="B943" t="s">
        <v>2186</v>
      </c>
      <c r="C943" t="s">
        <v>301</v>
      </c>
      <c r="D943" t="s">
        <v>302</v>
      </c>
      <c r="E943" t="s">
        <v>87</v>
      </c>
      <c r="F943" t="s">
        <v>2187</v>
      </c>
      <c r="G943">
        <v>5561</v>
      </c>
      <c r="H943" t="s">
        <v>2187</v>
      </c>
      <c r="I943" t="s">
        <v>303</v>
      </c>
      <c r="K943">
        <v>2539260</v>
      </c>
      <c r="L943">
        <v>1184178.0009999999</v>
      </c>
      <c r="M943">
        <v>430</v>
      </c>
      <c r="N943" t="s">
        <v>2188</v>
      </c>
    </row>
    <row r="944" spans="1:14" x14ac:dyDescent="0.25">
      <c r="A944">
        <v>8579855</v>
      </c>
      <c r="B944" t="s">
        <v>2189</v>
      </c>
      <c r="C944" t="s">
        <v>94</v>
      </c>
      <c r="D944" t="s">
        <v>86</v>
      </c>
      <c r="E944" t="s">
        <v>87</v>
      </c>
      <c r="F944" t="s">
        <v>2187</v>
      </c>
      <c r="G944">
        <v>5561</v>
      </c>
      <c r="H944" t="s">
        <v>2187</v>
      </c>
      <c r="I944" t="s">
        <v>96</v>
      </c>
      <c r="K944">
        <v>2539964</v>
      </c>
      <c r="L944">
        <v>1185222</v>
      </c>
      <c r="M944">
        <v>465</v>
      </c>
      <c r="N944" t="s">
        <v>2190</v>
      </c>
    </row>
    <row r="945" spans="1:14" x14ac:dyDescent="0.25">
      <c r="A945">
        <v>8575769</v>
      </c>
      <c r="B945" t="s">
        <v>2191</v>
      </c>
      <c r="C945" t="s">
        <v>94</v>
      </c>
      <c r="D945" t="s">
        <v>86</v>
      </c>
      <c r="E945" t="s">
        <v>87</v>
      </c>
      <c r="F945" t="s">
        <v>2187</v>
      </c>
      <c r="G945">
        <v>5561</v>
      </c>
      <c r="H945" t="s">
        <v>2187</v>
      </c>
      <c r="I945" t="s">
        <v>96</v>
      </c>
      <c r="K945">
        <v>2539602</v>
      </c>
      <c r="L945">
        <v>1185088</v>
      </c>
      <c r="M945">
        <v>476</v>
      </c>
      <c r="N945" t="s">
        <v>2192</v>
      </c>
    </row>
    <row r="946" spans="1:14" x14ac:dyDescent="0.25">
      <c r="A946">
        <v>8507950</v>
      </c>
      <c r="B946" t="s">
        <v>2193</v>
      </c>
      <c r="C946" t="s">
        <v>94</v>
      </c>
      <c r="D946" t="s">
        <v>86</v>
      </c>
      <c r="E946" t="s">
        <v>87</v>
      </c>
      <c r="F946" t="s">
        <v>2187</v>
      </c>
      <c r="G946">
        <v>5561</v>
      </c>
      <c r="H946" t="s">
        <v>2187</v>
      </c>
      <c r="I946" t="s">
        <v>96</v>
      </c>
      <c r="K946">
        <v>2538121</v>
      </c>
      <c r="L946">
        <v>1185867</v>
      </c>
      <c r="M946">
        <v>470</v>
      </c>
      <c r="N946" t="s">
        <v>2194</v>
      </c>
    </row>
    <row r="947" spans="1:14" x14ac:dyDescent="0.25">
      <c r="A947">
        <v>8507965</v>
      </c>
      <c r="B947" t="s">
        <v>2195</v>
      </c>
      <c r="C947" t="s">
        <v>94</v>
      </c>
      <c r="D947" t="s">
        <v>86</v>
      </c>
      <c r="E947" t="s">
        <v>87</v>
      </c>
      <c r="F947" t="s">
        <v>2187</v>
      </c>
      <c r="G947">
        <v>5561</v>
      </c>
      <c r="H947" t="s">
        <v>2187</v>
      </c>
      <c r="I947" t="s">
        <v>96</v>
      </c>
      <c r="K947">
        <v>2538126</v>
      </c>
      <c r="L947">
        <v>1183323</v>
      </c>
      <c r="M947">
        <v>434</v>
      </c>
      <c r="N947" t="s">
        <v>2196</v>
      </c>
    </row>
    <row r="948" spans="1:14" x14ac:dyDescent="0.25">
      <c r="A948">
        <v>8507957</v>
      </c>
      <c r="B948" t="s">
        <v>2197</v>
      </c>
      <c r="C948" t="s">
        <v>94</v>
      </c>
      <c r="D948" t="s">
        <v>86</v>
      </c>
      <c r="E948" t="s">
        <v>87</v>
      </c>
      <c r="F948" t="s">
        <v>2187</v>
      </c>
      <c r="G948">
        <v>5561</v>
      </c>
      <c r="H948" t="s">
        <v>2187</v>
      </c>
      <c r="I948" t="s">
        <v>96</v>
      </c>
      <c r="K948">
        <v>2540028</v>
      </c>
      <c r="L948">
        <v>1185228</v>
      </c>
      <c r="M948">
        <v>464</v>
      </c>
      <c r="N948" t="s">
        <v>2198</v>
      </c>
    </row>
    <row r="949" spans="1:14" x14ac:dyDescent="0.25">
      <c r="A949">
        <v>8570252</v>
      </c>
      <c r="B949" t="s">
        <v>2199</v>
      </c>
      <c r="C949" t="s">
        <v>94</v>
      </c>
      <c r="D949" t="s">
        <v>86</v>
      </c>
      <c r="E949" t="s">
        <v>87</v>
      </c>
      <c r="F949" t="s">
        <v>2187</v>
      </c>
      <c r="G949">
        <v>5561</v>
      </c>
      <c r="H949" t="s">
        <v>2187</v>
      </c>
      <c r="I949" t="s">
        <v>96</v>
      </c>
      <c r="K949">
        <v>2539202</v>
      </c>
      <c r="L949">
        <v>1184250</v>
      </c>
      <c r="M949">
        <v>437</v>
      </c>
      <c r="N949" t="s">
        <v>2200</v>
      </c>
    </row>
    <row r="950" spans="1:14" x14ac:dyDescent="0.25">
      <c r="A950">
        <v>8570254</v>
      </c>
      <c r="B950" t="s">
        <v>2201</v>
      </c>
      <c r="C950" t="s">
        <v>94</v>
      </c>
      <c r="D950" t="s">
        <v>86</v>
      </c>
      <c r="E950" t="s">
        <v>87</v>
      </c>
      <c r="F950" t="s">
        <v>2187</v>
      </c>
      <c r="G950">
        <v>5561</v>
      </c>
      <c r="H950" t="s">
        <v>2187</v>
      </c>
      <c r="I950" t="s">
        <v>96</v>
      </c>
      <c r="K950">
        <v>2539157</v>
      </c>
      <c r="L950">
        <v>1184476</v>
      </c>
      <c r="M950">
        <v>457</v>
      </c>
      <c r="N950" t="s">
        <v>2202</v>
      </c>
    </row>
    <row r="951" spans="1:14" x14ac:dyDescent="0.25">
      <c r="A951">
        <v>8501981</v>
      </c>
      <c r="B951" t="s">
        <v>2203</v>
      </c>
      <c r="C951" t="s">
        <v>94</v>
      </c>
      <c r="D951" t="s">
        <v>86</v>
      </c>
      <c r="E951" t="s">
        <v>87</v>
      </c>
      <c r="F951" t="s">
        <v>2187</v>
      </c>
      <c r="G951">
        <v>5561</v>
      </c>
      <c r="H951" t="s">
        <v>2187</v>
      </c>
      <c r="I951" t="s">
        <v>96</v>
      </c>
      <c r="K951">
        <v>2540595</v>
      </c>
      <c r="L951">
        <v>1185768</v>
      </c>
      <c r="M951">
        <v>452</v>
      </c>
      <c r="N951" t="s">
        <v>2204</v>
      </c>
    </row>
    <row r="952" spans="1:14" x14ac:dyDescent="0.25">
      <c r="A952">
        <v>8570255</v>
      </c>
      <c r="B952" t="s">
        <v>2205</v>
      </c>
      <c r="C952" t="s">
        <v>94</v>
      </c>
      <c r="D952" t="s">
        <v>86</v>
      </c>
      <c r="E952" t="s">
        <v>87</v>
      </c>
      <c r="F952" t="s">
        <v>2187</v>
      </c>
      <c r="G952">
        <v>5561</v>
      </c>
      <c r="H952" t="s">
        <v>2187</v>
      </c>
      <c r="I952" t="s">
        <v>96</v>
      </c>
      <c r="K952">
        <v>2538954</v>
      </c>
      <c r="L952">
        <v>1184474</v>
      </c>
      <c r="M952">
        <v>475</v>
      </c>
      <c r="N952" t="s">
        <v>2206</v>
      </c>
    </row>
    <row r="953" spans="1:14" x14ac:dyDescent="0.25">
      <c r="A953">
        <v>8570253</v>
      </c>
      <c r="B953" t="s">
        <v>2207</v>
      </c>
      <c r="C953" t="s">
        <v>94</v>
      </c>
      <c r="D953" t="s">
        <v>86</v>
      </c>
      <c r="E953" t="s">
        <v>87</v>
      </c>
      <c r="F953" t="s">
        <v>2187</v>
      </c>
      <c r="G953">
        <v>5561</v>
      </c>
      <c r="H953" t="s">
        <v>2187</v>
      </c>
      <c r="I953" t="s">
        <v>96</v>
      </c>
      <c r="K953">
        <v>2539502</v>
      </c>
      <c r="L953">
        <v>1184557</v>
      </c>
      <c r="M953">
        <v>447</v>
      </c>
      <c r="N953" t="s">
        <v>2208</v>
      </c>
    </row>
    <row r="954" spans="1:14" x14ac:dyDescent="0.25">
      <c r="A954">
        <v>8504201</v>
      </c>
      <c r="B954" t="s">
        <v>2187</v>
      </c>
      <c r="C954" t="s">
        <v>132</v>
      </c>
      <c r="D954" t="s">
        <v>112</v>
      </c>
      <c r="E954" t="s">
        <v>87</v>
      </c>
      <c r="F954" t="s">
        <v>2187</v>
      </c>
      <c r="G954">
        <v>5561</v>
      </c>
      <c r="H954" t="s">
        <v>2187</v>
      </c>
      <c r="I954" t="s">
        <v>133</v>
      </c>
      <c r="K954">
        <v>2539188.5780000002</v>
      </c>
      <c r="L954">
        <v>1184212.433</v>
      </c>
      <c r="M954">
        <v>435.59</v>
      </c>
      <c r="N954" t="s">
        <v>2209</v>
      </c>
    </row>
    <row r="955" spans="1:14" x14ac:dyDescent="0.25">
      <c r="A955">
        <v>8501968</v>
      </c>
      <c r="B955" t="s">
        <v>2210</v>
      </c>
      <c r="C955" t="s">
        <v>206</v>
      </c>
      <c r="D955" t="s">
        <v>86</v>
      </c>
      <c r="E955" t="s">
        <v>87</v>
      </c>
      <c r="F955" t="s">
        <v>2211</v>
      </c>
      <c r="G955">
        <v>5722</v>
      </c>
      <c r="H955" t="s">
        <v>2211</v>
      </c>
      <c r="I955" t="s">
        <v>208</v>
      </c>
      <c r="K955">
        <v>2504109.6483300002</v>
      </c>
      <c r="L955">
        <v>1138921.97034</v>
      </c>
      <c r="M955">
        <v>496.6</v>
      </c>
      <c r="N955" t="s">
        <v>2212</v>
      </c>
    </row>
    <row r="956" spans="1:14" x14ac:dyDescent="0.25">
      <c r="A956">
        <v>8500003</v>
      </c>
      <c r="B956" t="s">
        <v>2213</v>
      </c>
      <c r="C956" t="s">
        <v>2214</v>
      </c>
      <c r="D956" t="s">
        <v>692</v>
      </c>
      <c r="E956" t="s">
        <v>87</v>
      </c>
      <c r="F956" t="s">
        <v>490</v>
      </c>
      <c r="G956">
        <v>5405</v>
      </c>
      <c r="H956" t="s">
        <v>490</v>
      </c>
      <c r="I956" t="s">
        <v>2215</v>
      </c>
      <c r="J956" t="s">
        <v>2216</v>
      </c>
      <c r="K956">
        <v>2575137</v>
      </c>
      <c r="L956">
        <v>1126963</v>
      </c>
      <c r="M956">
        <v>1983.2</v>
      </c>
      <c r="N956" t="s">
        <v>2217</v>
      </c>
    </row>
    <row r="957" spans="1:14" x14ac:dyDescent="0.25">
      <c r="A957">
        <v>8579116</v>
      </c>
      <c r="B957" t="s">
        <v>2218</v>
      </c>
      <c r="C957" t="s">
        <v>101</v>
      </c>
      <c r="D957" t="s">
        <v>86</v>
      </c>
      <c r="E957" t="s">
        <v>87</v>
      </c>
      <c r="F957" t="s">
        <v>490</v>
      </c>
      <c r="G957">
        <v>5405</v>
      </c>
      <c r="H957" t="s">
        <v>490</v>
      </c>
      <c r="I957" t="s">
        <v>103</v>
      </c>
      <c r="J957" t="s">
        <v>491</v>
      </c>
      <c r="K957">
        <v>2572123</v>
      </c>
      <c r="L957">
        <v>1125862</v>
      </c>
      <c r="M957">
        <v>1212</v>
      </c>
      <c r="N957" t="s">
        <v>2219</v>
      </c>
    </row>
    <row r="958" spans="1:14" x14ac:dyDescent="0.25">
      <c r="A958">
        <v>8510584</v>
      </c>
      <c r="B958" t="s">
        <v>2220</v>
      </c>
      <c r="C958" t="s">
        <v>101</v>
      </c>
      <c r="D958" t="s">
        <v>86</v>
      </c>
      <c r="E958" t="s">
        <v>87</v>
      </c>
      <c r="F958" t="s">
        <v>490</v>
      </c>
      <c r="G958">
        <v>5405</v>
      </c>
      <c r="H958" t="s">
        <v>490</v>
      </c>
      <c r="I958" t="s">
        <v>103</v>
      </c>
      <c r="K958">
        <v>2574275</v>
      </c>
      <c r="L958">
        <v>1125688</v>
      </c>
      <c r="M958">
        <v>1266</v>
      </c>
      <c r="N958" t="s">
        <v>2221</v>
      </c>
    </row>
    <row r="959" spans="1:14" x14ac:dyDescent="0.25">
      <c r="A959">
        <v>8510576</v>
      </c>
      <c r="B959" t="s">
        <v>2222</v>
      </c>
      <c r="C959" t="s">
        <v>101</v>
      </c>
      <c r="D959" t="s">
        <v>86</v>
      </c>
      <c r="E959" t="s">
        <v>87</v>
      </c>
      <c r="F959" t="s">
        <v>490</v>
      </c>
      <c r="G959">
        <v>5405</v>
      </c>
      <c r="H959" t="s">
        <v>490</v>
      </c>
      <c r="I959" t="s">
        <v>103</v>
      </c>
      <c r="K959">
        <v>2573409</v>
      </c>
      <c r="L959">
        <v>1126709</v>
      </c>
      <c r="M959">
        <v>1574.4</v>
      </c>
      <c r="N959" t="s">
        <v>2223</v>
      </c>
    </row>
    <row r="960" spans="1:14" x14ac:dyDescent="0.25">
      <c r="A960">
        <v>8510579</v>
      </c>
      <c r="B960" t="s">
        <v>2224</v>
      </c>
      <c r="C960" t="s">
        <v>101</v>
      </c>
      <c r="D960" t="s">
        <v>86</v>
      </c>
      <c r="E960" t="s">
        <v>87</v>
      </c>
      <c r="F960" t="s">
        <v>490</v>
      </c>
      <c r="G960">
        <v>5405</v>
      </c>
      <c r="H960" t="s">
        <v>490</v>
      </c>
      <c r="I960" t="s">
        <v>103</v>
      </c>
      <c r="K960">
        <v>2573570</v>
      </c>
      <c r="L960">
        <v>1126451</v>
      </c>
      <c r="M960">
        <v>1502.1</v>
      </c>
      <c r="N960" t="s">
        <v>2225</v>
      </c>
    </row>
    <row r="961" spans="1:14" x14ac:dyDescent="0.25">
      <c r="A961">
        <v>8510580</v>
      </c>
      <c r="B961" t="s">
        <v>2226</v>
      </c>
      <c r="C961" t="s">
        <v>101</v>
      </c>
      <c r="D961" t="s">
        <v>86</v>
      </c>
      <c r="E961" t="s">
        <v>87</v>
      </c>
      <c r="F961" t="s">
        <v>490</v>
      </c>
      <c r="G961">
        <v>5405</v>
      </c>
      <c r="H961" t="s">
        <v>490</v>
      </c>
      <c r="I961" t="s">
        <v>103</v>
      </c>
      <c r="K961">
        <v>2573807</v>
      </c>
      <c r="L961">
        <v>1126402</v>
      </c>
      <c r="M961">
        <v>1482</v>
      </c>
      <c r="N961" t="s">
        <v>2227</v>
      </c>
    </row>
    <row r="962" spans="1:14" x14ac:dyDescent="0.25">
      <c r="A962">
        <v>8510583</v>
      </c>
      <c r="B962" t="s">
        <v>2228</v>
      </c>
      <c r="C962" t="s">
        <v>101</v>
      </c>
      <c r="D962" t="s">
        <v>86</v>
      </c>
      <c r="E962" t="s">
        <v>87</v>
      </c>
      <c r="F962" t="s">
        <v>490</v>
      </c>
      <c r="G962">
        <v>5405</v>
      </c>
      <c r="H962" t="s">
        <v>490</v>
      </c>
      <c r="I962" t="s">
        <v>103</v>
      </c>
      <c r="K962">
        <v>2573732</v>
      </c>
      <c r="L962">
        <v>1125995</v>
      </c>
      <c r="M962">
        <v>1362.6</v>
      </c>
      <c r="N962" t="s">
        <v>2229</v>
      </c>
    </row>
    <row r="963" spans="1:14" x14ac:dyDescent="0.25">
      <c r="A963">
        <v>8510585</v>
      </c>
      <c r="B963" t="s">
        <v>2230</v>
      </c>
      <c r="C963" t="s">
        <v>101</v>
      </c>
      <c r="D963" t="s">
        <v>86</v>
      </c>
      <c r="E963" t="s">
        <v>87</v>
      </c>
      <c r="F963" t="s">
        <v>490</v>
      </c>
      <c r="G963">
        <v>5405</v>
      </c>
      <c r="H963" t="s">
        <v>490</v>
      </c>
      <c r="I963" t="s">
        <v>103</v>
      </c>
      <c r="K963">
        <v>2572816</v>
      </c>
      <c r="L963">
        <v>1125792</v>
      </c>
      <c r="M963">
        <v>1235.9000000000001</v>
      </c>
      <c r="N963" t="s">
        <v>2231</v>
      </c>
    </row>
    <row r="964" spans="1:14" x14ac:dyDescent="0.25">
      <c r="A964">
        <v>8530041</v>
      </c>
      <c r="B964" t="s">
        <v>2232</v>
      </c>
      <c r="C964" t="s">
        <v>2214</v>
      </c>
      <c r="D964" t="s">
        <v>1036</v>
      </c>
      <c r="E964" t="s">
        <v>87</v>
      </c>
      <c r="F964" t="s">
        <v>490</v>
      </c>
      <c r="G964">
        <v>5405</v>
      </c>
      <c r="H964" t="s">
        <v>490</v>
      </c>
      <c r="I964" t="s">
        <v>2215</v>
      </c>
      <c r="J964" t="s">
        <v>2233</v>
      </c>
      <c r="K964">
        <v>2574261</v>
      </c>
      <c r="L964">
        <v>1127130</v>
      </c>
      <c r="M964">
        <v>1774</v>
      </c>
      <c r="N964" t="s">
        <v>2234</v>
      </c>
    </row>
    <row r="965" spans="1:14" x14ac:dyDescent="0.25">
      <c r="A965">
        <v>8588193</v>
      </c>
      <c r="B965" t="s">
        <v>2235</v>
      </c>
      <c r="C965" t="s">
        <v>111</v>
      </c>
      <c r="D965" t="s">
        <v>112</v>
      </c>
      <c r="E965" t="s">
        <v>87</v>
      </c>
      <c r="F965" t="s">
        <v>490</v>
      </c>
      <c r="G965">
        <v>5405</v>
      </c>
      <c r="H965" t="s">
        <v>490</v>
      </c>
      <c r="I965" t="s">
        <v>113</v>
      </c>
      <c r="K965">
        <v>2571395.8969999999</v>
      </c>
      <c r="L965">
        <v>1125213.5989999999</v>
      </c>
      <c r="M965">
        <v>1175.4000000000001</v>
      </c>
      <c r="N965" t="s">
        <v>2236</v>
      </c>
    </row>
    <row r="966" spans="1:14" x14ac:dyDescent="0.25">
      <c r="A966">
        <v>8510577</v>
      </c>
      <c r="B966" t="s">
        <v>2237</v>
      </c>
      <c r="C966" t="s">
        <v>101</v>
      </c>
      <c r="D966" t="s">
        <v>86</v>
      </c>
      <c r="E966" t="s">
        <v>87</v>
      </c>
      <c r="F966" t="s">
        <v>490</v>
      </c>
      <c r="G966">
        <v>5405</v>
      </c>
      <c r="H966" t="s">
        <v>490</v>
      </c>
      <c r="I966" t="s">
        <v>103</v>
      </c>
      <c r="K966">
        <v>2574108</v>
      </c>
      <c r="L966">
        <v>1126615</v>
      </c>
      <c r="M966">
        <v>1552.4</v>
      </c>
      <c r="N966" t="s">
        <v>2238</v>
      </c>
    </row>
    <row r="967" spans="1:14" x14ac:dyDescent="0.25">
      <c r="A967">
        <v>8510578</v>
      </c>
      <c r="B967" t="s">
        <v>2239</v>
      </c>
      <c r="C967" t="s">
        <v>101</v>
      </c>
      <c r="D967" t="s">
        <v>86</v>
      </c>
      <c r="E967" t="s">
        <v>87</v>
      </c>
      <c r="F967" t="s">
        <v>490</v>
      </c>
      <c r="G967">
        <v>5405</v>
      </c>
      <c r="H967" t="s">
        <v>490</v>
      </c>
      <c r="I967" t="s">
        <v>103</v>
      </c>
      <c r="K967">
        <v>2573866</v>
      </c>
      <c r="L967">
        <v>1126517</v>
      </c>
      <c r="M967">
        <v>1529.2</v>
      </c>
      <c r="N967" t="s">
        <v>2240</v>
      </c>
    </row>
    <row r="968" spans="1:14" x14ac:dyDescent="0.25">
      <c r="A968">
        <v>8510581</v>
      </c>
      <c r="B968" t="s">
        <v>2241</v>
      </c>
      <c r="C968" t="s">
        <v>101</v>
      </c>
      <c r="D968" t="s">
        <v>86</v>
      </c>
      <c r="E968" t="s">
        <v>87</v>
      </c>
      <c r="F968" t="s">
        <v>490</v>
      </c>
      <c r="G968">
        <v>5405</v>
      </c>
      <c r="H968" t="s">
        <v>490</v>
      </c>
      <c r="I968" t="s">
        <v>103</v>
      </c>
      <c r="K968">
        <v>2573706</v>
      </c>
      <c r="L968">
        <v>1126247</v>
      </c>
      <c r="M968">
        <v>1444.1</v>
      </c>
      <c r="N968" t="s">
        <v>2242</v>
      </c>
    </row>
    <row r="969" spans="1:14" x14ac:dyDescent="0.25">
      <c r="A969">
        <v>8510582</v>
      </c>
      <c r="B969" t="s">
        <v>2243</v>
      </c>
      <c r="C969" t="s">
        <v>101</v>
      </c>
      <c r="D969" t="s">
        <v>86</v>
      </c>
      <c r="E969" t="s">
        <v>87</v>
      </c>
      <c r="F969" t="s">
        <v>490</v>
      </c>
      <c r="G969">
        <v>5405</v>
      </c>
      <c r="H969" t="s">
        <v>490</v>
      </c>
      <c r="I969" t="s">
        <v>103</v>
      </c>
      <c r="K969">
        <v>2573491</v>
      </c>
      <c r="L969">
        <v>1126191</v>
      </c>
      <c r="M969">
        <v>1400.4</v>
      </c>
      <c r="N969" t="s">
        <v>2244</v>
      </c>
    </row>
    <row r="970" spans="1:14" x14ac:dyDescent="0.25">
      <c r="A970">
        <v>8530040</v>
      </c>
      <c r="B970" t="s">
        <v>2245</v>
      </c>
      <c r="C970" t="s">
        <v>2214</v>
      </c>
      <c r="D970" t="s">
        <v>1036</v>
      </c>
      <c r="E970" t="s">
        <v>87</v>
      </c>
      <c r="F970" t="s">
        <v>490</v>
      </c>
      <c r="G970">
        <v>5405</v>
      </c>
      <c r="H970" t="s">
        <v>490</v>
      </c>
      <c r="I970" t="s">
        <v>2215</v>
      </c>
      <c r="J970" t="s">
        <v>2246</v>
      </c>
      <c r="K970">
        <v>2572116</v>
      </c>
      <c r="L970">
        <v>1125879</v>
      </c>
      <c r="M970">
        <v>1219</v>
      </c>
      <c r="N970" t="s">
        <v>2247</v>
      </c>
    </row>
    <row r="971" spans="1:14" x14ac:dyDescent="0.25">
      <c r="A971">
        <v>8531347</v>
      </c>
      <c r="B971" t="s">
        <v>2248</v>
      </c>
      <c r="C971" t="s">
        <v>2214</v>
      </c>
      <c r="D971" t="s">
        <v>692</v>
      </c>
      <c r="E971" t="s">
        <v>87</v>
      </c>
      <c r="F971" t="s">
        <v>490</v>
      </c>
      <c r="G971">
        <v>5405</v>
      </c>
      <c r="H971" t="s">
        <v>490</v>
      </c>
      <c r="I971" t="s">
        <v>2215</v>
      </c>
      <c r="J971" t="s">
        <v>2249</v>
      </c>
      <c r="K971">
        <v>2573168</v>
      </c>
      <c r="L971">
        <v>1127475</v>
      </c>
      <c r="M971">
        <v>1437</v>
      </c>
      <c r="N971" t="s">
        <v>2250</v>
      </c>
    </row>
    <row r="972" spans="1:14" x14ac:dyDescent="0.25">
      <c r="A972">
        <v>8510782</v>
      </c>
      <c r="B972" t="s">
        <v>2251</v>
      </c>
      <c r="C972" t="s">
        <v>101</v>
      </c>
      <c r="D972" t="s">
        <v>86</v>
      </c>
      <c r="E972" t="s">
        <v>87</v>
      </c>
      <c r="F972" t="s">
        <v>490</v>
      </c>
      <c r="G972">
        <v>5405</v>
      </c>
      <c r="H972" t="s">
        <v>490</v>
      </c>
      <c r="I972" t="s">
        <v>103</v>
      </c>
      <c r="K972">
        <v>2571972</v>
      </c>
      <c r="L972">
        <v>1125424</v>
      </c>
      <c r="M972">
        <v>1115</v>
      </c>
      <c r="N972" t="s">
        <v>2252</v>
      </c>
    </row>
    <row r="973" spans="1:14" x14ac:dyDescent="0.25">
      <c r="A973">
        <v>8510783</v>
      </c>
      <c r="B973" t="s">
        <v>2253</v>
      </c>
      <c r="C973" t="s">
        <v>101</v>
      </c>
      <c r="D973" t="s">
        <v>86</v>
      </c>
      <c r="E973" t="s">
        <v>87</v>
      </c>
      <c r="F973" t="s">
        <v>490</v>
      </c>
      <c r="G973">
        <v>5405</v>
      </c>
      <c r="H973" t="s">
        <v>490</v>
      </c>
      <c r="I973" t="s">
        <v>103</v>
      </c>
      <c r="K973">
        <v>2571528</v>
      </c>
      <c r="L973">
        <v>1125051</v>
      </c>
      <c r="M973">
        <v>1137</v>
      </c>
      <c r="N973" t="s">
        <v>2254</v>
      </c>
    </row>
    <row r="974" spans="1:14" x14ac:dyDescent="0.25">
      <c r="A974">
        <v>8510790</v>
      </c>
      <c r="B974" t="s">
        <v>2255</v>
      </c>
      <c r="C974" t="s">
        <v>101</v>
      </c>
      <c r="D974" t="s">
        <v>86</v>
      </c>
      <c r="E974" t="s">
        <v>87</v>
      </c>
      <c r="F974" t="s">
        <v>490</v>
      </c>
      <c r="G974">
        <v>5405</v>
      </c>
      <c r="H974" t="s">
        <v>490</v>
      </c>
      <c r="I974" t="s">
        <v>103</v>
      </c>
      <c r="K974">
        <v>2571113.4005499999</v>
      </c>
      <c r="L974">
        <v>1124793.2821299999</v>
      </c>
      <c r="M974">
        <v>1117</v>
      </c>
      <c r="N974" t="s">
        <v>2256</v>
      </c>
    </row>
    <row r="975" spans="1:14" x14ac:dyDescent="0.25">
      <c r="A975">
        <v>8511121</v>
      </c>
      <c r="B975" t="s">
        <v>2257</v>
      </c>
      <c r="C975" t="s">
        <v>101</v>
      </c>
      <c r="D975" t="s">
        <v>86</v>
      </c>
      <c r="E975" t="s">
        <v>87</v>
      </c>
      <c r="F975" t="s">
        <v>490</v>
      </c>
      <c r="G975">
        <v>5405</v>
      </c>
      <c r="H975" t="s">
        <v>490</v>
      </c>
      <c r="I975" t="s">
        <v>103</v>
      </c>
      <c r="K975">
        <v>2571403</v>
      </c>
      <c r="L975">
        <v>1125210</v>
      </c>
      <c r="M975">
        <v>1175</v>
      </c>
      <c r="N975" t="s">
        <v>2258</v>
      </c>
    </row>
    <row r="976" spans="1:14" x14ac:dyDescent="0.25">
      <c r="A976">
        <v>8501703</v>
      </c>
      <c r="B976" t="s">
        <v>2259</v>
      </c>
      <c r="C976" t="s">
        <v>101</v>
      </c>
      <c r="D976" t="s">
        <v>86</v>
      </c>
      <c r="E976" t="s">
        <v>87</v>
      </c>
      <c r="F976" t="s">
        <v>490</v>
      </c>
      <c r="G976">
        <v>5405</v>
      </c>
      <c r="H976" t="s">
        <v>490</v>
      </c>
      <c r="I976" t="s">
        <v>103</v>
      </c>
      <c r="J976" t="s">
        <v>491</v>
      </c>
      <c r="K976">
        <v>2573880</v>
      </c>
      <c r="L976">
        <v>1125737</v>
      </c>
      <c r="M976">
        <v>1272</v>
      </c>
      <c r="N976" t="s">
        <v>2260</v>
      </c>
    </row>
    <row r="977" spans="1:14" x14ac:dyDescent="0.25">
      <c r="A977">
        <v>8510785</v>
      </c>
      <c r="B977" t="s">
        <v>2261</v>
      </c>
      <c r="C977" t="s">
        <v>101</v>
      </c>
      <c r="D977" t="s">
        <v>86</v>
      </c>
      <c r="E977" t="s">
        <v>87</v>
      </c>
      <c r="F977" t="s">
        <v>490</v>
      </c>
      <c r="G977">
        <v>5405</v>
      </c>
      <c r="H977" t="s">
        <v>490</v>
      </c>
      <c r="I977" t="s">
        <v>103</v>
      </c>
      <c r="K977">
        <v>2570861.9945100001</v>
      </c>
      <c r="L977">
        <v>1124786.2089</v>
      </c>
      <c r="M977">
        <v>1132</v>
      </c>
      <c r="N977" t="s">
        <v>2262</v>
      </c>
    </row>
    <row r="978" spans="1:14" x14ac:dyDescent="0.25">
      <c r="A978">
        <v>8510784</v>
      </c>
      <c r="B978" t="s">
        <v>2263</v>
      </c>
      <c r="C978" t="s">
        <v>101</v>
      </c>
      <c r="D978" t="s">
        <v>86</v>
      </c>
      <c r="E978" t="s">
        <v>87</v>
      </c>
      <c r="F978" t="s">
        <v>490</v>
      </c>
      <c r="G978">
        <v>5405</v>
      </c>
      <c r="H978" t="s">
        <v>490</v>
      </c>
      <c r="I978" t="s">
        <v>103</v>
      </c>
      <c r="K978">
        <v>2571257.6577699999</v>
      </c>
      <c r="L978">
        <v>1124839.53021</v>
      </c>
      <c r="M978">
        <v>1118</v>
      </c>
      <c r="N978" t="s">
        <v>2264</v>
      </c>
    </row>
    <row r="979" spans="1:14" x14ac:dyDescent="0.25">
      <c r="A979">
        <v>8510781</v>
      </c>
      <c r="B979" t="s">
        <v>2265</v>
      </c>
      <c r="C979" t="s">
        <v>101</v>
      </c>
      <c r="D979" t="s">
        <v>86</v>
      </c>
      <c r="E979" t="s">
        <v>87</v>
      </c>
      <c r="F979" t="s">
        <v>490</v>
      </c>
      <c r="G979">
        <v>5405</v>
      </c>
      <c r="H979" t="s">
        <v>490</v>
      </c>
      <c r="I979" t="s">
        <v>103</v>
      </c>
      <c r="K979">
        <v>2572198.0007600002</v>
      </c>
      <c r="L979">
        <v>1125430.78144</v>
      </c>
      <c r="M979">
        <v>1122</v>
      </c>
      <c r="N979" t="s">
        <v>2266</v>
      </c>
    </row>
    <row r="980" spans="1:14" x14ac:dyDescent="0.25">
      <c r="A980">
        <v>8510780</v>
      </c>
      <c r="B980" t="s">
        <v>2267</v>
      </c>
      <c r="C980" t="s">
        <v>101</v>
      </c>
      <c r="D980" t="s">
        <v>86</v>
      </c>
      <c r="E980" t="s">
        <v>87</v>
      </c>
      <c r="F980" t="s">
        <v>490</v>
      </c>
      <c r="G980">
        <v>5405</v>
      </c>
      <c r="H980" t="s">
        <v>490</v>
      </c>
      <c r="I980" t="s">
        <v>103</v>
      </c>
      <c r="K980">
        <v>2572470</v>
      </c>
      <c r="L980">
        <v>1125418</v>
      </c>
      <c r="M980">
        <v>1111</v>
      </c>
      <c r="N980" t="s">
        <v>2268</v>
      </c>
    </row>
    <row r="981" spans="1:14" x14ac:dyDescent="0.25">
      <c r="A981">
        <v>8511062</v>
      </c>
      <c r="B981" t="s">
        <v>2269</v>
      </c>
      <c r="C981" t="s">
        <v>101</v>
      </c>
      <c r="D981" t="s">
        <v>86</v>
      </c>
      <c r="E981" t="s">
        <v>87</v>
      </c>
      <c r="F981" t="s">
        <v>490</v>
      </c>
      <c r="G981">
        <v>5405</v>
      </c>
      <c r="H981" t="s">
        <v>490</v>
      </c>
      <c r="I981" t="s">
        <v>103</v>
      </c>
      <c r="K981">
        <v>2573010.4960699999</v>
      </c>
      <c r="L981">
        <v>1125342.8847000001</v>
      </c>
      <c r="M981">
        <v>1144</v>
      </c>
      <c r="N981" t="s">
        <v>2270</v>
      </c>
    </row>
    <row r="982" spans="1:14" x14ac:dyDescent="0.25">
      <c r="A982">
        <v>8511061</v>
      </c>
      <c r="B982" t="s">
        <v>2271</v>
      </c>
      <c r="C982" t="s">
        <v>101</v>
      </c>
      <c r="D982" t="s">
        <v>86</v>
      </c>
      <c r="E982" t="s">
        <v>87</v>
      </c>
      <c r="F982" t="s">
        <v>490</v>
      </c>
      <c r="G982">
        <v>5405</v>
      </c>
      <c r="H982" t="s">
        <v>490</v>
      </c>
      <c r="I982" t="s">
        <v>103</v>
      </c>
      <c r="K982">
        <v>2571687.1464999998</v>
      </c>
      <c r="L982">
        <v>1125166.74092</v>
      </c>
      <c r="M982">
        <v>1122</v>
      </c>
      <c r="N982" t="s">
        <v>2272</v>
      </c>
    </row>
    <row r="983" spans="1:14" x14ac:dyDescent="0.25">
      <c r="A983">
        <v>8510626</v>
      </c>
      <c r="B983" t="s">
        <v>2273</v>
      </c>
      <c r="C983" t="s">
        <v>101</v>
      </c>
      <c r="D983" t="s">
        <v>86</v>
      </c>
      <c r="E983" t="s">
        <v>87</v>
      </c>
      <c r="F983" t="s">
        <v>490</v>
      </c>
      <c r="G983">
        <v>5405</v>
      </c>
      <c r="H983" t="s">
        <v>490</v>
      </c>
      <c r="I983" t="s">
        <v>103</v>
      </c>
      <c r="K983">
        <v>2573784</v>
      </c>
      <c r="L983">
        <v>1126639</v>
      </c>
      <c r="M983">
        <v>1562</v>
      </c>
      <c r="N983" t="s">
        <v>2274</v>
      </c>
    </row>
    <row r="984" spans="1:14" x14ac:dyDescent="0.25">
      <c r="A984">
        <v>8510786</v>
      </c>
      <c r="B984" t="s">
        <v>2275</v>
      </c>
      <c r="C984" t="s">
        <v>101</v>
      </c>
      <c r="D984" t="s">
        <v>86</v>
      </c>
      <c r="E984" t="s">
        <v>87</v>
      </c>
      <c r="F984" t="s">
        <v>490</v>
      </c>
      <c r="G984">
        <v>5405</v>
      </c>
      <c r="H984" t="s">
        <v>490</v>
      </c>
      <c r="I984" t="s">
        <v>103</v>
      </c>
      <c r="K984">
        <v>2571521.7458899999</v>
      </c>
      <c r="L984">
        <v>1125479.4909900001</v>
      </c>
      <c r="M984">
        <v>1193</v>
      </c>
      <c r="N984" t="s">
        <v>2276</v>
      </c>
    </row>
    <row r="985" spans="1:14" x14ac:dyDescent="0.25">
      <c r="A985">
        <v>8501493</v>
      </c>
      <c r="B985" t="s">
        <v>2277</v>
      </c>
      <c r="C985" t="s">
        <v>111</v>
      </c>
      <c r="D985" t="s">
        <v>112</v>
      </c>
      <c r="E985" t="s">
        <v>87</v>
      </c>
      <c r="F985" t="s">
        <v>490</v>
      </c>
      <c r="G985">
        <v>5405</v>
      </c>
      <c r="H985" t="s">
        <v>490</v>
      </c>
      <c r="I985" t="s">
        <v>113</v>
      </c>
      <c r="K985">
        <v>2571625.139</v>
      </c>
      <c r="L985">
        <v>1125770.571</v>
      </c>
      <c r="M985">
        <v>1210.3</v>
      </c>
      <c r="N985" t="s">
        <v>2278</v>
      </c>
    </row>
    <row r="986" spans="1:14" x14ac:dyDescent="0.25">
      <c r="A986">
        <v>8501492</v>
      </c>
      <c r="B986" t="s">
        <v>490</v>
      </c>
      <c r="C986" t="s">
        <v>111</v>
      </c>
      <c r="D986" t="s">
        <v>112</v>
      </c>
      <c r="E986" t="s">
        <v>87</v>
      </c>
      <c r="F986" t="s">
        <v>490</v>
      </c>
      <c r="G986">
        <v>5405</v>
      </c>
      <c r="H986" t="s">
        <v>490</v>
      </c>
      <c r="I986" t="s">
        <v>113</v>
      </c>
      <c r="K986">
        <v>2570789.3560000001</v>
      </c>
      <c r="L986">
        <v>1124755.166</v>
      </c>
      <c r="M986">
        <v>1130.9000000000001</v>
      </c>
      <c r="N986" t="s">
        <v>2279</v>
      </c>
    </row>
    <row r="987" spans="1:14" x14ac:dyDescent="0.25">
      <c r="A987">
        <v>8501708</v>
      </c>
      <c r="B987" t="s">
        <v>2280</v>
      </c>
      <c r="C987" t="s">
        <v>101</v>
      </c>
      <c r="D987" t="s">
        <v>86</v>
      </c>
      <c r="E987" t="s">
        <v>87</v>
      </c>
      <c r="F987" t="s">
        <v>490</v>
      </c>
      <c r="G987">
        <v>5405</v>
      </c>
      <c r="H987" t="s">
        <v>490</v>
      </c>
      <c r="I987" t="s">
        <v>103</v>
      </c>
      <c r="K987">
        <v>2573360</v>
      </c>
      <c r="L987">
        <v>1125710</v>
      </c>
      <c r="M987">
        <v>1248</v>
      </c>
      <c r="N987" t="s">
        <v>2281</v>
      </c>
    </row>
    <row r="988" spans="1:14" x14ac:dyDescent="0.25">
      <c r="A988">
        <v>8587098</v>
      </c>
      <c r="B988" t="s">
        <v>2282</v>
      </c>
      <c r="C988" t="s">
        <v>101</v>
      </c>
      <c r="D988" t="s">
        <v>86</v>
      </c>
      <c r="E988" t="s">
        <v>87</v>
      </c>
      <c r="F988" t="s">
        <v>490</v>
      </c>
      <c r="G988">
        <v>5405</v>
      </c>
      <c r="H988" t="s">
        <v>490</v>
      </c>
      <c r="I988" t="s">
        <v>103</v>
      </c>
      <c r="K988">
        <v>2571678</v>
      </c>
      <c r="L988">
        <v>1125832</v>
      </c>
      <c r="M988">
        <v>1210</v>
      </c>
      <c r="N988" t="s">
        <v>2283</v>
      </c>
    </row>
    <row r="989" spans="1:14" x14ac:dyDescent="0.25">
      <c r="A989">
        <v>8501710</v>
      </c>
      <c r="B989" t="s">
        <v>2284</v>
      </c>
      <c r="C989" t="s">
        <v>101</v>
      </c>
      <c r="D989" t="s">
        <v>86</v>
      </c>
      <c r="E989" t="s">
        <v>87</v>
      </c>
      <c r="F989" t="s">
        <v>490</v>
      </c>
      <c r="G989">
        <v>5405</v>
      </c>
      <c r="H989" t="s">
        <v>490</v>
      </c>
      <c r="I989" t="s">
        <v>103</v>
      </c>
      <c r="J989" t="s">
        <v>491</v>
      </c>
      <c r="K989">
        <v>2572601</v>
      </c>
      <c r="L989">
        <v>1125895</v>
      </c>
      <c r="M989">
        <v>1233</v>
      </c>
      <c r="N989" t="s">
        <v>2285</v>
      </c>
    </row>
    <row r="990" spans="1:14" x14ac:dyDescent="0.25">
      <c r="A990">
        <v>8511003</v>
      </c>
      <c r="B990" t="s">
        <v>2286</v>
      </c>
      <c r="C990" t="s">
        <v>85</v>
      </c>
      <c r="D990" t="s">
        <v>86</v>
      </c>
      <c r="E990" t="s">
        <v>87</v>
      </c>
      <c r="F990" t="s">
        <v>2287</v>
      </c>
      <c r="G990">
        <v>5656</v>
      </c>
      <c r="H990" t="s">
        <v>2288</v>
      </c>
      <c r="I990" t="s">
        <v>89</v>
      </c>
      <c r="K990">
        <v>2522922.7895499999</v>
      </c>
      <c r="L990">
        <v>1156860.39949</v>
      </c>
      <c r="M990">
        <v>627</v>
      </c>
      <c r="N990" t="s">
        <v>2289</v>
      </c>
    </row>
    <row r="991" spans="1:14" x14ac:dyDescent="0.25">
      <c r="A991">
        <v>8519322</v>
      </c>
      <c r="B991" t="s">
        <v>2290</v>
      </c>
      <c r="C991" t="s">
        <v>353</v>
      </c>
      <c r="E991" t="s">
        <v>87</v>
      </c>
      <c r="F991" t="s">
        <v>2287</v>
      </c>
      <c r="G991">
        <v>5656</v>
      </c>
      <c r="H991" t="s">
        <v>2288</v>
      </c>
      <c r="I991" t="s">
        <v>354</v>
      </c>
      <c r="J991" t="s">
        <v>130</v>
      </c>
      <c r="K991">
        <v>2522133</v>
      </c>
      <c r="L991">
        <v>1156034</v>
      </c>
      <c r="M991">
        <v>642</v>
      </c>
      <c r="N991" t="s">
        <v>2291</v>
      </c>
    </row>
    <row r="992" spans="1:14" x14ac:dyDescent="0.25">
      <c r="A992">
        <v>8501097</v>
      </c>
      <c r="B992" t="s">
        <v>2292</v>
      </c>
      <c r="C992" t="s">
        <v>353</v>
      </c>
      <c r="D992" t="s">
        <v>112</v>
      </c>
      <c r="E992" t="s">
        <v>87</v>
      </c>
      <c r="F992" t="s">
        <v>2287</v>
      </c>
      <c r="G992">
        <v>5656</v>
      </c>
      <c r="H992" t="s">
        <v>2293</v>
      </c>
      <c r="I992" t="s">
        <v>354</v>
      </c>
      <c r="K992">
        <v>2522849.8199999998</v>
      </c>
      <c r="L992">
        <v>1158907.9099999999</v>
      </c>
      <c r="M992">
        <v>625.4</v>
      </c>
      <c r="N992" t="s">
        <v>2294</v>
      </c>
    </row>
    <row r="993" spans="1:14" x14ac:dyDescent="0.25">
      <c r="A993">
        <v>8511585</v>
      </c>
      <c r="B993" t="s">
        <v>2295</v>
      </c>
      <c r="C993" t="s">
        <v>85</v>
      </c>
      <c r="D993" t="s">
        <v>86</v>
      </c>
      <c r="E993" t="s">
        <v>87</v>
      </c>
      <c r="F993" t="s">
        <v>2287</v>
      </c>
      <c r="G993">
        <v>5656</v>
      </c>
      <c r="H993" t="s">
        <v>2288</v>
      </c>
      <c r="I993" t="s">
        <v>89</v>
      </c>
      <c r="K993">
        <v>2523406.9558600001</v>
      </c>
      <c r="L993">
        <v>1156800.5248700001</v>
      </c>
      <c r="M993">
        <v>609.1</v>
      </c>
      <c r="N993" t="s">
        <v>2296</v>
      </c>
    </row>
    <row r="994" spans="1:14" x14ac:dyDescent="0.25">
      <c r="A994">
        <v>8511587</v>
      </c>
      <c r="B994" t="s">
        <v>2297</v>
      </c>
      <c r="C994" t="s">
        <v>85</v>
      </c>
      <c r="D994" t="s">
        <v>86</v>
      </c>
      <c r="E994" t="s">
        <v>87</v>
      </c>
      <c r="F994" t="s">
        <v>2287</v>
      </c>
      <c r="G994">
        <v>5656</v>
      </c>
      <c r="H994" t="s">
        <v>2293</v>
      </c>
      <c r="I994" t="s">
        <v>89</v>
      </c>
      <c r="K994">
        <v>2522289.0749599999</v>
      </c>
      <c r="L994">
        <v>1159201.33782</v>
      </c>
      <c r="M994">
        <v>668</v>
      </c>
      <c r="N994" t="s">
        <v>2298</v>
      </c>
    </row>
    <row r="995" spans="1:14" x14ac:dyDescent="0.25">
      <c r="A995">
        <v>8519321</v>
      </c>
      <c r="B995" t="s">
        <v>2299</v>
      </c>
      <c r="C995" t="s">
        <v>353</v>
      </c>
      <c r="E995" t="s">
        <v>87</v>
      </c>
      <c r="F995" t="s">
        <v>2287</v>
      </c>
      <c r="G995">
        <v>5656</v>
      </c>
      <c r="H995" t="s">
        <v>2288</v>
      </c>
      <c r="I995" t="s">
        <v>354</v>
      </c>
      <c r="J995" t="s">
        <v>130</v>
      </c>
      <c r="K995">
        <v>2522049</v>
      </c>
      <c r="L995">
        <v>1156011</v>
      </c>
      <c r="M995">
        <v>639</v>
      </c>
      <c r="N995" t="s">
        <v>2300</v>
      </c>
    </row>
    <row r="996" spans="1:14" x14ac:dyDescent="0.25">
      <c r="A996">
        <v>8501088</v>
      </c>
      <c r="B996" t="s">
        <v>2301</v>
      </c>
      <c r="C996" t="s">
        <v>353</v>
      </c>
      <c r="D996" t="s">
        <v>112</v>
      </c>
      <c r="E996" t="s">
        <v>87</v>
      </c>
      <c r="F996" t="s">
        <v>2287</v>
      </c>
      <c r="G996">
        <v>5656</v>
      </c>
      <c r="H996" t="s">
        <v>2293</v>
      </c>
      <c r="I996" t="s">
        <v>354</v>
      </c>
      <c r="K996">
        <v>2521496.952</v>
      </c>
      <c r="L996">
        <v>1160684.24</v>
      </c>
      <c r="M996">
        <v>668.8</v>
      </c>
      <c r="N996" t="s">
        <v>2302</v>
      </c>
    </row>
    <row r="997" spans="1:14" x14ac:dyDescent="0.25">
      <c r="A997">
        <v>8501094</v>
      </c>
      <c r="B997" t="s">
        <v>2288</v>
      </c>
      <c r="C997" t="s">
        <v>353</v>
      </c>
      <c r="D997" t="s">
        <v>112</v>
      </c>
      <c r="E997" t="s">
        <v>87</v>
      </c>
      <c r="F997" t="s">
        <v>2287</v>
      </c>
      <c r="G997">
        <v>5656</v>
      </c>
      <c r="H997" t="s">
        <v>2288</v>
      </c>
      <c r="I997" t="s">
        <v>354</v>
      </c>
      <c r="K997">
        <v>2522153.7990000001</v>
      </c>
      <c r="L997">
        <v>1156015.2250000001</v>
      </c>
      <c r="M997">
        <v>639</v>
      </c>
      <c r="N997" t="s">
        <v>2303</v>
      </c>
    </row>
    <row r="998" spans="1:14" x14ac:dyDescent="0.25">
      <c r="A998">
        <v>8510993</v>
      </c>
      <c r="B998" t="s">
        <v>2304</v>
      </c>
      <c r="C998" t="s">
        <v>85</v>
      </c>
      <c r="D998" t="s">
        <v>86</v>
      </c>
      <c r="E998" t="s">
        <v>87</v>
      </c>
      <c r="F998" t="s">
        <v>2287</v>
      </c>
      <c r="G998">
        <v>5656</v>
      </c>
      <c r="H998" t="s">
        <v>2305</v>
      </c>
      <c r="I998" t="s">
        <v>89</v>
      </c>
      <c r="K998">
        <v>2523001.80223</v>
      </c>
      <c r="L998">
        <v>1154532.3349299999</v>
      </c>
      <c r="M998">
        <v>575</v>
      </c>
      <c r="N998" t="s">
        <v>2306</v>
      </c>
    </row>
    <row r="999" spans="1:14" x14ac:dyDescent="0.25">
      <c r="A999">
        <v>8511589</v>
      </c>
      <c r="B999" t="s">
        <v>2307</v>
      </c>
      <c r="C999" t="s">
        <v>85</v>
      </c>
      <c r="D999" t="s">
        <v>86</v>
      </c>
      <c r="E999" t="s">
        <v>87</v>
      </c>
      <c r="F999" t="s">
        <v>2287</v>
      </c>
      <c r="G999">
        <v>5656</v>
      </c>
      <c r="H999" t="s">
        <v>2308</v>
      </c>
      <c r="I999" t="s">
        <v>89</v>
      </c>
      <c r="K999">
        <v>2523454.9686500002</v>
      </c>
      <c r="L999">
        <v>1158778.0973700001</v>
      </c>
      <c r="M999">
        <v>607.6</v>
      </c>
      <c r="N999" t="s">
        <v>2309</v>
      </c>
    </row>
    <row r="1000" spans="1:14" x14ac:dyDescent="0.25">
      <c r="A1000">
        <v>8511633</v>
      </c>
      <c r="B1000" t="s">
        <v>2310</v>
      </c>
      <c r="C1000" t="s">
        <v>85</v>
      </c>
      <c r="D1000" t="s">
        <v>86</v>
      </c>
      <c r="E1000" t="s">
        <v>87</v>
      </c>
      <c r="F1000" t="s">
        <v>2287</v>
      </c>
      <c r="G1000">
        <v>5656</v>
      </c>
      <c r="H1000" t="s">
        <v>2311</v>
      </c>
      <c r="I1000" t="s">
        <v>89</v>
      </c>
      <c r="K1000">
        <v>2524538.2615200002</v>
      </c>
      <c r="L1000">
        <v>1158432.6154799999</v>
      </c>
      <c r="M1000">
        <v>578.1</v>
      </c>
      <c r="N1000" t="s">
        <v>2312</v>
      </c>
    </row>
    <row r="1001" spans="1:14" x14ac:dyDescent="0.25">
      <c r="A1001">
        <v>8570080</v>
      </c>
      <c r="B1001" t="s">
        <v>2313</v>
      </c>
      <c r="C1001" t="s">
        <v>85</v>
      </c>
      <c r="D1001" t="s">
        <v>86</v>
      </c>
      <c r="E1001" t="s">
        <v>87</v>
      </c>
      <c r="F1001" t="s">
        <v>2287</v>
      </c>
      <c r="G1001">
        <v>5656</v>
      </c>
      <c r="H1001" t="s">
        <v>2288</v>
      </c>
      <c r="I1001" t="s">
        <v>89</v>
      </c>
      <c r="K1001">
        <v>2522482</v>
      </c>
      <c r="L1001">
        <v>1156162</v>
      </c>
      <c r="M1001">
        <v>642</v>
      </c>
      <c r="N1001" t="s">
        <v>2314</v>
      </c>
    </row>
    <row r="1002" spans="1:14" x14ac:dyDescent="0.25">
      <c r="A1002">
        <v>8510992</v>
      </c>
      <c r="B1002" t="s">
        <v>2315</v>
      </c>
      <c r="C1002" t="s">
        <v>85</v>
      </c>
      <c r="D1002" t="s">
        <v>86</v>
      </c>
      <c r="E1002" t="s">
        <v>87</v>
      </c>
      <c r="F1002" t="s">
        <v>2287</v>
      </c>
      <c r="G1002">
        <v>5656</v>
      </c>
      <c r="H1002" t="s">
        <v>2316</v>
      </c>
      <c r="I1002" t="s">
        <v>89</v>
      </c>
      <c r="K1002">
        <v>2523731.7165199998</v>
      </c>
      <c r="L1002">
        <v>1153398.3313200001</v>
      </c>
      <c r="M1002">
        <v>507</v>
      </c>
      <c r="N1002" t="s">
        <v>2317</v>
      </c>
    </row>
    <row r="1003" spans="1:14" x14ac:dyDescent="0.25">
      <c r="A1003">
        <v>8510996</v>
      </c>
      <c r="B1003" t="s">
        <v>2318</v>
      </c>
      <c r="C1003" t="s">
        <v>85</v>
      </c>
      <c r="D1003" t="s">
        <v>86</v>
      </c>
      <c r="E1003" t="s">
        <v>87</v>
      </c>
      <c r="F1003" t="s">
        <v>2287</v>
      </c>
      <c r="G1003">
        <v>5656</v>
      </c>
      <c r="H1003" t="s">
        <v>2305</v>
      </c>
      <c r="I1003" t="s">
        <v>89</v>
      </c>
      <c r="K1003">
        <v>2522947.81073</v>
      </c>
      <c r="L1003">
        <v>1154943.8290299999</v>
      </c>
      <c r="M1003">
        <v>596</v>
      </c>
      <c r="N1003" t="s">
        <v>2319</v>
      </c>
    </row>
    <row r="1004" spans="1:14" x14ac:dyDescent="0.25">
      <c r="A1004">
        <v>8511000</v>
      </c>
      <c r="B1004" t="s">
        <v>2320</v>
      </c>
      <c r="C1004" t="s">
        <v>85</v>
      </c>
      <c r="D1004" t="s">
        <v>86</v>
      </c>
      <c r="E1004" t="s">
        <v>87</v>
      </c>
      <c r="F1004" t="s">
        <v>2287</v>
      </c>
      <c r="G1004">
        <v>5656</v>
      </c>
      <c r="H1004" t="s">
        <v>2293</v>
      </c>
      <c r="I1004" t="s">
        <v>89</v>
      </c>
      <c r="K1004">
        <v>2521458.6285199998</v>
      </c>
      <c r="L1004">
        <v>1160423.1849100001</v>
      </c>
      <c r="M1004">
        <v>675</v>
      </c>
      <c r="N1004" t="s">
        <v>2321</v>
      </c>
    </row>
    <row r="1005" spans="1:14" x14ac:dyDescent="0.25">
      <c r="A1005">
        <v>8570103</v>
      </c>
      <c r="B1005" t="s">
        <v>2322</v>
      </c>
      <c r="C1005" t="s">
        <v>85</v>
      </c>
      <c r="D1005" t="s">
        <v>86</v>
      </c>
      <c r="E1005" t="s">
        <v>87</v>
      </c>
      <c r="F1005" t="s">
        <v>2287</v>
      </c>
      <c r="G1005">
        <v>5656</v>
      </c>
      <c r="H1005" t="s">
        <v>2311</v>
      </c>
      <c r="I1005" t="s">
        <v>89</v>
      </c>
      <c r="K1005">
        <v>2524813.5715600001</v>
      </c>
      <c r="L1005">
        <v>1158185.2988199999</v>
      </c>
      <c r="M1005">
        <v>570.4</v>
      </c>
      <c r="N1005" t="s">
        <v>2323</v>
      </c>
    </row>
    <row r="1006" spans="1:14" x14ac:dyDescent="0.25">
      <c r="A1006">
        <v>8570078</v>
      </c>
      <c r="B1006" t="s">
        <v>2324</v>
      </c>
      <c r="C1006" t="s">
        <v>85</v>
      </c>
      <c r="D1006" t="s">
        <v>86</v>
      </c>
      <c r="E1006" t="s">
        <v>87</v>
      </c>
      <c r="F1006" t="s">
        <v>2287</v>
      </c>
      <c r="G1006">
        <v>5656</v>
      </c>
      <c r="H1006" t="s">
        <v>2305</v>
      </c>
      <c r="I1006" t="s">
        <v>89</v>
      </c>
      <c r="K1006">
        <v>2523319</v>
      </c>
      <c r="L1006">
        <v>1154928</v>
      </c>
      <c r="M1006">
        <v>582</v>
      </c>
      <c r="N1006" t="s">
        <v>2325</v>
      </c>
    </row>
    <row r="1007" spans="1:14" x14ac:dyDescent="0.25">
      <c r="A1007">
        <v>8501082</v>
      </c>
      <c r="B1007" t="s">
        <v>2326</v>
      </c>
      <c r="C1007" t="s">
        <v>353</v>
      </c>
      <c r="D1007" t="s">
        <v>112</v>
      </c>
      <c r="E1007" t="s">
        <v>87</v>
      </c>
      <c r="F1007" t="s">
        <v>2287</v>
      </c>
      <c r="G1007">
        <v>5656</v>
      </c>
      <c r="H1007" t="s">
        <v>2316</v>
      </c>
      <c r="I1007" t="s">
        <v>354</v>
      </c>
      <c r="K1007">
        <v>2522819.3470000001</v>
      </c>
      <c r="L1007">
        <v>1154207.83</v>
      </c>
      <c r="M1007">
        <v>575.9</v>
      </c>
      <c r="N1007" t="s">
        <v>2327</v>
      </c>
    </row>
    <row r="1008" spans="1:14" x14ac:dyDescent="0.25">
      <c r="A1008">
        <v>8501087</v>
      </c>
      <c r="B1008" t="s">
        <v>2328</v>
      </c>
      <c r="C1008" t="s">
        <v>353</v>
      </c>
      <c r="D1008" t="s">
        <v>112</v>
      </c>
      <c r="E1008" t="s">
        <v>87</v>
      </c>
      <c r="F1008" t="s">
        <v>2287</v>
      </c>
      <c r="G1008">
        <v>5656</v>
      </c>
      <c r="H1008" t="s">
        <v>2293</v>
      </c>
      <c r="I1008" t="s">
        <v>354</v>
      </c>
      <c r="K1008">
        <v>2522673.3960000002</v>
      </c>
      <c r="L1008">
        <v>1159792.909</v>
      </c>
      <c r="M1008">
        <v>640.79999999999995</v>
      </c>
      <c r="N1008" t="s">
        <v>2329</v>
      </c>
    </row>
    <row r="1009" spans="1:14" x14ac:dyDescent="0.25">
      <c r="A1009">
        <v>8501092</v>
      </c>
      <c r="B1009" t="s">
        <v>2316</v>
      </c>
      <c r="C1009" t="s">
        <v>353</v>
      </c>
      <c r="D1009" t="s">
        <v>112</v>
      </c>
      <c r="E1009" t="s">
        <v>87</v>
      </c>
      <c r="F1009" t="s">
        <v>2287</v>
      </c>
      <c r="G1009">
        <v>5656</v>
      </c>
      <c r="H1009" t="s">
        <v>2316</v>
      </c>
      <c r="I1009" t="s">
        <v>354</v>
      </c>
      <c r="K1009">
        <v>2523878.301</v>
      </c>
      <c r="L1009">
        <v>1153313.8189999999</v>
      </c>
      <c r="M1009">
        <v>502.5</v>
      </c>
      <c r="N1009" t="s">
        <v>2330</v>
      </c>
    </row>
    <row r="1010" spans="1:14" x14ac:dyDescent="0.25">
      <c r="A1010">
        <v>8501083</v>
      </c>
      <c r="B1010" t="s">
        <v>2305</v>
      </c>
      <c r="C1010" t="s">
        <v>353</v>
      </c>
      <c r="D1010" t="s">
        <v>112</v>
      </c>
      <c r="E1010" t="s">
        <v>87</v>
      </c>
      <c r="F1010" t="s">
        <v>2287</v>
      </c>
      <c r="G1010">
        <v>5656</v>
      </c>
      <c r="H1010" t="s">
        <v>2288</v>
      </c>
      <c r="I1010" t="s">
        <v>354</v>
      </c>
      <c r="K1010">
        <v>2522705.5720000002</v>
      </c>
      <c r="L1010">
        <v>1154846.3230000001</v>
      </c>
      <c r="M1010">
        <v>602.29999999999995</v>
      </c>
      <c r="N1010" t="s">
        <v>2331</v>
      </c>
    </row>
    <row r="1011" spans="1:14" x14ac:dyDescent="0.25">
      <c r="A1011">
        <v>8595648</v>
      </c>
      <c r="B1011" t="s">
        <v>2332</v>
      </c>
      <c r="C1011" t="s">
        <v>85</v>
      </c>
      <c r="D1011" t="s">
        <v>86</v>
      </c>
      <c r="E1011" t="s">
        <v>87</v>
      </c>
      <c r="F1011" t="s">
        <v>2287</v>
      </c>
      <c r="G1011">
        <v>5656</v>
      </c>
      <c r="H1011" t="s">
        <v>2288</v>
      </c>
      <c r="I1011" t="s">
        <v>89</v>
      </c>
      <c r="K1011">
        <v>2522186</v>
      </c>
      <c r="L1011">
        <v>1156023</v>
      </c>
      <c r="M1011">
        <v>638</v>
      </c>
      <c r="N1011" t="s">
        <v>2333</v>
      </c>
    </row>
    <row r="1012" spans="1:14" x14ac:dyDescent="0.25">
      <c r="A1012">
        <v>8595647</v>
      </c>
      <c r="B1012" t="s">
        <v>2334</v>
      </c>
      <c r="C1012" t="s">
        <v>85</v>
      </c>
      <c r="D1012" t="s">
        <v>86</v>
      </c>
      <c r="E1012" t="s">
        <v>87</v>
      </c>
      <c r="F1012" t="s">
        <v>2287</v>
      </c>
      <c r="G1012">
        <v>5656</v>
      </c>
      <c r="H1012" t="s">
        <v>2288</v>
      </c>
      <c r="I1012" t="s">
        <v>89</v>
      </c>
      <c r="K1012">
        <v>2522675</v>
      </c>
      <c r="L1012">
        <v>1156305</v>
      </c>
      <c r="M1012">
        <v>630</v>
      </c>
      <c r="N1012" t="s">
        <v>2335</v>
      </c>
    </row>
    <row r="1013" spans="1:14" x14ac:dyDescent="0.25">
      <c r="A1013">
        <v>8511590</v>
      </c>
      <c r="B1013" t="s">
        <v>2336</v>
      </c>
      <c r="C1013" t="s">
        <v>85</v>
      </c>
      <c r="D1013" t="s">
        <v>86</v>
      </c>
      <c r="E1013" t="s">
        <v>87</v>
      </c>
      <c r="F1013" t="s">
        <v>2287</v>
      </c>
      <c r="G1013">
        <v>5656</v>
      </c>
      <c r="H1013" t="s">
        <v>2308</v>
      </c>
      <c r="I1013" t="s">
        <v>89</v>
      </c>
      <c r="K1013">
        <v>2524127.03351</v>
      </c>
      <c r="L1013">
        <v>1157881.49642</v>
      </c>
      <c r="M1013">
        <v>574.20000000000005</v>
      </c>
      <c r="N1013" t="s">
        <v>2337</v>
      </c>
    </row>
    <row r="1014" spans="1:14" x14ac:dyDescent="0.25">
      <c r="A1014">
        <v>8511591</v>
      </c>
      <c r="B1014" t="s">
        <v>2338</v>
      </c>
      <c r="C1014" t="s">
        <v>85</v>
      </c>
      <c r="D1014" t="s">
        <v>86</v>
      </c>
      <c r="E1014" t="s">
        <v>87</v>
      </c>
      <c r="F1014" t="s">
        <v>2287</v>
      </c>
      <c r="G1014">
        <v>5656</v>
      </c>
      <c r="H1014" t="s">
        <v>2288</v>
      </c>
      <c r="I1014" t="s">
        <v>89</v>
      </c>
      <c r="K1014">
        <v>2522747.5492099999</v>
      </c>
      <c r="L1014">
        <v>1155979.2000500001</v>
      </c>
      <c r="M1014">
        <v>619.5</v>
      </c>
      <c r="N1014" t="s">
        <v>2339</v>
      </c>
    </row>
    <row r="1015" spans="1:14" x14ac:dyDescent="0.25">
      <c r="A1015">
        <v>8501084</v>
      </c>
      <c r="B1015" t="s">
        <v>2340</v>
      </c>
      <c r="C1015" t="s">
        <v>353</v>
      </c>
      <c r="D1015" t="s">
        <v>112</v>
      </c>
      <c r="E1015" t="s">
        <v>87</v>
      </c>
      <c r="F1015" t="s">
        <v>2287</v>
      </c>
      <c r="G1015">
        <v>5656</v>
      </c>
      <c r="H1015" t="s">
        <v>2288</v>
      </c>
      <c r="I1015" t="s">
        <v>354</v>
      </c>
      <c r="K1015">
        <v>2522824.31</v>
      </c>
      <c r="L1015">
        <v>1156922.6540000001</v>
      </c>
      <c r="M1015">
        <v>624.70000000000005</v>
      </c>
      <c r="N1015" t="s">
        <v>2341</v>
      </c>
    </row>
    <row r="1016" spans="1:14" x14ac:dyDescent="0.25">
      <c r="A1016">
        <v>8511001</v>
      </c>
      <c r="B1016" t="s">
        <v>2342</v>
      </c>
      <c r="C1016" t="s">
        <v>85</v>
      </c>
      <c r="D1016" t="s">
        <v>86</v>
      </c>
      <c r="E1016" t="s">
        <v>87</v>
      </c>
      <c r="F1016" t="s">
        <v>2287</v>
      </c>
      <c r="G1016">
        <v>5656</v>
      </c>
      <c r="H1016" t="s">
        <v>2293</v>
      </c>
      <c r="I1016" t="s">
        <v>89</v>
      </c>
      <c r="K1016">
        <v>2522839.37775</v>
      </c>
      <c r="L1016">
        <v>1158955.78932</v>
      </c>
      <c r="M1016">
        <v>625.6</v>
      </c>
      <c r="N1016" t="s">
        <v>2343</v>
      </c>
    </row>
    <row r="1017" spans="1:14" x14ac:dyDescent="0.25">
      <c r="A1017">
        <v>8511002</v>
      </c>
      <c r="B1017" t="s">
        <v>2344</v>
      </c>
      <c r="C1017" t="s">
        <v>353</v>
      </c>
      <c r="D1017" t="s">
        <v>86</v>
      </c>
      <c r="E1017" t="s">
        <v>87</v>
      </c>
      <c r="F1017" t="s">
        <v>2287</v>
      </c>
      <c r="G1017">
        <v>5656</v>
      </c>
      <c r="H1017" t="s">
        <v>2293</v>
      </c>
      <c r="I1017" t="s">
        <v>354</v>
      </c>
      <c r="K1017">
        <v>2522528.2067499999</v>
      </c>
      <c r="L1017">
        <v>1159257.98337</v>
      </c>
      <c r="M1017">
        <v>653.6</v>
      </c>
      <c r="N1017" t="s">
        <v>2345</v>
      </c>
    </row>
    <row r="1018" spans="1:14" x14ac:dyDescent="0.25">
      <c r="A1018">
        <v>8570079</v>
      </c>
      <c r="B1018" t="s">
        <v>2346</v>
      </c>
      <c r="C1018" t="s">
        <v>85</v>
      </c>
      <c r="D1018" t="s">
        <v>86</v>
      </c>
      <c r="E1018" t="s">
        <v>87</v>
      </c>
      <c r="F1018" t="s">
        <v>2287</v>
      </c>
      <c r="G1018">
        <v>5656</v>
      </c>
      <c r="H1018" t="s">
        <v>2288</v>
      </c>
      <c r="I1018" t="s">
        <v>89</v>
      </c>
      <c r="K1018">
        <v>2522875</v>
      </c>
      <c r="L1018">
        <v>1155411</v>
      </c>
      <c r="M1018">
        <v>615</v>
      </c>
      <c r="N1018" t="s">
        <v>2347</v>
      </c>
    </row>
    <row r="1019" spans="1:14" x14ac:dyDescent="0.25">
      <c r="A1019">
        <v>8570105</v>
      </c>
      <c r="B1019" t="s">
        <v>2348</v>
      </c>
      <c r="C1019" t="s">
        <v>85</v>
      </c>
      <c r="D1019" t="s">
        <v>86</v>
      </c>
      <c r="E1019" t="s">
        <v>87</v>
      </c>
      <c r="F1019" t="s">
        <v>2287</v>
      </c>
      <c r="G1019">
        <v>5656</v>
      </c>
      <c r="H1019" t="s">
        <v>2311</v>
      </c>
      <c r="I1019" t="s">
        <v>89</v>
      </c>
      <c r="K1019">
        <v>2524569.4896499999</v>
      </c>
      <c r="L1019">
        <v>1158831.0544400001</v>
      </c>
      <c r="M1019">
        <v>588.29999999999995</v>
      </c>
      <c r="N1019" t="s">
        <v>2349</v>
      </c>
    </row>
    <row r="1020" spans="1:14" x14ac:dyDescent="0.25">
      <c r="A1020">
        <v>8570077</v>
      </c>
      <c r="B1020" t="s">
        <v>2350</v>
      </c>
      <c r="C1020" t="s">
        <v>85</v>
      </c>
      <c r="D1020" t="s">
        <v>86</v>
      </c>
      <c r="E1020" t="s">
        <v>87</v>
      </c>
      <c r="F1020" t="s">
        <v>2287</v>
      </c>
      <c r="G1020">
        <v>5656</v>
      </c>
      <c r="H1020" t="s">
        <v>2305</v>
      </c>
      <c r="I1020" t="s">
        <v>89</v>
      </c>
      <c r="K1020">
        <v>2523834.8085400001</v>
      </c>
      <c r="L1020">
        <v>1154851.13429</v>
      </c>
      <c r="M1020">
        <v>529.20000000000005</v>
      </c>
      <c r="N1020" t="s">
        <v>2351</v>
      </c>
    </row>
    <row r="1021" spans="1:14" x14ac:dyDescent="0.25">
      <c r="A1021">
        <v>8557130</v>
      </c>
      <c r="B1021" t="s">
        <v>2352</v>
      </c>
      <c r="C1021" t="s">
        <v>94</v>
      </c>
      <c r="D1021" t="s">
        <v>86</v>
      </c>
      <c r="E1021" t="s">
        <v>87</v>
      </c>
      <c r="F1021" t="s">
        <v>2353</v>
      </c>
      <c r="G1021">
        <v>5819</v>
      </c>
      <c r="H1021" t="s">
        <v>2353</v>
      </c>
      <c r="I1021" t="s">
        <v>96</v>
      </c>
      <c r="K1021">
        <v>2557537</v>
      </c>
      <c r="L1021">
        <v>1176953</v>
      </c>
      <c r="M1021">
        <v>483</v>
      </c>
      <c r="N1021" t="s">
        <v>2354</v>
      </c>
    </row>
    <row r="1022" spans="1:14" x14ac:dyDescent="0.25">
      <c r="A1022">
        <v>8504141</v>
      </c>
      <c r="B1022" t="s">
        <v>2353</v>
      </c>
      <c r="C1022" t="s">
        <v>132</v>
      </c>
      <c r="D1022" t="s">
        <v>112</v>
      </c>
      <c r="E1022" t="s">
        <v>87</v>
      </c>
      <c r="F1022" t="s">
        <v>2353</v>
      </c>
      <c r="G1022">
        <v>5819</v>
      </c>
      <c r="H1022" t="s">
        <v>2353</v>
      </c>
      <c r="I1022" t="s">
        <v>133</v>
      </c>
      <c r="K1022">
        <v>2556546.264</v>
      </c>
      <c r="L1022">
        <v>1176136.544</v>
      </c>
      <c r="M1022">
        <v>475.86</v>
      </c>
      <c r="N1022" t="s">
        <v>2355</v>
      </c>
    </row>
    <row r="1023" spans="1:14" x14ac:dyDescent="0.25">
      <c r="A1023">
        <v>8570344</v>
      </c>
      <c r="B1023" t="s">
        <v>2356</v>
      </c>
      <c r="C1023" t="s">
        <v>94</v>
      </c>
      <c r="D1023" t="s">
        <v>86</v>
      </c>
      <c r="E1023" t="s">
        <v>87</v>
      </c>
      <c r="F1023" t="s">
        <v>2357</v>
      </c>
      <c r="G1023">
        <v>5673</v>
      </c>
      <c r="H1023" t="s">
        <v>2357</v>
      </c>
      <c r="I1023" t="s">
        <v>96</v>
      </c>
      <c r="K1023">
        <v>2548257</v>
      </c>
      <c r="L1023">
        <v>1166297</v>
      </c>
      <c r="M1023">
        <v>661</v>
      </c>
      <c r="N1023" t="s">
        <v>2358</v>
      </c>
    </row>
    <row r="1024" spans="1:14" x14ac:dyDescent="0.25">
      <c r="A1024">
        <v>8570346</v>
      </c>
      <c r="B1024" t="s">
        <v>2359</v>
      </c>
      <c r="C1024" t="s">
        <v>94</v>
      </c>
      <c r="D1024" t="s">
        <v>86</v>
      </c>
      <c r="E1024" t="s">
        <v>87</v>
      </c>
      <c r="F1024" t="s">
        <v>2357</v>
      </c>
      <c r="G1024">
        <v>5673</v>
      </c>
      <c r="H1024" t="s">
        <v>2360</v>
      </c>
      <c r="I1024" t="s">
        <v>96</v>
      </c>
      <c r="K1024">
        <v>2546608</v>
      </c>
      <c r="L1024">
        <v>1165577</v>
      </c>
      <c r="M1024">
        <v>730</v>
      </c>
      <c r="N1024" t="s">
        <v>2361</v>
      </c>
    </row>
    <row r="1025" spans="1:14" x14ac:dyDescent="0.25">
      <c r="A1025">
        <v>8570345</v>
      </c>
      <c r="B1025" t="s">
        <v>2362</v>
      </c>
      <c r="C1025" t="s">
        <v>94</v>
      </c>
      <c r="D1025" t="s">
        <v>86</v>
      </c>
      <c r="E1025" t="s">
        <v>87</v>
      </c>
      <c r="F1025" t="s">
        <v>2357</v>
      </c>
      <c r="G1025">
        <v>5673</v>
      </c>
      <c r="H1025" t="s">
        <v>2357</v>
      </c>
      <c r="I1025" t="s">
        <v>96</v>
      </c>
      <c r="K1025">
        <v>2547916</v>
      </c>
      <c r="L1025">
        <v>1165899</v>
      </c>
      <c r="M1025">
        <v>671</v>
      </c>
      <c r="N1025" t="s">
        <v>2363</v>
      </c>
    </row>
    <row r="1026" spans="1:14" x14ac:dyDescent="0.25">
      <c r="A1026">
        <v>8504728</v>
      </c>
      <c r="B1026" t="s">
        <v>2364</v>
      </c>
      <c r="C1026" t="s">
        <v>650</v>
      </c>
      <c r="D1026" t="s">
        <v>86</v>
      </c>
      <c r="E1026" t="s">
        <v>87</v>
      </c>
      <c r="F1026" t="s">
        <v>2365</v>
      </c>
      <c r="G1026">
        <v>5885</v>
      </c>
      <c r="H1026" t="s">
        <v>2365</v>
      </c>
      <c r="I1026" t="s">
        <v>651</v>
      </c>
      <c r="K1026">
        <v>2554371.4187799999</v>
      </c>
      <c r="L1026">
        <v>1148027.1558999999</v>
      </c>
      <c r="M1026">
        <v>643</v>
      </c>
      <c r="N1026" t="s">
        <v>2366</v>
      </c>
    </row>
    <row r="1027" spans="1:14" x14ac:dyDescent="0.25">
      <c r="A1027">
        <v>8504966</v>
      </c>
      <c r="B1027" t="s">
        <v>2367</v>
      </c>
      <c r="C1027" t="s">
        <v>650</v>
      </c>
      <c r="D1027" t="s">
        <v>86</v>
      </c>
      <c r="E1027" t="s">
        <v>87</v>
      </c>
      <c r="F1027" t="s">
        <v>2365</v>
      </c>
      <c r="G1027">
        <v>5885</v>
      </c>
      <c r="H1027" t="s">
        <v>2365</v>
      </c>
      <c r="I1027" t="s">
        <v>651</v>
      </c>
      <c r="K1027">
        <v>2554142</v>
      </c>
      <c r="L1027">
        <v>1147727</v>
      </c>
      <c r="M1027">
        <v>621</v>
      </c>
      <c r="N1027" t="s">
        <v>2368</v>
      </c>
    </row>
    <row r="1028" spans="1:14" x14ac:dyDescent="0.25">
      <c r="A1028">
        <v>8579181</v>
      </c>
      <c r="B1028" t="s">
        <v>2369</v>
      </c>
      <c r="C1028" t="s">
        <v>650</v>
      </c>
      <c r="D1028" t="s">
        <v>86</v>
      </c>
      <c r="E1028" t="s">
        <v>87</v>
      </c>
      <c r="F1028" t="s">
        <v>2365</v>
      </c>
      <c r="G1028">
        <v>5885</v>
      </c>
      <c r="H1028" t="s">
        <v>2365</v>
      </c>
      <c r="I1028" t="s">
        <v>651</v>
      </c>
      <c r="K1028">
        <v>2554704</v>
      </c>
      <c r="L1028">
        <v>1148140</v>
      </c>
      <c r="M1028">
        <v>662</v>
      </c>
      <c r="N1028" t="s">
        <v>2370</v>
      </c>
    </row>
    <row r="1029" spans="1:14" x14ac:dyDescent="0.25">
      <c r="A1029">
        <v>8504959</v>
      </c>
      <c r="B1029" t="s">
        <v>2371</v>
      </c>
      <c r="C1029" t="s">
        <v>650</v>
      </c>
      <c r="D1029" t="s">
        <v>86</v>
      </c>
      <c r="E1029" t="s">
        <v>87</v>
      </c>
      <c r="F1029" t="s">
        <v>2365</v>
      </c>
      <c r="G1029">
        <v>5885</v>
      </c>
      <c r="H1029" t="s">
        <v>2365</v>
      </c>
      <c r="I1029" t="s">
        <v>651</v>
      </c>
      <c r="K1029">
        <v>2554280.4180000001</v>
      </c>
      <c r="L1029">
        <v>1147403.7690000001</v>
      </c>
      <c r="M1029">
        <v>549</v>
      </c>
      <c r="N1029" t="s">
        <v>2372</v>
      </c>
    </row>
    <row r="1030" spans="1:14" x14ac:dyDescent="0.25">
      <c r="A1030">
        <v>8504958</v>
      </c>
      <c r="B1030" t="s">
        <v>2373</v>
      </c>
      <c r="C1030" t="s">
        <v>650</v>
      </c>
      <c r="D1030" t="s">
        <v>86</v>
      </c>
      <c r="E1030" t="s">
        <v>87</v>
      </c>
      <c r="F1030" t="s">
        <v>2365</v>
      </c>
      <c r="G1030">
        <v>5885</v>
      </c>
      <c r="H1030" t="s">
        <v>2365</v>
      </c>
      <c r="I1030" t="s">
        <v>651</v>
      </c>
      <c r="K1030">
        <v>2554981</v>
      </c>
      <c r="L1030">
        <v>1148853</v>
      </c>
      <c r="M1030">
        <v>753</v>
      </c>
      <c r="N1030" t="s">
        <v>2374</v>
      </c>
    </row>
    <row r="1031" spans="1:14" x14ac:dyDescent="0.25">
      <c r="A1031">
        <v>8570349</v>
      </c>
      <c r="B1031" t="s">
        <v>2375</v>
      </c>
      <c r="C1031" t="s">
        <v>94</v>
      </c>
      <c r="D1031" t="s">
        <v>86</v>
      </c>
      <c r="E1031" t="s">
        <v>87</v>
      </c>
      <c r="F1031" t="s">
        <v>2376</v>
      </c>
      <c r="G1031">
        <v>5804</v>
      </c>
      <c r="H1031" t="s">
        <v>2377</v>
      </c>
      <c r="I1031" t="s">
        <v>96</v>
      </c>
      <c r="K1031">
        <v>2546291</v>
      </c>
      <c r="L1031">
        <v>1167534</v>
      </c>
      <c r="M1031">
        <v>774</v>
      </c>
      <c r="N1031" t="s">
        <v>2378</v>
      </c>
    </row>
    <row r="1032" spans="1:14" x14ac:dyDescent="0.25">
      <c r="A1032">
        <v>8570174</v>
      </c>
      <c r="B1032" t="s">
        <v>2379</v>
      </c>
      <c r="C1032" t="s">
        <v>94</v>
      </c>
      <c r="D1032" t="s">
        <v>86</v>
      </c>
      <c r="E1032" t="s">
        <v>87</v>
      </c>
      <c r="F1032" t="s">
        <v>2376</v>
      </c>
      <c r="G1032">
        <v>5804</v>
      </c>
      <c r="H1032" t="s">
        <v>2360</v>
      </c>
      <c r="I1032" t="s">
        <v>96</v>
      </c>
      <c r="K1032">
        <v>2545490</v>
      </c>
      <c r="L1032">
        <v>1164895</v>
      </c>
      <c r="M1032">
        <v>837</v>
      </c>
      <c r="N1032" t="s">
        <v>2380</v>
      </c>
    </row>
    <row r="1033" spans="1:14" x14ac:dyDescent="0.25">
      <c r="A1033">
        <v>8570172</v>
      </c>
      <c r="B1033" t="s">
        <v>2381</v>
      </c>
      <c r="C1033" t="s">
        <v>94</v>
      </c>
      <c r="D1033" t="s">
        <v>86</v>
      </c>
      <c r="E1033" t="s">
        <v>87</v>
      </c>
      <c r="F1033" t="s">
        <v>2376</v>
      </c>
      <c r="G1033">
        <v>5804</v>
      </c>
      <c r="H1033" t="s">
        <v>2382</v>
      </c>
      <c r="I1033" t="s">
        <v>96</v>
      </c>
      <c r="K1033">
        <v>2543822</v>
      </c>
      <c r="L1033">
        <v>1164005</v>
      </c>
      <c r="M1033">
        <v>825</v>
      </c>
      <c r="N1033" t="s">
        <v>2383</v>
      </c>
    </row>
    <row r="1034" spans="1:14" x14ac:dyDescent="0.25">
      <c r="A1034">
        <v>8570216</v>
      </c>
      <c r="B1034" t="s">
        <v>2384</v>
      </c>
      <c r="C1034" t="s">
        <v>94</v>
      </c>
      <c r="D1034" t="s">
        <v>86</v>
      </c>
      <c r="E1034" t="s">
        <v>87</v>
      </c>
      <c r="F1034" t="s">
        <v>2376</v>
      </c>
      <c r="G1034">
        <v>5804</v>
      </c>
      <c r="H1034" t="s">
        <v>2382</v>
      </c>
      <c r="I1034" t="s">
        <v>96</v>
      </c>
      <c r="K1034">
        <v>2543725</v>
      </c>
      <c r="L1034">
        <v>1164172</v>
      </c>
      <c r="M1034">
        <v>816</v>
      </c>
      <c r="N1034" t="s">
        <v>2385</v>
      </c>
    </row>
    <row r="1035" spans="1:14" x14ac:dyDescent="0.25">
      <c r="A1035">
        <v>8570175</v>
      </c>
      <c r="B1035" t="s">
        <v>2386</v>
      </c>
      <c r="C1035" t="s">
        <v>94</v>
      </c>
      <c r="D1035" t="s">
        <v>86</v>
      </c>
      <c r="E1035" t="s">
        <v>87</v>
      </c>
      <c r="F1035" t="s">
        <v>2376</v>
      </c>
      <c r="G1035">
        <v>5804</v>
      </c>
      <c r="H1035" t="s">
        <v>2387</v>
      </c>
      <c r="I1035" t="s">
        <v>96</v>
      </c>
      <c r="K1035">
        <v>2545497</v>
      </c>
      <c r="L1035">
        <v>1166029</v>
      </c>
      <c r="M1035">
        <v>800</v>
      </c>
      <c r="N1035" t="s">
        <v>2388</v>
      </c>
    </row>
    <row r="1036" spans="1:14" x14ac:dyDescent="0.25">
      <c r="A1036">
        <v>8570218</v>
      </c>
      <c r="B1036" t="s">
        <v>2389</v>
      </c>
      <c r="C1036" t="s">
        <v>94</v>
      </c>
      <c r="D1036" t="s">
        <v>86</v>
      </c>
      <c r="E1036" t="s">
        <v>87</v>
      </c>
      <c r="F1036" t="s">
        <v>2376</v>
      </c>
      <c r="G1036">
        <v>5804</v>
      </c>
      <c r="H1036" t="s">
        <v>2390</v>
      </c>
      <c r="I1036" t="s">
        <v>96</v>
      </c>
      <c r="K1036">
        <v>2544560</v>
      </c>
      <c r="L1036">
        <v>1166551</v>
      </c>
      <c r="M1036">
        <v>752</v>
      </c>
      <c r="N1036" t="s">
        <v>2391</v>
      </c>
    </row>
    <row r="1037" spans="1:14" x14ac:dyDescent="0.25">
      <c r="A1037">
        <v>8511209</v>
      </c>
      <c r="B1037" t="s">
        <v>2392</v>
      </c>
      <c r="C1037" t="s">
        <v>94</v>
      </c>
      <c r="D1037" t="s">
        <v>86</v>
      </c>
      <c r="E1037" t="s">
        <v>87</v>
      </c>
      <c r="F1037" t="s">
        <v>2376</v>
      </c>
      <c r="G1037">
        <v>5804</v>
      </c>
      <c r="H1037" t="s">
        <v>2382</v>
      </c>
      <c r="I1037" t="s">
        <v>96</v>
      </c>
      <c r="K1037">
        <v>2544406.2919000001</v>
      </c>
      <c r="L1037">
        <v>1163105.2921500001</v>
      </c>
      <c r="M1037">
        <v>873</v>
      </c>
      <c r="N1037" t="s">
        <v>2393</v>
      </c>
    </row>
    <row r="1038" spans="1:14" x14ac:dyDescent="0.25">
      <c r="A1038">
        <v>8570347</v>
      </c>
      <c r="B1038" t="s">
        <v>2394</v>
      </c>
      <c r="C1038" t="s">
        <v>94</v>
      </c>
      <c r="D1038" t="s">
        <v>86</v>
      </c>
      <c r="E1038" t="s">
        <v>87</v>
      </c>
      <c r="F1038" t="s">
        <v>2376</v>
      </c>
      <c r="G1038">
        <v>5804</v>
      </c>
      <c r="H1038" t="s">
        <v>2387</v>
      </c>
      <c r="I1038" t="s">
        <v>96</v>
      </c>
      <c r="K1038">
        <v>2545692</v>
      </c>
      <c r="L1038">
        <v>1166490</v>
      </c>
      <c r="M1038">
        <v>774</v>
      </c>
      <c r="N1038" t="s">
        <v>2395</v>
      </c>
    </row>
    <row r="1039" spans="1:14" x14ac:dyDescent="0.25">
      <c r="A1039">
        <v>8570348</v>
      </c>
      <c r="B1039" t="s">
        <v>2396</v>
      </c>
      <c r="C1039" t="s">
        <v>94</v>
      </c>
      <c r="D1039" t="s">
        <v>86</v>
      </c>
      <c r="E1039" t="s">
        <v>87</v>
      </c>
      <c r="F1039" t="s">
        <v>2376</v>
      </c>
      <c r="G1039">
        <v>5804</v>
      </c>
      <c r="H1039" t="s">
        <v>2377</v>
      </c>
      <c r="I1039" t="s">
        <v>96</v>
      </c>
      <c r="K1039">
        <v>2546667</v>
      </c>
      <c r="L1039">
        <v>1167316</v>
      </c>
      <c r="M1039">
        <v>754</v>
      </c>
      <c r="N1039" t="s">
        <v>2397</v>
      </c>
    </row>
    <row r="1040" spans="1:14" x14ac:dyDescent="0.25">
      <c r="A1040">
        <v>8570173</v>
      </c>
      <c r="B1040" t="s">
        <v>2398</v>
      </c>
      <c r="C1040" t="s">
        <v>94</v>
      </c>
      <c r="D1040" t="s">
        <v>86</v>
      </c>
      <c r="E1040" t="s">
        <v>87</v>
      </c>
      <c r="F1040" t="s">
        <v>2376</v>
      </c>
      <c r="G1040">
        <v>5804</v>
      </c>
      <c r="H1040" t="s">
        <v>2360</v>
      </c>
      <c r="I1040" t="s">
        <v>96</v>
      </c>
      <c r="K1040">
        <v>2545095</v>
      </c>
      <c r="L1040">
        <v>1164494</v>
      </c>
      <c r="M1040">
        <v>849</v>
      </c>
      <c r="N1040" t="s">
        <v>2399</v>
      </c>
    </row>
    <row r="1041" spans="1:14" x14ac:dyDescent="0.25">
      <c r="A1041">
        <v>8570219</v>
      </c>
      <c r="B1041" t="s">
        <v>2400</v>
      </c>
      <c r="C1041" t="s">
        <v>94</v>
      </c>
      <c r="D1041" t="s">
        <v>86</v>
      </c>
      <c r="E1041" t="s">
        <v>87</v>
      </c>
      <c r="F1041" t="s">
        <v>2376</v>
      </c>
      <c r="G1041">
        <v>5804</v>
      </c>
      <c r="H1041" t="s">
        <v>2390</v>
      </c>
      <c r="I1041" t="s">
        <v>96</v>
      </c>
      <c r="K1041">
        <v>2544432</v>
      </c>
      <c r="L1041">
        <v>1166141</v>
      </c>
      <c r="M1041">
        <v>767</v>
      </c>
      <c r="N1041" t="s">
        <v>2401</v>
      </c>
    </row>
    <row r="1042" spans="1:14" x14ac:dyDescent="0.25">
      <c r="A1042">
        <v>8583395</v>
      </c>
      <c r="B1042" t="s">
        <v>2402</v>
      </c>
      <c r="C1042" t="s">
        <v>94</v>
      </c>
      <c r="D1042" t="s">
        <v>86</v>
      </c>
      <c r="E1042" t="s">
        <v>87</v>
      </c>
      <c r="F1042" t="s">
        <v>2376</v>
      </c>
      <c r="G1042">
        <v>5804</v>
      </c>
      <c r="H1042" t="s">
        <v>2382</v>
      </c>
      <c r="I1042" t="s">
        <v>96</v>
      </c>
      <c r="K1042">
        <v>2544050</v>
      </c>
      <c r="L1042">
        <v>1163666</v>
      </c>
      <c r="M1042">
        <v>862</v>
      </c>
      <c r="N1042" t="s">
        <v>2403</v>
      </c>
    </row>
    <row r="1043" spans="1:14" x14ac:dyDescent="0.25">
      <c r="A1043">
        <v>8583396</v>
      </c>
      <c r="B1043" t="s">
        <v>2404</v>
      </c>
      <c r="C1043" t="s">
        <v>94</v>
      </c>
      <c r="D1043" t="s">
        <v>86</v>
      </c>
      <c r="E1043" t="s">
        <v>87</v>
      </c>
      <c r="F1043" t="s">
        <v>2376</v>
      </c>
      <c r="G1043">
        <v>5804</v>
      </c>
      <c r="H1043" t="s">
        <v>2387</v>
      </c>
      <c r="I1043" t="s">
        <v>96</v>
      </c>
      <c r="K1043">
        <v>2545736</v>
      </c>
      <c r="L1043">
        <v>1166347</v>
      </c>
      <c r="M1043">
        <v>778</v>
      </c>
      <c r="N1043" t="s">
        <v>2405</v>
      </c>
    </row>
    <row r="1044" spans="1:14" x14ac:dyDescent="0.25">
      <c r="A1044">
        <v>8504166</v>
      </c>
      <c r="B1044" t="s">
        <v>2406</v>
      </c>
      <c r="C1044" t="s">
        <v>94</v>
      </c>
      <c r="D1044" t="s">
        <v>86</v>
      </c>
      <c r="E1044" t="s">
        <v>87</v>
      </c>
      <c r="F1044" t="s">
        <v>2407</v>
      </c>
      <c r="G1044">
        <v>5806</v>
      </c>
      <c r="H1044" t="s">
        <v>2408</v>
      </c>
      <c r="I1044" t="s">
        <v>96</v>
      </c>
      <c r="K1044">
        <v>2548883</v>
      </c>
      <c r="L1044">
        <v>1161133</v>
      </c>
      <c r="M1044">
        <v>740</v>
      </c>
      <c r="N1044" t="s">
        <v>2409</v>
      </c>
    </row>
    <row r="1045" spans="1:14" x14ac:dyDescent="0.25">
      <c r="A1045">
        <v>8504165</v>
      </c>
      <c r="B1045" t="s">
        <v>2410</v>
      </c>
      <c r="C1045" t="s">
        <v>94</v>
      </c>
      <c r="D1045" t="s">
        <v>86</v>
      </c>
      <c r="E1045" t="s">
        <v>87</v>
      </c>
      <c r="F1045" t="s">
        <v>2407</v>
      </c>
      <c r="G1045">
        <v>5806</v>
      </c>
      <c r="H1045" t="s">
        <v>2411</v>
      </c>
      <c r="I1045" t="s">
        <v>96</v>
      </c>
      <c r="K1045">
        <v>2549259</v>
      </c>
      <c r="L1045">
        <v>1161891</v>
      </c>
      <c r="M1045">
        <v>719</v>
      </c>
      <c r="N1045" t="s">
        <v>2412</v>
      </c>
    </row>
    <row r="1046" spans="1:14" x14ac:dyDescent="0.25">
      <c r="A1046">
        <v>8570422</v>
      </c>
      <c r="B1046" t="s">
        <v>2413</v>
      </c>
      <c r="C1046" t="s">
        <v>94</v>
      </c>
      <c r="D1046" t="s">
        <v>86</v>
      </c>
      <c r="E1046" t="s">
        <v>87</v>
      </c>
      <c r="F1046" t="s">
        <v>2407</v>
      </c>
      <c r="G1046">
        <v>5806</v>
      </c>
      <c r="H1046" t="s">
        <v>2414</v>
      </c>
      <c r="I1046" t="s">
        <v>96</v>
      </c>
      <c r="K1046">
        <v>2549767</v>
      </c>
      <c r="L1046">
        <v>1159789</v>
      </c>
      <c r="M1046">
        <v>763</v>
      </c>
      <c r="N1046" t="s">
        <v>2415</v>
      </c>
    </row>
    <row r="1047" spans="1:14" x14ac:dyDescent="0.25">
      <c r="A1047">
        <v>8570423</v>
      </c>
      <c r="B1047" t="s">
        <v>2416</v>
      </c>
      <c r="C1047" t="s">
        <v>94</v>
      </c>
      <c r="D1047" t="s">
        <v>86</v>
      </c>
      <c r="E1047" t="s">
        <v>87</v>
      </c>
      <c r="F1047" t="s">
        <v>2407</v>
      </c>
      <c r="G1047">
        <v>5806</v>
      </c>
      <c r="H1047" t="s">
        <v>2414</v>
      </c>
      <c r="I1047" t="s">
        <v>96</v>
      </c>
      <c r="K1047">
        <v>2549840</v>
      </c>
      <c r="L1047">
        <v>1160084</v>
      </c>
      <c r="M1047">
        <v>747</v>
      </c>
      <c r="N1047" t="s">
        <v>2417</v>
      </c>
    </row>
    <row r="1048" spans="1:14" x14ac:dyDescent="0.25">
      <c r="A1048">
        <v>8591904</v>
      </c>
      <c r="B1048" t="s">
        <v>2418</v>
      </c>
      <c r="C1048" t="s">
        <v>94</v>
      </c>
      <c r="D1048" t="s">
        <v>86</v>
      </c>
      <c r="E1048" t="s">
        <v>87</v>
      </c>
      <c r="F1048" t="s">
        <v>2407</v>
      </c>
      <c r="G1048">
        <v>5806</v>
      </c>
      <c r="H1048" t="s">
        <v>2411</v>
      </c>
      <c r="I1048" t="s">
        <v>96</v>
      </c>
      <c r="K1048">
        <v>2548085</v>
      </c>
      <c r="L1048">
        <v>1161098</v>
      </c>
      <c r="M1048">
        <v>706</v>
      </c>
      <c r="N1048" t="s">
        <v>2419</v>
      </c>
    </row>
    <row r="1049" spans="1:14" x14ac:dyDescent="0.25">
      <c r="A1049">
        <v>8595475</v>
      </c>
      <c r="B1049" t="s">
        <v>2420</v>
      </c>
      <c r="C1049" t="s">
        <v>94</v>
      </c>
      <c r="D1049" t="s">
        <v>86</v>
      </c>
      <c r="E1049" t="s">
        <v>87</v>
      </c>
      <c r="F1049" t="s">
        <v>2407</v>
      </c>
      <c r="G1049">
        <v>5806</v>
      </c>
      <c r="H1049" t="s">
        <v>2408</v>
      </c>
      <c r="I1049" t="s">
        <v>96</v>
      </c>
      <c r="K1049">
        <v>2548959</v>
      </c>
      <c r="L1049">
        <v>1159382</v>
      </c>
      <c r="M1049">
        <v>730</v>
      </c>
      <c r="N1049" t="s">
        <v>2421</v>
      </c>
    </row>
    <row r="1050" spans="1:14" x14ac:dyDescent="0.25">
      <c r="A1050">
        <v>8511210</v>
      </c>
      <c r="B1050" t="s">
        <v>2422</v>
      </c>
      <c r="C1050" t="s">
        <v>94</v>
      </c>
      <c r="D1050" t="s">
        <v>86</v>
      </c>
      <c r="E1050" t="s">
        <v>87</v>
      </c>
      <c r="F1050" t="s">
        <v>2407</v>
      </c>
      <c r="G1050">
        <v>5806</v>
      </c>
      <c r="H1050" t="s">
        <v>2411</v>
      </c>
      <c r="I1050" t="s">
        <v>96</v>
      </c>
      <c r="K1050">
        <v>2548916.6311900001</v>
      </c>
      <c r="L1050">
        <v>1161553.3265500001</v>
      </c>
      <c r="M1050">
        <v>722</v>
      </c>
      <c r="N1050" t="s">
        <v>2423</v>
      </c>
    </row>
    <row r="1051" spans="1:14" x14ac:dyDescent="0.25">
      <c r="A1051">
        <v>8511214</v>
      </c>
      <c r="B1051" t="s">
        <v>2424</v>
      </c>
      <c r="C1051" t="s">
        <v>94</v>
      </c>
      <c r="D1051" t="s">
        <v>86</v>
      </c>
      <c r="E1051" t="s">
        <v>87</v>
      </c>
      <c r="F1051" t="s">
        <v>2407</v>
      </c>
      <c r="G1051">
        <v>5806</v>
      </c>
      <c r="H1051" t="s">
        <v>2411</v>
      </c>
      <c r="I1051" t="s">
        <v>96</v>
      </c>
      <c r="K1051">
        <v>2549079.36735</v>
      </c>
      <c r="L1051">
        <v>1161432.6000699999</v>
      </c>
      <c r="M1051">
        <v>738</v>
      </c>
      <c r="N1051" t="s">
        <v>2425</v>
      </c>
    </row>
    <row r="1052" spans="1:14" x14ac:dyDescent="0.25">
      <c r="A1052">
        <v>8570425</v>
      </c>
      <c r="B1052" t="s">
        <v>2426</v>
      </c>
      <c r="C1052" t="s">
        <v>94</v>
      </c>
      <c r="D1052" t="s">
        <v>86</v>
      </c>
      <c r="E1052" t="s">
        <v>87</v>
      </c>
      <c r="F1052" t="s">
        <v>2407</v>
      </c>
      <c r="G1052">
        <v>5806</v>
      </c>
      <c r="H1052" t="s">
        <v>2411</v>
      </c>
      <c r="I1052" t="s">
        <v>96</v>
      </c>
      <c r="K1052">
        <v>2548345</v>
      </c>
      <c r="L1052">
        <v>1161045</v>
      </c>
      <c r="M1052">
        <v>722</v>
      </c>
      <c r="N1052" t="s">
        <v>2427</v>
      </c>
    </row>
    <row r="1053" spans="1:14" x14ac:dyDescent="0.25">
      <c r="A1053">
        <v>8504758</v>
      </c>
      <c r="B1053" t="s">
        <v>2428</v>
      </c>
      <c r="C1053" t="s">
        <v>94</v>
      </c>
      <c r="D1053" t="s">
        <v>86</v>
      </c>
      <c r="E1053" t="s">
        <v>87</v>
      </c>
      <c r="F1053" t="s">
        <v>2407</v>
      </c>
      <c r="G1053">
        <v>5806</v>
      </c>
      <c r="H1053" t="s">
        <v>2408</v>
      </c>
      <c r="I1053" t="s">
        <v>96</v>
      </c>
      <c r="K1053">
        <v>2548788</v>
      </c>
      <c r="L1053">
        <v>1160758</v>
      </c>
      <c r="M1053">
        <v>742</v>
      </c>
      <c r="N1053" t="s">
        <v>2429</v>
      </c>
    </row>
    <row r="1054" spans="1:14" x14ac:dyDescent="0.25">
      <c r="A1054">
        <v>8595474</v>
      </c>
      <c r="B1054" t="s">
        <v>2430</v>
      </c>
      <c r="C1054" t="s">
        <v>94</v>
      </c>
      <c r="D1054" t="s">
        <v>86</v>
      </c>
      <c r="E1054" t="s">
        <v>87</v>
      </c>
      <c r="F1054" t="s">
        <v>2407</v>
      </c>
      <c r="G1054">
        <v>5806</v>
      </c>
      <c r="H1054" t="s">
        <v>2408</v>
      </c>
      <c r="I1054" t="s">
        <v>96</v>
      </c>
      <c r="K1054">
        <v>2548831</v>
      </c>
      <c r="L1054">
        <v>1160321</v>
      </c>
      <c r="M1054">
        <v>735</v>
      </c>
      <c r="N1054" t="s">
        <v>2431</v>
      </c>
    </row>
    <row r="1055" spans="1:14" x14ac:dyDescent="0.25">
      <c r="A1055">
        <v>8557075</v>
      </c>
      <c r="B1055" t="s">
        <v>2432</v>
      </c>
      <c r="C1055" t="s">
        <v>94</v>
      </c>
      <c r="D1055" t="s">
        <v>86</v>
      </c>
      <c r="E1055" t="s">
        <v>87</v>
      </c>
      <c r="F1055" t="s">
        <v>2407</v>
      </c>
      <c r="G1055">
        <v>5806</v>
      </c>
      <c r="H1055" t="s">
        <v>2411</v>
      </c>
      <c r="I1055" t="s">
        <v>96</v>
      </c>
      <c r="K1055">
        <v>2550061</v>
      </c>
      <c r="L1055">
        <v>1161257</v>
      </c>
      <c r="M1055">
        <v>716</v>
      </c>
      <c r="N1055" t="s">
        <v>2433</v>
      </c>
    </row>
    <row r="1056" spans="1:14" x14ac:dyDescent="0.25">
      <c r="A1056">
        <v>8557141</v>
      </c>
      <c r="B1056" t="s">
        <v>2434</v>
      </c>
      <c r="C1056" t="s">
        <v>94</v>
      </c>
      <c r="D1056" t="s">
        <v>86</v>
      </c>
      <c r="E1056" t="s">
        <v>87</v>
      </c>
      <c r="F1056" t="s">
        <v>2407</v>
      </c>
      <c r="G1056">
        <v>5806</v>
      </c>
      <c r="H1056" t="s">
        <v>2408</v>
      </c>
      <c r="I1056" t="s">
        <v>96</v>
      </c>
      <c r="K1056">
        <v>2548673</v>
      </c>
      <c r="L1056">
        <v>1160783</v>
      </c>
      <c r="M1056">
        <v>737</v>
      </c>
      <c r="N1056" t="s">
        <v>2435</v>
      </c>
    </row>
    <row r="1057" spans="1:14" x14ac:dyDescent="0.25">
      <c r="A1057">
        <v>8501167</v>
      </c>
      <c r="B1057" t="s">
        <v>2436</v>
      </c>
      <c r="C1057" t="s">
        <v>238</v>
      </c>
      <c r="E1057" t="s">
        <v>87</v>
      </c>
      <c r="F1057" t="s">
        <v>2437</v>
      </c>
      <c r="G1057">
        <v>5585</v>
      </c>
      <c r="H1057" t="s">
        <v>2437</v>
      </c>
      <c r="I1057" t="s">
        <v>239</v>
      </c>
      <c r="K1057">
        <v>2535760.0210000002</v>
      </c>
      <c r="L1057">
        <v>1156521.3259999999</v>
      </c>
      <c r="M1057">
        <v>588</v>
      </c>
      <c r="N1057" t="s">
        <v>2438</v>
      </c>
    </row>
    <row r="1058" spans="1:14" x14ac:dyDescent="0.25">
      <c r="A1058">
        <v>8510903</v>
      </c>
      <c r="B1058" t="s">
        <v>2439</v>
      </c>
      <c r="C1058" t="s">
        <v>242</v>
      </c>
      <c r="D1058" t="s">
        <v>86</v>
      </c>
      <c r="E1058" t="s">
        <v>87</v>
      </c>
      <c r="F1058" t="s">
        <v>2437</v>
      </c>
      <c r="G1058">
        <v>5585</v>
      </c>
      <c r="H1058" t="s">
        <v>2437</v>
      </c>
      <c r="I1058" t="s">
        <v>243</v>
      </c>
      <c r="K1058">
        <v>2535776.2081599999</v>
      </c>
      <c r="L1058">
        <v>1155647.4556</v>
      </c>
      <c r="M1058">
        <v>554</v>
      </c>
      <c r="N1058" t="s">
        <v>2440</v>
      </c>
    </row>
    <row r="1059" spans="1:14" x14ac:dyDescent="0.25">
      <c r="A1059">
        <v>8501165</v>
      </c>
      <c r="B1059" t="s">
        <v>2437</v>
      </c>
      <c r="C1059" t="s">
        <v>238</v>
      </c>
      <c r="D1059" t="s">
        <v>112</v>
      </c>
      <c r="E1059" t="s">
        <v>87</v>
      </c>
      <c r="F1059" t="s">
        <v>2437</v>
      </c>
      <c r="G1059">
        <v>5585</v>
      </c>
      <c r="H1059" t="s">
        <v>2437</v>
      </c>
      <c r="I1059" t="s">
        <v>239</v>
      </c>
      <c r="K1059">
        <v>2535809.6860000002</v>
      </c>
      <c r="L1059">
        <v>1155571.3859999999</v>
      </c>
      <c r="M1059">
        <v>551.9</v>
      </c>
      <c r="N1059" t="s">
        <v>2441</v>
      </c>
    </row>
    <row r="1060" spans="1:14" x14ac:dyDescent="0.25">
      <c r="A1060">
        <v>8510459</v>
      </c>
      <c r="B1060" t="s">
        <v>2442</v>
      </c>
      <c r="C1060" t="s">
        <v>94</v>
      </c>
      <c r="D1060" t="s">
        <v>86</v>
      </c>
      <c r="E1060" t="s">
        <v>87</v>
      </c>
      <c r="F1060" t="s">
        <v>2443</v>
      </c>
      <c r="G1060">
        <v>5754</v>
      </c>
      <c r="H1060" t="s">
        <v>2443</v>
      </c>
      <c r="I1060" t="s">
        <v>96</v>
      </c>
      <c r="K1060">
        <v>2524230</v>
      </c>
      <c r="L1060">
        <v>1171678</v>
      </c>
      <c r="M1060">
        <v>800</v>
      </c>
      <c r="N1060" t="s">
        <v>2444</v>
      </c>
    </row>
    <row r="1061" spans="1:14" x14ac:dyDescent="0.25">
      <c r="A1061">
        <v>8570151</v>
      </c>
      <c r="B1061" t="s">
        <v>2445</v>
      </c>
      <c r="C1061" t="s">
        <v>94</v>
      </c>
      <c r="D1061" t="s">
        <v>86</v>
      </c>
      <c r="E1061" t="s">
        <v>87</v>
      </c>
      <c r="F1061" t="s">
        <v>2443</v>
      </c>
      <c r="G1061">
        <v>5754</v>
      </c>
      <c r="H1061" t="s">
        <v>2443</v>
      </c>
      <c r="I1061" t="s">
        <v>96</v>
      </c>
      <c r="K1061">
        <v>2524069</v>
      </c>
      <c r="L1061">
        <v>1170455</v>
      </c>
      <c r="M1061">
        <v>815</v>
      </c>
      <c r="N1061" t="s">
        <v>2446</v>
      </c>
    </row>
    <row r="1062" spans="1:14" x14ac:dyDescent="0.25">
      <c r="A1062">
        <v>8570150</v>
      </c>
      <c r="B1062" t="s">
        <v>2447</v>
      </c>
      <c r="C1062" t="s">
        <v>94</v>
      </c>
      <c r="D1062" t="s">
        <v>86</v>
      </c>
      <c r="E1062" t="s">
        <v>87</v>
      </c>
      <c r="F1062" t="s">
        <v>2443</v>
      </c>
      <c r="G1062">
        <v>5754</v>
      </c>
      <c r="H1062" t="s">
        <v>2443</v>
      </c>
      <c r="I1062" t="s">
        <v>96</v>
      </c>
      <c r="K1062">
        <v>2524434</v>
      </c>
      <c r="L1062">
        <v>1171592</v>
      </c>
      <c r="M1062">
        <v>784</v>
      </c>
      <c r="N1062" t="s">
        <v>2448</v>
      </c>
    </row>
    <row r="1063" spans="1:14" x14ac:dyDescent="0.25">
      <c r="A1063">
        <v>8570134</v>
      </c>
      <c r="B1063" t="s">
        <v>2449</v>
      </c>
      <c r="C1063" t="s">
        <v>85</v>
      </c>
      <c r="D1063" t="s">
        <v>86</v>
      </c>
      <c r="E1063" t="s">
        <v>87</v>
      </c>
      <c r="F1063" t="s">
        <v>2450</v>
      </c>
      <c r="G1063">
        <v>5474</v>
      </c>
      <c r="H1063" t="s">
        <v>2450</v>
      </c>
      <c r="I1063" t="s">
        <v>89</v>
      </c>
      <c r="K1063">
        <v>2525997.8073200001</v>
      </c>
      <c r="L1063">
        <v>1163166.0921700001</v>
      </c>
      <c r="M1063">
        <v>553.9</v>
      </c>
      <c r="N1063" t="s">
        <v>2451</v>
      </c>
    </row>
    <row r="1064" spans="1:14" x14ac:dyDescent="0.25">
      <c r="A1064">
        <v>8570133</v>
      </c>
      <c r="B1064" t="s">
        <v>2452</v>
      </c>
      <c r="C1064" t="s">
        <v>85</v>
      </c>
      <c r="D1064" t="s">
        <v>86</v>
      </c>
      <c r="E1064" t="s">
        <v>87</v>
      </c>
      <c r="F1064" t="s">
        <v>2450</v>
      </c>
      <c r="G1064">
        <v>5474</v>
      </c>
      <c r="H1064" t="s">
        <v>2450</v>
      </c>
      <c r="I1064" t="s">
        <v>89</v>
      </c>
      <c r="K1064">
        <v>2526213.4130799999</v>
      </c>
      <c r="L1064">
        <v>1163013.459</v>
      </c>
      <c r="M1064">
        <v>561.70000000000005</v>
      </c>
      <c r="N1064" t="s">
        <v>2453</v>
      </c>
    </row>
    <row r="1065" spans="1:14" x14ac:dyDescent="0.25">
      <c r="A1065">
        <v>8570153</v>
      </c>
      <c r="B1065" t="s">
        <v>2454</v>
      </c>
      <c r="C1065" t="s">
        <v>94</v>
      </c>
      <c r="D1065" t="s">
        <v>86</v>
      </c>
      <c r="E1065" t="s">
        <v>87</v>
      </c>
      <c r="F1065" t="s">
        <v>2455</v>
      </c>
      <c r="G1065">
        <v>5758</v>
      </c>
      <c r="H1065" t="s">
        <v>2455</v>
      </c>
      <c r="I1065" t="s">
        <v>96</v>
      </c>
      <c r="K1065">
        <v>2522592</v>
      </c>
      <c r="L1065">
        <v>1168945</v>
      </c>
      <c r="M1065">
        <v>872</v>
      </c>
      <c r="N1065" t="s">
        <v>2456</v>
      </c>
    </row>
    <row r="1066" spans="1:14" x14ac:dyDescent="0.25">
      <c r="A1066">
        <v>8570152</v>
      </c>
      <c r="B1066" t="s">
        <v>2457</v>
      </c>
      <c r="C1066" t="s">
        <v>94</v>
      </c>
      <c r="D1066" t="s">
        <v>86</v>
      </c>
      <c r="E1066" t="s">
        <v>87</v>
      </c>
      <c r="F1066" t="s">
        <v>2455</v>
      </c>
      <c r="G1066">
        <v>5758</v>
      </c>
      <c r="H1066" t="s">
        <v>2455</v>
      </c>
      <c r="I1066" t="s">
        <v>96</v>
      </c>
      <c r="K1066">
        <v>2522762</v>
      </c>
      <c r="L1066">
        <v>1169157</v>
      </c>
      <c r="M1066">
        <v>869</v>
      </c>
      <c r="N1066" t="s">
        <v>2458</v>
      </c>
    </row>
    <row r="1067" spans="1:14" x14ac:dyDescent="0.25">
      <c r="A1067">
        <v>8579315</v>
      </c>
      <c r="B1067" t="s">
        <v>2459</v>
      </c>
      <c r="C1067" t="s">
        <v>206</v>
      </c>
      <c r="D1067" t="s">
        <v>86</v>
      </c>
      <c r="E1067" t="s">
        <v>87</v>
      </c>
      <c r="F1067" t="s">
        <v>2460</v>
      </c>
      <c r="G1067">
        <v>5726</v>
      </c>
      <c r="H1067" t="s">
        <v>2460</v>
      </c>
      <c r="I1067" t="s">
        <v>208</v>
      </c>
      <c r="K1067">
        <v>2501055.2530100001</v>
      </c>
      <c r="L1067">
        <v>1137484.2997399999</v>
      </c>
      <c r="M1067">
        <v>525</v>
      </c>
      <c r="N1067" t="s">
        <v>2461</v>
      </c>
    </row>
    <row r="1068" spans="1:14" x14ac:dyDescent="0.25">
      <c r="A1068">
        <v>8596092</v>
      </c>
      <c r="B1068" t="s">
        <v>2462</v>
      </c>
      <c r="C1068" t="s">
        <v>206</v>
      </c>
      <c r="D1068" t="s">
        <v>86</v>
      </c>
      <c r="E1068" t="s">
        <v>87</v>
      </c>
      <c r="F1068" t="s">
        <v>2460</v>
      </c>
      <c r="G1068">
        <v>5726</v>
      </c>
      <c r="H1068" t="s">
        <v>2460</v>
      </c>
      <c r="I1068" t="s">
        <v>208</v>
      </c>
      <c r="K1068">
        <v>2501822</v>
      </c>
      <c r="L1068">
        <v>1138757</v>
      </c>
      <c r="M1068">
        <v>525</v>
      </c>
      <c r="N1068" t="s">
        <v>2463</v>
      </c>
    </row>
    <row r="1069" spans="1:14" x14ac:dyDescent="0.25">
      <c r="A1069">
        <v>8583359</v>
      </c>
      <c r="B1069" t="s">
        <v>2464</v>
      </c>
      <c r="C1069" t="s">
        <v>85</v>
      </c>
      <c r="D1069" t="s">
        <v>86</v>
      </c>
      <c r="E1069" t="s">
        <v>87</v>
      </c>
      <c r="F1069" t="s">
        <v>2465</v>
      </c>
      <c r="G1069">
        <v>5498</v>
      </c>
      <c r="H1069" t="s">
        <v>2465</v>
      </c>
      <c r="I1069" t="s">
        <v>89</v>
      </c>
      <c r="J1069" t="s">
        <v>2466</v>
      </c>
      <c r="K1069">
        <v>2529412.7129500001</v>
      </c>
      <c r="L1069">
        <v>1167884.33503</v>
      </c>
      <c r="M1069">
        <v>480.6</v>
      </c>
      <c r="N1069" t="s">
        <v>2467</v>
      </c>
    </row>
    <row r="1070" spans="1:14" x14ac:dyDescent="0.25">
      <c r="A1070">
        <v>8501108</v>
      </c>
      <c r="B1070" t="s">
        <v>2465</v>
      </c>
      <c r="C1070" t="s">
        <v>132</v>
      </c>
      <c r="D1070" t="s">
        <v>112</v>
      </c>
      <c r="E1070" t="s">
        <v>87</v>
      </c>
      <c r="F1070" t="s">
        <v>2465</v>
      </c>
      <c r="G1070">
        <v>5498</v>
      </c>
      <c r="H1070" t="s">
        <v>2465</v>
      </c>
      <c r="I1070" t="s">
        <v>133</v>
      </c>
      <c r="K1070">
        <v>2529486.7259999998</v>
      </c>
      <c r="L1070">
        <v>1167920.862</v>
      </c>
      <c r="M1070">
        <v>484.93</v>
      </c>
      <c r="N1070" t="s">
        <v>2468</v>
      </c>
    </row>
    <row r="1071" spans="1:14" x14ac:dyDescent="0.25">
      <c r="A1071">
        <v>8570142</v>
      </c>
      <c r="B1071" t="s">
        <v>2469</v>
      </c>
      <c r="C1071" t="s">
        <v>94</v>
      </c>
      <c r="D1071" t="s">
        <v>86</v>
      </c>
      <c r="E1071" t="s">
        <v>87</v>
      </c>
      <c r="F1071" t="s">
        <v>2465</v>
      </c>
      <c r="G1071">
        <v>5498</v>
      </c>
      <c r="H1071" t="s">
        <v>2465</v>
      </c>
      <c r="I1071" t="s">
        <v>96</v>
      </c>
      <c r="K1071">
        <v>2529461</v>
      </c>
      <c r="L1071">
        <v>1167926</v>
      </c>
      <c r="M1071">
        <v>485</v>
      </c>
      <c r="N1071" t="s">
        <v>2470</v>
      </c>
    </row>
    <row r="1072" spans="1:14" x14ac:dyDescent="0.25">
      <c r="A1072">
        <v>8570144</v>
      </c>
      <c r="B1072" t="s">
        <v>2471</v>
      </c>
      <c r="C1072" t="s">
        <v>85</v>
      </c>
      <c r="D1072" t="s">
        <v>86</v>
      </c>
      <c r="E1072" t="s">
        <v>87</v>
      </c>
      <c r="F1072" t="s">
        <v>2465</v>
      </c>
      <c r="G1072">
        <v>5498</v>
      </c>
      <c r="H1072" t="s">
        <v>2465</v>
      </c>
      <c r="I1072" t="s">
        <v>89</v>
      </c>
      <c r="K1072">
        <v>2529223.1179</v>
      </c>
      <c r="L1072">
        <v>1167947.2542000001</v>
      </c>
      <c r="M1072">
        <v>496.4</v>
      </c>
      <c r="N1072" t="s">
        <v>2472</v>
      </c>
    </row>
    <row r="1073" spans="1:14" x14ac:dyDescent="0.25">
      <c r="A1073">
        <v>8570145</v>
      </c>
      <c r="B1073" t="s">
        <v>2473</v>
      </c>
      <c r="C1073" t="s">
        <v>85</v>
      </c>
      <c r="D1073" t="s">
        <v>86</v>
      </c>
      <c r="E1073" t="s">
        <v>87</v>
      </c>
      <c r="F1073" t="s">
        <v>2465</v>
      </c>
      <c r="G1073">
        <v>5498</v>
      </c>
      <c r="H1073" t="s">
        <v>2465</v>
      </c>
      <c r="I1073" t="s">
        <v>89</v>
      </c>
      <c r="K1073">
        <v>2528710.6806999999</v>
      </c>
      <c r="L1073">
        <v>1167945.3997500001</v>
      </c>
      <c r="M1073">
        <v>505</v>
      </c>
      <c r="N1073" t="s">
        <v>2474</v>
      </c>
    </row>
    <row r="1074" spans="1:14" x14ac:dyDescent="0.25">
      <c r="A1074">
        <v>8593957</v>
      </c>
      <c r="B1074" t="s">
        <v>2475</v>
      </c>
      <c r="C1074" t="s">
        <v>650</v>
      </c>
      <c r="D1074" t="s">
        <v>86</v>
      </c>
      <c r="E1074" t="s">
        <v>87</v>
      </c>
      <c r="F1074" t="s">
        <v>2476</v>
      </c>
      <c r="G1074">
        <v>5889</v>
      </c>
      <c r="H1074" t="s">
        <v>2476</v>
      </c>
      <c r="I1074" t="s">
        <v>651</v>
      </c>
      <c r="K1074">
        <v>2556527.7511700001</v>
      </c>
      <c r="L1074">
        <v>1145561.5260699999</v>
      </c>
      <c r="M1074">
        <v>471</v>
      </c>
      <c r="N1074" t="s">
        <v>2477</v>
      </c>
    </row>
    <row r="1075" spans="1:14" x14ac:dyDescent="0.25">
      <c r="A1075">
        <v>8593955</v>
      </c>
      <c r="B1075" t="s">
        <v>2478</v>
      </c>
      <c r="C1075" t="s">
        <v>650</v>
      </c>
      <c r="D1075" t="s">
        <v>86</v>
      </c>
      <c r="E1075" t="s">
        <v>87</v>
      </c>
      <c r="F1075" t="s">
        <v>2476</v>
      </c>
      <c r="G1075">
        <v>5889</v>
      </c>
      <c r="H1075" t="s">
        <v>2476</v>
      </c>
      <c r="I1075" t="s">
        <v>651</v>
      </c>
      <c r="K1075">
        <v>2556611</v>
      </c>
      <c r="L1075">
        <v>1144221</v>
      </c>
      <c r="M1075">
        <v>380</v>
      </c>
      <c r="N1075" t="s">
        <v>2479</v>
      </c>
    </row>
    <row r="1076" spans="1:14" x14ac:dyDescent="0.25">
      <c r="A1076">
        <v>8593971</v>
      </c>
      <c r="B1076" t="s">
        <v>2480</v>
      </c>
      <c r="C1076" t="s">
        <v>650</v>
      </c>
      <c r="D1076" t="s">
        <v>86</v>
      </c>
      <c r="E1076" t="s">
        <v>87</v>
      </c>
      <c r="F1076" t="s">
        <v>2476</v>
      </c>
      <c r="G1076">
        <v>5889</v>
      </c>
      <c r="H1076" t="s">
        <v>2476</v>
      </c>
      <c r="I1076" t="s">
        <v>651</v>
      </c>
      <c r="K1076">
        <v>2555897.3199999998</v>
      </c>
      <c r="L1076">
        <v>1145237.2479999999</v>
      </c>
      <c r="M1076">
        <v>409</v>
      </c>
      <c r="N1076" t="s">
        <v>2481</v>
      </c>
    </row>
    <row r="1077" spans="1:14" x14ac:dyDescent="0.25">
      <c r="A1077">
        <v>8593956</v>
      </c>
      <c r="B1077" t="s">
        <v>2482</v>
      </c>
      <c r="C1077" t="s">
        <v>650</v>
      </c>
      <c r="D1077" t="s">
        <v>86</v>
      </c>
      <c r="E1077" t="s">
        <v>87</v>
      </c>
      <c r="F1077" t="s">
        <v>2476</v>
      </c>
      <c r="G1077">
        <v>5889</v>
      </c>
      <c r="H1077" t="s">
        <v>2476</v>
      </c>
      <c r="I1077" t="s">
        <v>651</v>
      </c>
      <c r="K1077">
        <v>2555257.1164600002</v>
      </c>
      <c r="L1077">
        <v>1144866.1242500001</v>
      </c>
      <c r="M1077">
        <v>382</v>
      </c>
      <c r="N1077" t="s">
        <v>2483</v>
      </c>
    </row>
    <row r="1078" spans="1:14" x14ac:dyDescent="0.25">
      <c r="A1078">
        <v>8593960</v>
      </c>
      <c r="B1078" t="s">
        <v>2484</v>
      </c>
      <c r="C1078" t="s">
        <v>650</v>
      </c>
      <c r="D1078" t="s">
        <v>86</v>
      </c>
      <c r="E1078" t="s">
        <v>87</v>
      </c>
      <c r="F1078" t="s">
        <v>2476</v>
      </c>
      <c r="G1078">
        <v>5889</v>
      </c>
      <c r="H1078" t="s">
        <v>2476</v>
      </c>
      <c r="I1078" t="s">
        <v>651</v>
      </c>
      <c r="K1078">
        <v>2556132.1129999999</v>
      </c>
      <c r="L1078">
        <v>1144879.7919999999</v>
      </c>
      <c r="M1078">
        <v>413</v>
      </c>
      <c r="N1078" t="s">
        <v>2485</v>
      </c>
    </row>
    <row r="1079" spans="1:14" x14ac:dyDescent="0.25">
      <c r="A1079">
        <v>8593972</v>
      </c>
      <c r="B1079" t="s">
        <v>2486</v>
      </c>
      <c r="C1079" t="s">
        <v>650</v>
      </c>
      <c r="D1079" t="s">
        <v>86</v>
      </c>
      <c r="E1079" t="s">
        <v>87</v>
      </c>
      <c r="F1079" t="s">
        <v>2476</v>
      </c>
      <c r="G1079">
        <v>5889</v>
      </c>
      <c r="H1079" t="s">
        <v>2476</v>
      </c>
      <c r="I1079" t="s">
        <v>651</v>
      </c>
      <c r="K1079">
        <v>2556217</v>
      </c>
      <c r="L1079">
        <v>1144321</v>
      </c>
      <c r="M1079">
        <v>383</v>
      </c>
      <c r="N1079" t="s">
        <v>2487</v>
      </c>
    </row>
    <row r="1080" spans="1:14" x14ac:dyDescent="0.25">
      <c r="A1080">
        <v>8593958</v>
      </c>
      <c r="B1080" t="s">
        <v>2488</v>
      </c>
      <c r="C1080" t="s">
        <v>650</v>
      </c>
      <c r="D1080" t="s">
        <v>86</v>
      </c>
      <c r="E1080" t="s">
        <v>87</v>
      </c>
      <c r="F1080" t="s">
        <v>2476</v>
      </c>
      <c r="G1080">
        <v>5889</v>
      </c>
      <c r="H1080" t="s">
        <v>2476</v>
      </c>
      <c r="I1080" t="s">
        <v>651</v>
      </c>
      <c r="K1080">
        <v>2556513</v>
      </c>
      <c r="L1080">
        <v>1145253</v>
      </c>
      <c r="M1080">
        <v>451</v>
      </c>
      <c r="N1080" t="s">
        <v>2489</v>
      </c>
    </row>
    <row r="1081" spans="1:14" x14ac:dyDescent="0.25">
      <c r="A1081">
        <v>8593954</v>
      </c>
      <c r="B1081" t="s">
        <v>2490</v>
      </c>
      <c r="C1081" t="s">
        <v>650</v>
      </c>
      <c r="D1081" t="s">
        <v>86</v>
      </c>
      <c r="E1081" t="s">
        <v>87</v>
      </c>
      <c r="F1081" t="s">
        <v>2476</v>
      </c>
      <c r="G1081">
        <v>5889</v>
      </c>
      <c r="H1081" t="s">
        <v>2476</v>
      </c>
      <c r="I1081" t="s">
        <v>651</v>
      </c>
      <c r="K1081">
        <v>2556258.6757700001</v>
      </c>
      <c r="L1081">
        <v>1145231.07393</v>
      </c>
      <c r="M1081">
        <v>424.3</v>
      </c>
      <c r="N1081" t="s">
        <v>2491</v>
      </c>
    </row>
    <row r="1082" spans="1:14" x14ac:dyDescent="0.25">
      <c r="A1082">
        <v>8593953</v>
      </c>
      <c r="B1082" t="s">
        <v>2492</v>
      </c>
      <c r="C1082" t="s">
        <v>650</v>
      </c>
      <c r="D1082" t="s">
        <v>86</v>
      </c>
      <c r="E1082" t="s">
        <v>87</v>
      </c>
      <c r="F1082" t="s">
        <v>2476</v>
      </c>
      <c r="G1082">
        <v>5889</v>
      </c>
      <c r="H1082" t="s">
        <v>2476</v>
      </c>
      <c r="I1082" t="s">
        <v>651</v>
      </c>
      <c r="K1082">
        <v>2555898</v>
      </c>
      <c r="L1082">
        <v>1145426</v>
      </c>
      <c r="M1082">
        <v>417</v>
      </c>
      <c r="N1082" t="s">
        <v>2493</v>
      </c>
    </row>
    <row r="1083" spans="1:14" x14ac:dyDescent="0.25">
      <c r="A1083">
        <v>8593966</v>
      </c>
      <c r="B1083" t="s">
        <v>2494</v>
      </c>
      <c r="C1083" t="s">
        <v>650</v>
      </c>
      <c r="D1083" t="s">
        <v>86</v>
      </c>
      <c r="E1083" t="s">
        <v>87</v>
      </c>
      <c r="F1083" t="s">
        <v>2476</v>
      </c>
      <c r="G1083">
        <v>5889</v>
      </c>
      <c r="H1083" t="s">
        <v>2476</v>
      </c>
      <c r="I1083" t="s">
        <v>651</v>
      </c>
      <c r="K1083">
        <v>2555682</v>
      </c>
      <c r="L1083">
        <v>1145433</v>
      </c>
      <c r="M1083">
        <v>406</v>
      </c>
      <c r="N1083" t="s">
        <v>2495</v>
      </c>
    </row>
    <row r="1084" spans="1:14" x14ac:dyDescent="0.25">
      <c r="A1084">
        <v>8593973</v>
      </c>
      <c r="B1084" t="s">
        <v>2496</v>
      </c>
      <c r="C1084" t="s">
        <v>650</v>
      </c>
      <c r="D1084" t="s">
        <v>86</v>
      </c>
      <c r="E1084" t="s">
        <v>87</v>
      </c>
      <c r="F1084" t="s">
        <v>2476</v>
      </c>
      <c r="G1084">
        <v>5889</v>
      </c>
      <c r="H1084" t="s">
        <v>2476</v>
      </c>
      <c r="I1084" t="s">
        <v>651</v>
      </c>
      <c r="K1084">
        <v>2555865.1852899999</v>
      </c>
      <c r="L1084">
        <v>1144865.7589199999</v>
      </c>
      <c r="M1084">
        <v>404</v>
      </c>
      <c r="N1084" t="s">
        <v>2497</v>
      </c>
    </row>
    <row r="1085" spans="1:14" x14ac:dyDescent="0.25">
      <c r="A1085">
        <v>8593964</v>
      </c>
      <c r="B1085" t="s">
        <v>2498</v>
      </c>
      <c r="C1085" t="s">
        <v>650</v>
      </c>
      <c r="D1085" t="s">
        <v>86</v>
      </c>
      <c r="E1085" t="s">
        <v>87</v>
      </c>
      <c r="F1085" t="s">
        <v>2476</v>
      </c>
      <c r="G1085">
        <v>5889</v>
      </c>
      <c r="H1085" t="s">
        <v>2476</v>
      </c>
      <c r="I1085" t="s">
        <v>651</v>
      </c>
      <c r="K1085">
        <v>2556919</v>
      </c>
      <c r="L1085">
        <v>1144035</v>
      </c>
      <c r="M1085">
        <v>380</v>
      </c>
      <c r="N1085" t="s">
        <v>2499</v>
      </c>
    </row>
    <row r="1086" spans="1:14" x14ac:dyDescent="0.25">
      <c r="A1086">
        <v>8501202</v>
      </c>
      <c r="B1086" t="s">
        <v>2500</v>
      </c>
      <c r="C1086" t="s">
        <v>132</v>
      </c>
      <c r="D1086" t="s">
        <v>112</v>
      </c>
      <c r="E1086" t="s">
        <v>87</v>
      </c>
      <c r="F1086" t="s">
        <v>2476</v>
      </c>
      <c r="G1086">
        <v>5889</v>
      </c>
      <c r="H1086" t="s">
        <v>2476</v>
      </c>
      <c r="I1086" t="s">
        <v>133</v>
      </c>
      <c r="K1086">
        <v>2556853.5210000002</v>
      </c>
      <c r="L1086">
        <v>1144216.064</v>
      </c>
      <c r="M1086">
        <v>395.94200000000001</v>
      </c>
      <c r="N1086" t="s">
        <v>2501</v>
      </c>
    </row>
    <row r="1087" spans="1:14" x14ac:dyDescent="0.25">
      <c r="A1087">
        <v>8593952</v>
      </c>
      <c r="B1087" t="s">
        <v>2502</v>
      </c>
      <c r="C1087" t="s">
        <v>650</v>
      </c>
      <c r="D1087" t="s">
        <v>86</v>
      </c>
      <c r="E1087" t="s">
        <v>87</v>
      </c>
      <c r="F1087" t="s">
        <v>2476</v>
      </c>
      <c r="G1087">
        <v>5889</v>
      </c>
      <c r="H1087" t="s">
        <v>2476</v>
      </c>
      <c r="I1087" t="s">
        <v>651</v>
      </c>
      <c r="K1087">
        <v>2555730.6</v>
      </c>
      <c r="L1087">
        <v>1144935.8</v>
      </c>
      <c r="M1087">
        <v>401</v>
      </c>
      <c r="N1087" t="s">
        <v>2503</v>
      </c>
    </row>
    <row r="1088" spans="1:14" x14ac:dyDescent="0.25">
      <c r="A1088">
        <v>8593959</v>
      </c>
      <c r="B1088" t="s">
        <v>2504</v>
      </c>
      <c r="C1088" t="s">
        <v>650</v>
      </c>
      <c r="D1088" t="s">
        <v>86</v>
      </c>
      <c r="E1088" t="s">
        <v>87</v>
      </c>
      <c r="F1088" t="s">
        <v>2476</v>
      </c>
      <c r="G1088">
        <v>5889</v>
      </c>
      <c r="H1088" t="s">
        <v>2476</v>
      </c>
      <c r="I1088" t="s">
        <v>651</v>
      </c>
      <c r="K1088">
        <v>2556093</v>
      </c>
      <c r="L1088">
        <v>1144999</v>
      </c>
      <c r="M1088">
        <v>414</v>
      </c>
      <c r="N1088" t="s">
        <v>2505</v>
      </c>
    </row>
    <row r="1089" spans="1:14" x14ac:dyDescent="0.25">
      <c r="A1089">
        <v>8593951</v>
      </c>
      <c r="B1089" t="s">
        <v>2506</v>
      </c>
      <c r="C1089" t="s">
        <v>650</v>
      </c>
      <c r="D1089" t="s">
        <v>86</v>
      </c>
      <c r="E1089" t="s">
        <v>87</v>
      </c>
      <c r="F1089" t="s">
        <v>2476</v>
      </c>
      <c r="G1089">
        <v>5889</v>
      </c>
      <c r="H1089" t="s">
        <v>2476</v>
      </c>
      <c r="I1089" t="s">
        <v>651</v>
      </c>
      <c r="K1089">
        <v>2555408.3459999999</v>
      </c>
      <c r="L1089">
        <v>1144672.784</v>
      </c>
      <c r="M1089">
        <v>386</v>
      </c>
      <c r="N1089" t="s">
        <v>2507</v>
      </c>
    </row>
    <row r="1090" spans="1:14" x14ac:dyDescent="0.25">
      <c r="A1090">
        <v>8593963</v>
      </c>
      <c r="B1090" t="s">
        <v>2508</v>
      </c>
      <c r="C1090" t="s">
        <v>650</v>
      </c>
      <c r="D1090" t="s">
        <v>86</v>
      </c>
      <c r="E1090" t="s">
        <v>87</v>
      </c>
      <c r="F1090" t="s">
        <v>2476</v>
      </c>
      <c r="G1090">
        <v>5889</v>
      </c>
      <c r="H1090" t="s">
        <v>2476</v>
      </c>
      <c r="I1090" t="s">
        <v>651</v>
      </c>
      <c r="K1090">
        <v>2555584</v>
      </c>
      <c r="L1090">
        <v>1144414</v>
      </c>
      <c r="M1090">
        <v>386</v>
      </c>
      <c r="N1090" t="s">
        <v>2509</v>
      </c>
    </row>
    <row r="1091" spans="1:14" x14ac:dyDescent="0.25">
      <c r="A1091">
        <v>8595260</v>
      </c>
      <c r="B1091" t="s">
        <v>2510</v>
      </c>
      <c r="C1091" t="s">
        <v>650</v>
      </c>
      <c r="D1091" t="s">
        <v>86</v>
      </c>
      <c r="E1091" t="s">
        <v>87</v>
      </c>
      <c r="F1091" t="s">
        <v>2476</v>
      </c>
      <c r="G1091">
        <v>5889</v>
      </c>
      <c r="H1091" t="s">
        <v>2476</v>
      </c>
      <c r="I1091" t="s">
        <v>651</v>
      </c>
      <c r="K1091">
        <v>2555416</v>
      </c>
      <c r="L1091">
        <v>1145030</v>
      </c>
      <c r="M1091">
        <v>386</v>
      </c>
      <c r="N1091" t="s">
        <v>2511</v>
      </c>
    </row>
    <row r="1092" spans="1:14" x14ac:dyDescent="0.25">
      <c r="A1092">
        <v>8595959</v>
      </c>
      <c r="B1092" t="s">
        <v>2512</v>
      </c>
      <c r="C1092" t="s">
        <v>650</v>
      </c>
      <c r="D1092" t="s">
        <v>86</v>
      </c>
      <c r="E1092" t="s">
        <v>87</v>
      </c>
      <c r="F1092" t="s">
        <v>2476</v>
      </c>
      <c r="G1092">
        <v>5889</v>
      </c>
      <c r="H1092" t="s">
        <v>2476</v>
      </c>
      <c r="I1092" t="s">
        <v>651</v>
      </c>
      <c r="K1092">
        <v>2556405</v>
      </c>
      <c r="L1092">
        <v>1144737</v>
      </c>
      <c r="M1092">
        <v>405</v>
      </c>
      <c r="N1092" t="s">
        <v>2513</v>
      </c>
    </row>
    <row r="1093" spans="1:14" x14ac:dyDescent="0.25">
      <c r="A1093">
        <v>8593961</v>
      </c>
      <c r="B1093" t="s">
        <v>2514</v>
      </c>
      <c r="C1093" t="s">
        <v>650</v>
      </c>
      <c r="D1093" t="s">
        <v>86</v>
      </c>
      <c r="E1093" t="s">
        <v>87</v>
      </c>
      <c r="F1093" t="s">
        <v>2476</v>
      </c>
      <c r="G1093">
        <v>5889</v>
      </c>
      <c r="H1093" t="s">
        <v>2476</v>
      </c>
      <c r="I1093" t="s">
        <v>651</v>
      </c>
      <c r="K1093">
        <v>2556578.77141</v>
      </c>
      <c r="L1093">
        <v>1144676.9135</v>
      </c>
      <c r="M1093">
        <v>406.1</v>
      </c>
      <c r="N1093" t="s">
        <v>2515</v>
      </c>
    </row>
    <row r="1094" spans="1:14" x14ac:dyDescent="0.25">
      <c r="A1094">
        <v>8593968</v>
      </c>
      <c r="B1094" t="s">
        <v>2516</v>
      </c>
      <c r="C1094" t="s">
        <v>650</v>
      </c>
      <c r="D1094" t="s">
        <v>86</v>
      </c>
      <c r="E1094" t="s">
        <v>87</v>
      </c>
      <c r="F1094" t="s">
        <v>2476</v>
      </c>
      <c r="G1094">
        <v>5889</v>
      </c>
      <c r="H1094" t="s">
        <v>2476</v>
      </c>
      <c r="I1094" t="s">
        <v>651</v>
      </c>
      <c r="K1094">
        <v>2556032.06489</v>
      </c>
      <c r="L1094">
        <v>1145651.47783</v>
      </c>
      <c r="M1094">
        <v>447</v>
      </c>
      <c r="N1094" t="s">
        <v>2517</v>
      </c>
    </row>
    <row r="1095" spans="1:14" x14ac:dyDescent="0.25">
      <c r="A1095">
        <v>8593965</v>
      </c>
      <c r="B1095" t="s">
        <v>2518</v>
      </c>
      <c r="C1095" t="s">
        <v>650</v>
      </c>
      <c r="D1095" t="s">
        <v>86</v>
      </c>
      <c r="E1095" t="s">
        <v>87</v>
      </c>
      <c r="F1095" t="s">
        <v>2476</v>
      </c>
      <c r="G1095">
        <v>5889</v>
      </c>
      <c r="H1095" t="s">
        <v>2476</v>
      </c>
      <c r="I1095" t="s">
        <v>651</v>
      </c>
      <c r="K1095">
        <v>2556244</v>
      </c>
      <c r="L1095">
        <v>1144529</v>
      </c>
      <c r="M1095">
        <v>388</v>
      </c>
      <c r="N1095" t="s">
        <v>2519</v>
      </c>
    </row>
    <row r="1096" spans="1:14" x14ac:dyDescent="0.25">
      <c r="A1096">
        <v>8593950</v>
      </c>
      <c r="B1096" t="s">
        <v>2520</v>
      </c>
      <c r="C1096" t="s">
        <v>650</v>
      </c>
      <c r="D1096" t="s">
        <v>86</v>
      </c>
      <c r="E1096" t="s">
        <v>87</v>
      </c>
      <c r="F1096" t="s">
        <v>2476</v>
      </c>
      <c r="G1096">
        <v>5889</v>
      </c>
      <c r="H1096" t="s">
        <v>2476</v>
      </c>
      <c r="I1096" t="s">
        <v>651</v>
      </c>
      <c r="K1096">
        <v>2555295</v>
      </c>
      <c r="L1096">
        <v>1145078</v>
      </c>
      <c r="M1096">
        <v>384</v>
      </c>
      <c r="N1096" t="s">
        <v>2521</v>
      </c>
    </row>
    <row r="1097" spans="1:14" x14ac:dyDescent="0.25">
      <c r="A1097">
        <v>8593970</v>
      </c>
      <c r="B1097" t="s">
        <v>2522</v>
      </c>
      <c r="C1097" t="s">
        <v>650</v>
      </c>
      <c r="D1097" t="s">
        <v>86</v>
      </c>
      <c r="E1097" t="s">
        <v>87</v>
      </c>
      <c r="F1097" t="s">
        <v>2476</v>
      </c>
      <c r="G1097">
        <v>5889</v>
      </c>
      <c r="H1097" t="s">
        <v>2476</v>
      </c>
      <c r="I1097" t="s">
        <v>651</v>
      </c>
      <c r="K1097">
        <v>2557381.3620000002</v>
      </c>
      <c r="L1097">
        <v>1144655.1429999999</v>
      </c>
      <c r="M1097">
        <v>426</v>
      </c>
      <c r="N1097" t="s">
        <v>2523</v>
      </c>
    </row>
    <row r="1098" spans="1:14" x14ac:dyDescent="0.25">
      <c r="A1098">
        <v>8593962</v>
      </c>
      <c r="B1098" t="s">
        <v>2524</v>
      </c>
      <c r="C1098" t="s">
        <v>650</v>
      </c>
      <c r="D1098" t="s">
        <v>86</v>
      </c>
      <c r="E1098" t="s">
        <v>87</v>
      </c>
      <c r="F1098" t="s">
        <v>2476</v>
      </c>
      <c r="G1098">
        <v>5889</v>
      </c>
      <c r="H1098" t="s">
        <v>2476</v>
      </c>
      <c r="I1098" t="s">
        <v>651</v>
      </c>
      <c r="K1098">
        <v>2556862.5756999999</v>
      </c>
      <c r="L1098">
        <v>1144583.3137399999</v>
      </c>
      <c r="M1098">
        <v>416</v>
      </c>
      <c r="N1098" t="s">
        <v>2525</v>
      </c>
    </row>
    <row r="1099" spans="1:14" x14ac:dyDescent="0.25">
      <c r="A1099">
        <v>8593975</v>
      </c>
      <c r="B1099" t="s">
        <v>2526</v>
      </c>
      <c r="C1099" t="s">
        <v>650</v>
      </c>
      <c r="D1099" t="s">
        <v>86</v>
      </c>
      <c r="E1099" t="s">
        <v>87</v>
      </c>
      <c r="F1099" t="s">
        <v>2476</v>
      </c>
      <c r="G1099">
        <v>5889</v>
      </c>
      <c r="H1099" t="s">
        <v>2476</v>
      </c>
      <c r="I1099" t="s">
        <v>651</v>
      </c>
      <c r="K1099">
        <v>2555552.9020400001</v>
      </c>
      <c r="L1099">
        <v>1144717.10262</v>
      </c>
      <c r="M1099">
        <v>389.8</v>
      </c>
      <c r="N1099" t="s">
        <v>2527</v>
      </c>
    </row>
    <row r="1100" spans="1:14" x14ac:dyDescent="0.25">
      <c r="A1100">
        <v>8501201</v>
      </c>
      <c r="B1100" t="s">
        <v>2476</v>
      </c>
      <c r="C1100" t="s">
        <v>132</v>
      </c>
      <c r="D1100" t="s">
        <v>112</v>
      </c>
      <c r="E1100" t="s">
        <v>87</v>
      </c>
      <c r="F1100" t="s">
        <v>2476</v>
      </c>
      <c r="G1100">
        <v>5889</v>
      </c>
      <c r="H1100" t="s">
        <v>2476</v>
      </c>
      <c r="I1100" t="s">
        <v>133</v>
      </c>
      <c r="K1100">
        <v>2555508.2390000001</v>
      </c>
      <c r="L1100">
        <v>1145067.0109999999</v>
      </c>
      <c r="M1100">
        <v>390.41</v>
      </c>
      <c r="N1100" t="s">
        <v>2528</v>
      </c>
    </row>
    <row r="1101" spans="1:14" x14ac:dyDescent="0.25">
      <c r="A1101">
        <v>8593949</v>
      </c>
      <c r="B1101" t="s">
        <v>2529</v>
      </c>
      <c r="C1101" t="s">
        <v>650</v>
      </c>
      <c r="D1101" t="s">
        <v>86</v>
      </c>
      <c r="E1101" t="s">
        <v>87</v>
      </c>
      <c r="F1101" t="s">
        <v>2476</v>
      </c>
      <c r="G1101">
        <v>5889</v>
      </c>
      <c r="H1101" t="s">
        <v>2476</v>
      </c>
      <c r="I1101" t="s">
        <v>651</v>
      </c>
      <c r="K1101">
        <v>2555228</v>
      </c>
      <c r="L1101">
        <v>1145268</v>
      </c>
      <c r="M1101">
        <v>382</v>
      </c>
      <c r="N1101" t="s">
        <v>2530</v>
      </c>
    </row>
    <row r="1102" spans="1:14" x14ac:dyDescent="0.25">
      <c r="A1102">
        <v>8593976</v>
      </c>
      <c r="B1102" t="s">
        <v>2531</v>
      </c>
      <c r="C1102" t="s">
        <v>650</v>
      </c>
      <c r="D1102" t="s">
        <v>86</v>
      </c>
      <c r="E1102" t="s">
        <v>87</v>
      </c>
      <c r="F1102" t="s">
        <v>2476</v>
      </c>
      <c r="G1102">
        <v>5889</v>
      </c>
      <c r="H1102" t="s">
        <v>2476</v>
      </c>
      <c r="I1102" t="s">
        <v>651</v>
      </c>
      <c r="K1102">
        <v>2555863.2429999998</v>
      </c>
      <c r="L1102">
        <v>1144362.6040000001</v>
      </c>
      <c r="M1102">
        <v>382</v>
      </c>
      <c r="N1102" t="s">
        <v>2532</v>
      </c>
    </row>
    <row r="1103" spans="1:14" x14ac:dyDescent="0.25">
      <c r="A1103">
        <v>8595960</v>
      </c>
      <c r="B1103" t="s">
        <v>2533</v>
      </c>
      <c r="C1103" t="s">
        <v>650</v>
      </c>
      <c r="D1103" t="s">
        <v>86</v>
      </c>
      <c r="E1103" t="s">
        <v>87</v>
      </c>
      <c r="F1103" t="s">
        <v>2476</v>
      </c>
      <c r="G1103">
        <v>5889</v>
      </c>
      <c r="H1103" t="s">
        <v>2476</v>
      </c>
      <c r="I1103" t="s">
        <v>651</v>
      </c>
      <c r="K1103">
        <v>2556395.8234199998</v>
      </c>
      <c r="L1103">
        <v>1144943.07186</v>
      </c>
      <c r="M1103">
        <v>420</v>
      </c>
      <c r="N1103" t="s">
        <v>2534</v>
      </c>
    </row>
    <row r="1104" spans="1:14" x14ac:dyDescent="0.25">
      <c r="A1104">
        <v>8593974</v>
      </c>
      <c r="B1104" t="s">
        <v>2535</v>
      </c>
      <c r="C1104" t="s">
        <v>650</v>
      </c>
      <c r="D1104" t="s">
        <v>86</v>
      </c>
      <c r="E1104" t="s">
        <v>87</v>
      </c>
      <c r="F1104" t="s">
        <v>2476</v>
      </c>
      <c r="G1104">
        <v>5889</v>
      </c>
      <c r="H1104" t="s">
        <v>2476</v>
      </c>
      <c r="I1104" t="s">
        <v>651</v>
      </c>
      <c r="K1104">
        <v>2555396.4050799999</v>
      </c>
      <c r="L1104">
        <v>1145371.4928600001</v>
      </c>
      <c r="M1104">
        <v>388.7</v>
      </c>
      <c r="N1104" t="s">
        <v>2536</v>
      </c>
    </row>
    <row r="1105" spans="1:14" x14ac:dyDescent="0.25">
      <c r="A1105">
        <v>8593977</v>
      </c>
      <c r="B1105" t="s">
        <v>2537</v>
      </c>
      <c r="C1105" t="s">
        <v>650</v>
      </c>
      <c r="D1105" t="s">
        <v>86</v>
      </c>
      <c r="E1105" t="s">
        <v>87</v>
      </c>
      <c r="F1105" t="s">
        <v>2476</v>
      </c>
      <c r="G1105">
        <v>5889</v>
      </c>
      <c r="H1105" t="s">
        <v>2476</v>
      </c>
      <c r="I1105" t="s">
        <v>651</v>
      </c>
      <c r="K1105">
        <v>2556246.6366900001</v>
      </c>
      <c r="L1105">
        <v>1145721.9919799999</v>
      </c>
      <c r="M1105">
        <v>458.2</v>
      </c>
      <c r="N1105" t="s">
        <v>2538</v>
      </c>
    </row>
    <row r="1106" spans="1:14" x14ac:dyDescent="0.25">
      <c r="A1106">
        <v>8593969</v>
      </c>
      <c r="B1106" t="s">
        <v>2539</v>
      </c>
      <c r="C1106" t="s">
        <v>650</v>
      </c>
      <c r="D1106" t="s">
        <v>86</v>
      </c>
      <c r="E1106" t="s">
        <v>87</v>
      </c>
      <c r="F1106" t="s">
        <v>2476</v>
      </c>
      <c r="G1106">
        <v>5889</v>
      </c>
      <c r="H1106" t="s">
        <v>2476</v>
      </c>
      <c r="I1106" t="s">
        <v>651</v>
      </c>
      <c r="K1106">
        <v>2555784.6672100001</v>
      </c>
      <c r="L1106">
        <v>1144522.33821</v>
      </c>
      <c r="M1106">
        <v>396</v>
      </c>
      <c r="N1106" t="s">
        <v>2540</v>
      </c>
    </row>
    <row r="1107" spans="1:14" x14ac:dyDescent="0.25">
      <c r="A1107">
        <v>8530623</v>
      </c>
      <c r="B1107" t="s">
        <v>2541</v>
      </c>
      <c r="C1107" t="s">
        <v>2542</v>
      </c>
      <c r="D1107" t="s">
        <v>302</v>
      </c>
      <c r="E1107" t="s">
        <v>87</v>
      </c>
      <c r="F1107" t="s">
        <v>2543</v>
      </c>
      <c r="G1107">
        <v>5871</v>
      </c>
      <c r="H1107" t="s">
        <v>2544</v>
      </c>
      <c r="I1107" t="s">
        <v>2545</v>
      </c>
      <c r="K1107">
        <v>2510715</v>
      </c>
      <c r="L1107">
        <v>1164319</v>
      </c>
      <c r="M1107">
        <v>1004</v>
      </c>
      <c r="N1107" t="s">
        <v>2546</v>
      </c>
    </row>
    <row r="1108" spans="1:14" x14ac:dyDescent="0.25">
      <c r="A1108">
        <v>8579136</v>
      </c>
      <c r="B1108" t="s">
        <v>2547</v>
      </c>
      <c r="C1108" t="s">
        <v>2548</v>
      </c>
      <c r="D1108" t="s">
        <v>86</v>
      </c>
      <c r="E1108" t="s">
        <v>87</v>
      </c>
      <c r="F1108" t="s">
        <v>2543</v>
      </c>
      <c r="G1108">
        <v>5871</v>
      </c>
      <c r="H1108" t="s">
        <v>2549</v>
      </c>
      <c r="I1108" t="s">
        <v>2550</v>
      </c>
      <c r="K1108">
        <v>2515239</v>
      </c>
      <c r="L1108">
        <v>1168807</v>
      </c>
      <c r="M1108">
        <v>1020</v>
      </c>
      <c r="N1108" t="s">
        <v>2551</v>
      </c>
    </row>
    <row r="1109" spans="1:14" x14ac:dyDescent="0.25">
      <c r="A1109">
        <v>8593532</v>
      </c>
      <c r="B1109" t="s">
        <v>2552</v>
      </c>
      <c r="C1109" t="s">
        <v>2548</v>
      </c>
      <c r="D1109" t="s">
        <v>86</v>
      </c>
      <c r="E1109" t="s">
        <v>87</v>
      </c>
      <c r="F1109" t="s">
        <v>2543</v>
      </c>
      <c r="G1109">
        <v>5871</v>
      </c>
      <c r="H1109" t="s">
        <v>2549</v>
      </c>
      <c r="I1109" t="s">
        <v>2550</v>
      </c>
      <c r="K1109">
        <v>2515028</v>
      </c>
      <c r="L1109">
        <v>1168516</v>
      </c>
      <c r="M1109">
        <v>1010</v>
      </c>
      <c r="N1109" t="s">
        <v>2553</v>
      </c>
    </row>
    <row r="1110" spans="1:14" x14ac:dyDescent="0.25">
      <c r="A1110">
        <v>8570160</v>
      </c>
      <c r="B1110" t="s">
        <v>2554</v>
      </c>
      <c r="C1110" t="s">
        <v>85</v>
      </c>
      <c r="D1110" t="s">
        <v>86</v>
      </c>
      <c r="E1110" t="s">
        <v>87</v>
      </c>
      <c r="F1110" t="s">
        <v>2543</v>
      </c>
      <c r="G1110">
        <v>5871</v>
      </c>
      <c r="H1110" t="s">
        <v>2549</v>
      </c>
      <c r="I1110" t="s">
        <v>89</v>
      </c>
      <c r="K1110">
        <v>2515694</v>
      </c>
      <c r="L1110">
        <v>1167987</v>
      </c>
      <c r="M1110">
        <v>1075</v>
      </c>
      <c r="N1110" t="s">
        <v>2555</v>
      </c>
    </row>
    <row r="1111" spans="1:14" x14ac:dyDescent="0.25">
      <c r="A1111">
        <v>8501100</v>
      </c>
      <c r="B1111" t="s">
        <v>2549</v>
      </c>
      <c r="C1111" t="s">
        <v>132</v>
      </c>
      <c r="D1111" t="s">
        <v>112</v>
      </c>
      <c r="E1111" t="s">
        <v>87</v>
      </c>
      <c r="F1111" t="s">
        <v>2543</v>
      </c>
      <c r="G1111">
        <v>5871</v>
      </c>
      <c r="H1111" t="s">
        <v>2549</v>
      </c>
      <c r="I1111" t="s">
        <v>133</v>
      </c>
      <c r="K1111">
        <v>2514758.7650000001</v>
      </c>
      <c r="L1111">
        <v>1169210.8999999999</v>
      </c>
      <c r="M1111">
        <v>1007.86</v>
      </c>
      <c r="N1111" t="s">
        <v>2556</v>
      </c>
    </row>
    <row r="1112" spans="1:14" x14ac:dyDescent="0.25">
      <c r="A1112">
        <v>8579138</v>
      </c>
      <c r="B1112" t="s">
        <v>2557</v>
      </c>
      <c r="C1112" t="s">
        <v>2548</v>
      </c>
      <c r="D1112" t="s">
        <v>86</v>
      </c>
      <c r="E1112" t="s">
        <v>87</v>
      </c>
      <c r="F1112" t="s">
        <v>2543</v>
      </c>
      <c r="G1112">
        <v>5871</v>
      </c>
      <c r="H1112" t="s">
        <v>2543</v>
      </c>
      <c r="I1112" t="s">
        <v>2550</v>
      </c>
      <c r="K1112">
        <v>2513942</v>
      </c>
      <c r="L1112">
        <v>1166865</v>
      </c>
      <c r="M1112">
        <v>1020</v>
      </c>
      <c r="N1112" t="s">
        <v>2558</v>
      </c>
    </row>
    <row r="1113" spans="1:14" x14ac:dyDescent="0.25">
      <c r="A1113">
        <v>8579137</v>
      </c>
      <c r="B1113" t="s">
        <v>2559</v>
      </c>
      <c r="C1113" t="s">
        <v>2548</v>
      </c>
      <c r="D1113" t="s">
        <v>86</v>
      </c>
      <c r="E1113" t="s">
        <v>87</v>
      </c>
      <c r="F1113" t="s">
        <v>2543</v>
      </c>
      <c r="G1113">
        <v>5871</v>
      </c>
      <c r="H1113" t="s">
        <v>2543</v>
      </c>
      <c r="I1113" t="s">
        <v>2550</v>
      </c>
      <c r="K1113">
        <v>2514359.09938</v>
      </c>
      <c r="L1113">
        <v>1167058.1514699999</v>
      </c>
      <c r="M1113">
        <v>1013</v>
      </c>
      <c r="N1113" t="s">
        <v>2560</v>
      </c>
    </row>
    <row r="1114" spans="1:14" x14ac:dyDescent="0.25">
      <c r="A1114">
        <v>8579143</v>
      </c>
      <c r="B1114" t="s">
        <v>2561</v>
      </c>
      <c r="C1114" t="s">
        <v>2548</v>
      </c>
      <c r="D1114" t="s">
        <v>86</v>
      </c>
      <c r="E1114" t="s">
        <v>87</v>
      </c>
      <c r="F1114" t="s">
        <v>2543</v>
      </c>
      <c r="G1114">
        <v>5871</v>
      </c>
      <c r="H1114" t="s">
        <v>2544</v>
      </c>
      <c r="I1114" t="s">
        <v>2550</v>
      </c>
      <c r="K1114">
        <v>2509845</v>
      </c>
      <c r="L1114">
        <v>1163460</v>
      </c>
      <c r="M1114">
        <v>1023</v>
      </c>
      <c r="N1114" t="s">
        <v>2562</v>
      </c>
    </row>
    <row r="1115" spans="1:14" x14ac:dyDescent="0.25">
      <c r="A1115">
        <v>8579140</v>
      </c>
      <c r="B1115" t="s">
        <v>2563</v>
      </c>
      <c r="C1115" t="s">
        <v>2548</v>
      </c>
      <c r="D1115" t="s">
        <v>86</v>
      </c>
      <c r="E1115" t="s">
        <v>87</v>
      </c>
      <c r="F1115" t="s">
        <v>2543</v>
      </c>
      <c r="G1115">
        <v>5871</v>
      </c>
      <c r="H1115" t="s">
        <v>2544</v>
      </c>
      <c r="I1115" t="s">
        <v>2550</v>
      </c>
      <c r="K1115">
        <v>2511464</v>
      </c>
      <c r="L1115">
        <v>1164685</v>
      </c>
      <c r="M1115">
        <v>1040</v>
      </c>
      <c r="N1115" t="s">
        <v>2564</v>
      </c>
    </row>
    <row r="1116" spans="1:14" x14ac:dyDescent="0.25">
      <c r="A1116">
        <v>8570161</v>
      </c>
      <c r="B1116" t="s">
        <v>2565</v>
      </c>
      <c r="C1116" t="s">
        <v>85</v>
      </c>
      <c r="D1116" t="s">
        <v>86</v>
      </c>
      <c r="E1116" t="s">
        <v>87</v>
      </c>
      <c r="F1116" t="s">
        <v>2543</v>
      </c>
      <c r="G1116">
        <v>5871</v>
      </c>
      <c r="H1116" t="s">
        <v>2549</v>
      </c>
      <c r="I1116" t="s">
        <v>89</v>
      </c>
      <c r="K1116">
        <v>2514761</v>
      </c>
      <c r="L1116">
        <v>1169186</v>
      </c>
      <c r="M1116">
        <v>1004</v>
      </c>
      <c r="N1116" t="s">
        <v>2566</v>
      </c>
    </row>
    <row r="1117" spans="1:14" x14ac:dyDescent="0.25">
      <c r="A1117">
        <v>8579139</v>
      </c>
      <c r="B1117" t="s">
        <v>2567</v>
      </c>
      <c r="C1117" t="s">
        <v>2548</v>
      </c>
      <c r="D1117" t="s">
        <v>86</v>
      </c>
      <c r="E1117" t="s">
        <v>87</v>
      </c>
      <c r="F1117" t="s">
        <v>2543</v>
      </c>
      <c r="G1117">
        <v>5871</v>
      </c>
      <c r="H1117" t="s">
        <v>2543</v>
      </c>
      <c r="I1117" t="s">
        <v>2550</v>
      </c>
      <c r="K1117">
        <v>2513128.61473</v>
      </c>
      <c r="L1117">
        <v>1166056.2923099999</v>
      </c>
      <c r="M1117">
        <v>1015</v>
      </c>
      <c r="N1117" t="s">
        <v>2568</v>
      </c>
    </row>
    <row r="1118" spans="1:14" x14ac:dyDescent="0.25">
      <c r="A1118">
        <v>8579141</v>
      </c>
      <c r="B1118" t="s">
        <v>2569</v>
      </c>
      <c r="C1118" t="s">
        <v>2548</v>
      </c>
      <c r="D1118" t="s">
        <v>86</v>
      </c>
      <c r="E1118" t="s">
        <v>87</v>
      </c>
      <c r="F1118" t="s">
        <v>2543</v>
      </c>
      <c r="G1118">
        <v>5871</v>
      </c>
      <c r="H1118" t="s">
        <v>2544</v>
      </c>
      <c r="I1118" t="s">
        <v>2550</v>
      </c>
      <c r="K1118">
        <v>2510607.9560600002</v>
      </c>
      <c r="L1118">
        <v>1164009.0991799999</v>
      </c>
      <c r="M1118">
        <v>1026</v>
      </c>
      <c r="N1118" t="s">
        <v>2570</v>
      </c>
    </row>
    <row r="1119" spans="1:14" x14ac:dyDescent="0.25">
      <c r="A1119">
        <v>8530621</v>
      </c>
      <c r="B1119" t="s">
        <v>2571</v>
      </c>
      <c r="C1119" t="s">
        <v>2542</v>
      </c>
      <c r="D1119" t="s">
        <v>302</v>
      </c>
      <c r="E1119" t="s">
        <v>87</v>
      </c>
      <c r="F1119" t="s">
        <v>2543</v>
      </c>
      <c r="G1119">
        <v>5871</v>
      </c>
      <c r="H1119" t="s">
        <v>2549</v>
      </c>
      <c r="I1119" t="s">
        <v>2545</v>
      </c>
      <c r="K1119">
        <v>2514783</v>
      </c>
      <c r="L1119">
        <v>1169093</v>
      </c>
      <c r="M1119">
        <v>1004</v>
      </c>
      <c r="N1119" t="s">
        <v>2572</v>
      </c>
    </row>
    <row r="1120" spans="1:14" x14ac:dyDescent="0.25">
      <c r="A1120">
        <v>8593530</v>
      </c>
      <c r="B1120" t="s">
        <v>2573</v>
      </c>
      <c r="C1120" t="s">
        <v>2548</v>
      </c>
      <c r="D1120" t="s">
        <v>86</v>
      </c>
      <c r="E1120" t="s">
        <v>87</v>
      </c>
      <c r="F1120" t="s">
        <v>2543</v>
      </c>
      <c r="G1120">
        <v>5871</v>
      </c>
      <c r="H1120" t="s">
        <v>2544</v>
      </c>
      <c r="I1120" t="s">
        <v>2550</v>
      </c>
      <c r="K1120">
        <v>2510200</v>
      </c>
      <c r="L1120">
        <v>1163700</v>
      </c>
      <c r="M1120">
        <v>1018</v>
      </c>
      <c r="N1120" t="s">
        <v>2574</v>
      </c>
    </row>
    <row r="1121" spans="1:14" x14ac:dyDescent="0.25">
      <c r="A1121">
        <v>8570159</v>
      </c>
      <c r="B1121" t="s">
        <v>2575</v>
      </c>
      <c r="C1121" t="s">
        <v>85</v>
      </c>
      <c r="D1121" t="s">
        <v>86</v>
      </c>
      <c r="E1121" t="s">
        <v>87</v>
      </c>
      <c r="F1121" t="s">
        <v>2543</v>
      </c>
      <c r="G1121">
        <v>5871</v>
      </c>
      <c r="H1121" t="s">
        <v>2549</v>
      </c>
      <c r="I1121" t="s">
        <v>89</v>
      </c>
      <c r="K1121">
        <v>2516521.13167</v>
      </c>
      <c r="L1121">
        <v>1168129.80165</v>
      </c>
      <c r="M1121">
        <v>1145.5</v>
      </c>
      <c r="N1121" t="s">
        <v>2576</v>
      </c>
    </row>
    <row r="1122" spans="1:14" x14ac:dyDescent="0.25">
      <c r="A1122">
        <v>8501776</v>
      </c>
      <c r="B1122" t="s">
        <v>2577</v>
      </c>
      <c r="C1122" t="s">
        <v>2548</v>
      </c>
      <c r="D1122" t="s">
        <v>86</v>
      </c>
      <c r="E1122" t="s">
        <v>87</v>
      </c>
      <c r="F1122" t="s">
        <v>2543</v>
      </c>
      <c r="G1122">
        <v>5871</v>
      </c>
      <c r="H1122" t="s">
        <v>2544</v>
      </c>
      <c r="I1122" t="s">
        <v>2550</v>
      </c>
      <c r="K1122">
        <v>2509600</v>
      </c>
      <c r="L1122">
        <v>1163183</v>
      </c>
      <c r="M1122">
        <v>1020</v>
      </c>
      <c r="N1122" t="s">
        <v>2578</v>
      </c>
    </row>
    <row r="1123" spans="1:14" x14ac:dyDescent="0.25">
      <c r="A1123">
        <v>8579905</v>
      </c>
      <c r="B1123" t="s">
        <v>2579</v>
      </c>
      <c r="C1123" t="s">
        <v>338</v>
      </c>
      <c r="D1123" t="s">
        <v>86</v>
      </c>
      <c r="E1123" t="s">
        <v>87</v>
      </c>
      <c r="F1123" t="s">
        <v>2580</v>
      </c>
      <c r="G1123">
        <v>5741</v>
      </c>
      <c r="H1123" t="s">
        <v>2580</v>
      </c>
      <c r="I1123" t="s">
        <v>340</v>
      </c>
      <c r="K1123">
        <v>2527440</v>
      </c>
      <c r="L1123">
        <v>1178511.0009999999</v>
      </c>
      <c r="M1123">
        <v>651</v>
      </c>
      <c r="N1123" t="s">
        <v>2581</v>
      </c>
    </row>
    <row r="1124" spans="1:14" x14ac:dyDescent="0.25">
      <c r="A1124">
        <v>8501183</v>
      </c>
      <c r="B1124" t="s">
        <v>2582</v>
      </c>
      <c r="C1124" t="s">
        <v>242</v>
      </c>
      <c r="E1124" t="s">
        <v>87</v>
      </c>
      <c r="F1124" t="s">
        <v>52</v>
      </c>
      <c r="G1124">
        <v>5586</v>
      </c>
      <c r="H1124" t="s">
        <v>52</v>
      </c>
      <c r="I1124" t="s">
        <v>243</v>
      </c>
      <c r="J1124" t="s">
        <v>2583</v>
      </c>
      <c r="K1124">
        <v>2537737</v>
      </c>
      <c r="L1124">
        <v>1151291</v>
      </c>
      <c r="M1124">
        <v>396</v>
      </c>
      <c r="N1124" t="s">
        <v>2584</v>
      </c>
    </row>
    <row r="1125" spans="1:14" x14ac:dyDescent="0.25">
      <c r="A1125">
        <v>8501184</v>
      </c>
      <c r="B1125" t="s">
        <v>2585</v>
      </c>
      <c r="C1125" t="s">
        <v>242</v>
      </c>
      <c r="E1125" t="s">
        <v>87</v>
      </c>
      <c r="F1125" t="s">
        <v>52</v>
      </c>
      <c r="G1125">
        <v>5586</v>
      </c>
      <c r="H1125" t="s">
        <v>52</v>
      </c>
      <c r="I1125" t="s">
        <v>243</v>
      </c>
      <c r="J1125" t="s">
        <v>2583</v>
      </c>
      <c r="K1125">
        <v>2537672</v>
      </c>
      <c r="L1125">
        <v>1151001</v>
      </c>
      <c r="M1125">
        <v>375</v>
      </c>
      <c r="N1125" t="s">
        <v>2586</v>
      </c>
    </row>
    <row r="1126" spans="1:14" x14ac:dyDescent="0.25">
      <c r="A1126">
        <v>8501207</v>
      </c>
      <c r="B1126" t="s">
        <v>2587</v>
      </c>
      <c r="C1126" t="s">
        <v>242</v>
      </c>
      <c r="D1126" t="s">
        <v>1125</v>
      </c>
      <c r="E1126" t="s">
        <v>87</v>
      </c>
      <c r="F1126" t="s">
        <v>52</v>
      </c>
      <c r="G1126">
        <v>5586</v>
      </c>
      <c r="H1126" t="s">
        <v>52</v>
      </c>
      <c r="I1126" t="s">
        <v>243</v>
      </c>
      <c r="K1126">
        <v>2536689</v>
      </c>
      <c r="L1126">
        <v>1152614</v>
      </c>
      <c r="M1126">
        <v>441</v>
      </c>
      <c r="N1126" t="s">
        <v>2588</v>
      </c>
    </row>
    <row r="1127" spans="1:14" x14ac:dyDescent="0.25">
      <c r="A1127">
        <v>8579254</v>
      </c>
      <c r="B1127" t="s">
        <v>2589</v>
      </c>
      <c r="C1127" t="s">
        <v>242</v>
      </c>
      <c r="D1127" t="s">
        <v>86</v>
      </c>
      <c r="E1127" t="s">
        <v>87</v>
      </c>
      <c r="F1127" t="s">
        <v>52</v>
      </c>
      <c r="G1127">
        <v>5586</v>
      </c>
      <c r="H1127" t="s">
        <v>52</v>
      </c>
      <c r="I1127" t="s">
        <v>243</v>
      </c>
      <c r="K1127">
        <v>2538215</v>
      </c>
      <c r="L1127">
        <v>1152325</v>
      </c>
      <c r="M1127">
        <v>495</v>
      </c>
      <c r="N1127" t="s">
        <v>2590</v>
      </c>
    </row>
    <row r="1128" spans="1:14" x14ac:dyDescent="0.25">
      <c r="A1128">
        <v>8510904</v>
      </c>
      <c r="B1128" t="s">
        <v>2591</v>
      </c>
      <c r="C1128" t="s">
        <v>242</v>
      </c>
      <c r="D1128" t="s">
        <v>86</v>
      </c>
      <c r="E1128" t="s">
        <v>87</v>
      </c>
      <c r="F1128" t="s">
        <v>52</v>
      </c>
      <c r="G1128">
        <v>5586</v>
      </c>
      <c r="H1128" t="s">
        <v>2592</v>
      </c>
      <c r="I1128" t="s">
        <v>243</v>
      </c>
      <c r="K1128">
        <v>2536086.19093</v>
      </c>
      <c r="L1128">
        <v>1157970.6546100001</v>
      </c>
      <c r="M1128">
        <v>596</v>
      </c>
      <c r="N1128" t="s">
        <v>2593</v>
      </c>
    </row>
    <row r="1129" spans="1:14" x14ac:dyDescent="0.25">
      <c r="A1129">
        <v>8510751</v>
      </c>
      <c r="B1129" t="s">
        <v>2594</v>
      </c>
      <c r="C1129" t="s">
        <v>242</v>
      </c>
      <c r="D1129" t="s">
        <v>86</v>
      </c>
      <c r="E1129" t="s">
        <v>87</v>
      </c>
      <c r="F1129" t="s">
        <v>52</v>
      </c>
      <c r="G1129">
        <v>5586</v>
      </c>
      <c r="H1129" t="s">
        <v>43</v>
      </c>
      <c r="I1129" t="s">
        <v>243</v>
      </c>
      <c r="K1129">
        <v>2536158.9486500002</v>
      </c>
      <c r="L1129">
        <v>1158918.6291400001</v>
      </c>
      <c r="M1129">
        <v>604</v>
      </c>
      <c r="N1129" t="s">
        <v>2595</v>
      </c>
    </row>
    <row r="1130" spans="1:14" x14ac:dyDescent="0.25">
      <c r="A1130">
        <v>8587550</v>
      </c>
      <c r="B1130" t="s">
        <v>2596</v>
      </c>
      <c r="C1130" t="s">
        <v>242</v>
      </c>
      <c r="D1130" t="s">
        <v>86</v>
      </c>
      <c r="E1130" t="s">
        <v>87</v>
      </c>
      <c r="F1130" t="s">
        <v>52</v>
      </c>
      <c r="G1130">
        <v>5586</v>
      </c>
      <c r="H1130" t="s">
        <v>2597</v>
      </c>
      <c r="I1130" t="s">
        <v>243</v>
      </c>
      <c r="K1130">
        <v>2541755</v>
      </c>
      <c r="L1130">
        <v>1154852</v>
      </c>
      <c r="M1130">
        <v>700</v>
      </c>
      <c r="N1130" t="s">
        <v>2598</v>
      </c>
    </row>
    <row r="1131" spans="1:14" x14ac:dyDescent="0.25">
      <c r="A1131">
        <v>8587549</v>
      </c>
      <c r="B1131" t="s">
        <v>2599</v>
      </c>
      <c r="C1131" t="s">
        <v>242</v>
      </c>
      <c r="D1131" t="s">
        <v>86</v>
      </c>
      <c r="E1131" t="s">
        <v>87</v>
      </c>
      <c r="F1131" t="s">
        <v>52</v>
      </c>
      <c r="G1131">
        <v>5586</v>
      </c>
      <c r="H1131" t="s">
        <v>2600</v>
      </c>
      <c r="I1131" t="s">
        <v>243</v>
      </c>
      <c r="K1131">
        <v>2541936.7224099999</v>
      </c>
      <c r="L1131">
        <v>1156586.71698</v>
      </c>
      <c r="M1131">
        <v>845</v>
      </c>
      <c r="N1131" t="s">
        <v>2601</v>
      </c>
    </row>
    <row r="1132" spans="1:14" x14ac:dyDescent="0.25">
      <c r="A1132">
        <v>8587929</v>
      </c>
      <c r="B1132" t="s">
        <v>2602</v>
      </c>
      <c r="C1132" t="s">
        <v>242</v>
      </c>
      <c r="D1132" t="s">
        <v>86</v>
      </c>
      <c r="E1132" t="s">
        <v>87</v>
      </c>
      <c r="F1132" t="s">
        <v>52</v>
      </c>
      <c r="G1132">
        <v>5586</v>
      </c>
      <c r="H1132" t="s">
        <v>2600</v>
      </c>
      <c r="I1132" t="s">
        <v>243</v>
      </c>
      <c r="K1132">
        <v>2542711.2223499999</v>
      </c>
      <c r="L1132">
        <v>1157328.4214699999</v>
      </c>
      <c r="M1132">
        <v>858</v>
      </c>
      <c r="N1132" t="s">
        <v>2603</v>
      </c>
    </row>
    <row r="1133" spans="1:14" x14ac:dyDescent="0.25">
      <c r="A1133">
        <v>8588431</v>
      </c>
      <c r="B1133" t="s">
        <v>2604</v>
      </c>
      <c r="C1133" t="s">
        <v>242</v>
      </c>
      <c r="D1133" t="s">
        <v>86</v>
      </c>
      <c r="E1133" t="s">
        <v>87</v>
      </c>
      <c r="F1133" t="s">
        <v>52</v>
      </c>
      <c r="G1133">
        <v>5586</v>
      </c>
      <c r="H1133" t="s">
        <v>52</v>
      </c>
      <c r="I1133" t="s">
        <v>243</v>
      </c>
      <c r="K1133">
        <v>2539255</v>
      </c>
      <c r="L1133">
        <v>1152581</v>
      </c>
      <c r="M1133">
        <v>447</v>
      </c>
      <c r="N1133" t="s">
        <v>2605</v>
      </c>
    </row>
    <row r="1134" spans="1:14" x14ac:dyDescent="0.25">
      <c r="A1134">
        <v>8579237</v>
      </c>
      <c r="B1134" t="s">
        <v>2606</v>
      </c>
      <c r="C1134" t="s">
        <v>242</v>
      </c>
      <c r="D1134" t="s">
        <v>1125</v>
      </c>
      <c r="E1134" t="s">
        <v>87</v>
      </c>
      <c r="F1134" t="s">
        <v>52</v>
      </c>
      <c r="G1134">
        <v>5586</v>
      </c>
      <c r="H1134" t="s">
        <v>52</v>
      </c>
      <c r="I1134" t="s">
        <v>243</v>
      </c>
      <c r="K1134">
        <v>2538769</v>
      </c>
      <c r="L1134">
        <v>1152528</v>
      </c>
      <c r="M1134">
        <v>533</v>
      </c>
      <c r="N1134" t="s">
        <v>2607</v>
      </c>
    </row>
    <row r="1135" spans="1:14" x14ac:dyDescent="0.25">
      <c r="A1135">
        <v>8590442</v>
      </c>
      <c r="B1135" t="s">
        <v>2608</v>
      </c>
      <c r="C1135" t="s">
        <v>242</v>
      </c>
      <c r="D1135" t="s">
        <v>1125</v>
      </c>
      <c r="E1135" t="s">
        <v>87</v>
      </c>
      <c r="F1135" t="s">
        <v>52</v>
      </c>
      <c r="G1135">
        <v>5586</v>
      </c>
      <c r="H1135" t="s">
        <v>52</v>
      </c>
      <c r="I1135" t="s">
        <v>243</v>
      </c>
      <c r="K1135">
        <v>2538107.4761800002</v>
      </c>
      <c r="L1135">
        <v>1152738.3363000001</v>
      </c>
      <c r="M1135">
        <v>502</v>
      </c>
      <c r="N1135" t="s">
        <v>2609</v>
      </c>
    </row>
    <row r="1136" spans="1:14" x14ac:dyDescent="0.25">
      <c r="A1136">
        <v>8579246</v>
      </c>
      <c r="B1136" t="s">
        <v>2610</v>
      </c>
      <c r="C1136" t="s">
        <v>94</v>
      </c>
      <c r="D1136" t="s">
        <v>86</v>
      </c>
      <c r="E1136" t="s">
        <v>87</v>
      </c>
      <c r="F1136" t="s">
        <v>52</v>
      </c>
      <c r="G1136">
        <v>5586</v>
      </c>
      <c r="H1136" t="s">
        <v>52</v>
      </c>
      <c r="I1136" t="s">
        <v>96</v>
      </c>
      <c r="K1136">
        <v>2540857</v>
      </c>
      <c r="L1136">
        <v>1153784</v>
      </c>
      <c r="M1136">
        <v>674</v>
      </c>
      <c r="N1136" t="s">
        <v>2611</v>
      </c>
    </row>
    <row r="1137" spans="1:14" x14ac:dyDescent="0.25">
      <c r="A1137">
        <v>8579247</v>
      </c>
      <c r="B1137" t="s">
        <v>2612</v>
      </c>
      <c r="C1137" t="s">
        <v>94</v>
      </c>
      <c r="D1137" t="s">
        <v>86</v>
      </c>
      <c r="E1137" t="s">
        <v>87</v>
      </c>
      <c r="F1137" t="s">
        <v>52</v>
      </c>
      <c r="G1137">
        <v>5586</v>
      </c>
      <c r="H1137" t="s">
        <v>2597</v>
      </c>
      <c r="I1137" t="s">
        <v>96</v>
      </c>
      <c r="K1137">
        <v>2541634</v>
      </c>
      <c r="L1137">
        <v>1154209</v>
      </c>
      <c r="M1137">
        <v>704</v>
      </c>
      <c r="N1137" t="s">
        <v>2613</v>
      </c>
    </row>
    <row r="1138" spans="1:14" x14ac:dyDescent="0.25">
      <c r="A1138">
        <v>8579255</v>
      </c>
      <c r="B1138" t="s">
        <v>2614</v>
      </c>
      <c r="C1138" t="s">
        <v>242</v>
      </c>
      <c r="D1138" t="s">
        <v>86</v>
      </c>
      <c r="E1138" t="s">
        <v>87</v>
      </c>
      <c r="F1138" t="s">
        <v>52</v>
      </c>
      <c r="G1138">
        <v>5586</v>
      </c>
      <c r="H1138" t="s">
        <v>52</v>
      </c>
      <c r="I1138" t="s">
        <v>243</v>
      </c>
      <c r="K1138">
        <v>2539634</v>
      </c>
      <c r="L1138">
        <v>1153061</v>
      </c>
      <c r="M1138">
        <v>616</v>
      </c>
      <c r="N1138" t="s">
        <v>2615</v>
      </c>
    </row>
    <row r="1139" spans="1:14" x14ac:dyDescent="0.25">
      <c r="A1139">
        <v>8592004</v>
      </c>
      <c r="B1139" t="s">
        <v>2616</v>
      </c>
      <c r="C1139" t="s">
        <v>242</v>
      </c>
      <c r="D1139" t="s">
        <v>86</v>
      </c>
      <c r="E1139" t="s">
        <v>87</v>
      </c>
      <c r="F1139" t="s">
        <v>52</v>
      </c>
      <c r="G1139">
        <v>5586</v>
      </c>
      <c r="H1139" t="s">
        <v>52</v>
      </c>
      <c r="I1139" t="s">
        <v>243</v>
      </c>
      <c r="K1139">
        <v>2537401</v>
      </c>
      <c r="L1139">
        <v>1152495</v>
      </c>
      <c r="M1139">
        <v>481</v>
      </c>
      <c r="N1139" t="s">
        <v>2617</v>
      </c>
    </row>
    <row r="1140" spans="1:14" x14ac:dyDescent="0.25">
      <c r="A1140">
        <v>8592010</v>
      </c>
      <c r="B1140" t="s">
        <v>2618</v>
      </c>
      <c r="C1140" t="s">
        <v>242</v>
      </c>
      <c r="D1140" t="s">
        <v>86</v>
      </c>
      <c r="E1140" t="s">
        <v>87</v>
      </c>
      <c r="F1140" t="s">
        <v>52</v>
      </c>
      <c r="G1140">
        <v>5586</v>
      </c>
      <c r="H1140" t="s">
        <v>52</v>
      </c>
      <c r="I1140" t="s">
        <v>243</v>
      </c>
      <c r="K1140">
        <v>2537555</v>
      </c>
      <c r="L1140">
        <v>1152802</v>
      </c>
      <c r="M1140">
        <v>493</v>
      </c>
      <c r="N1140" t="s">
        <v>2619</v>
      </c>
    </row>
    <row r="1141" spans="1:14" x14ac:dyDescent="0.25">
      <c r="A1141">
        <v>8592111</v>
      </c>
      <c r="B1141" t="s">
        <v>2620</v>
      </c>
      <c r="C1141" t="s">
        <v>242</v>
      </c>
      <c r="D1141" t="s">
        <v>86</v>
      </c>
      <c r="E1141" t="s">
        <v>87</v>
      </c>
      <c r="F1141" t="s">
        <v>52</v>
      </c>
      <c r="G1141">
        <v>5586</v>
      </c>
      <c r="H1141" t="s">
        <v>52</v>
      </c>
      <c r="I1141" t="s">
        <v>243</v>
      </c>
      <c r="K1141">
        <v>2538089</v>
      </c>
      <c r="L1141">
        <v>1153799</v>
      </c>
      <c r="M1141">
        <v>560</v>
      </c>
      <c r="N1141" t="s">
        <v>2621</v>
      </c>
    </row>
    <row r="1142" spans="1:14" x14ac:dyDescent="0.25">
      <c r="A1142">
        <v>8592114</v>
      </c>
      <c r="B1142" t="s">
        <v>2622</v>
      </c>
      <c r="C1142" t="s">
        <v>242</v>
      </c>
      <c r="D1142" t="s">
        <v>86</v>
      </c>
      <c r="E1142" t="s">
        <v>87</v>
      </c>
      <c r="F1142" t="s">
        <v>52</v>
      </c>
      <c r="G1142">
        <v>5586</v>
      </c>
      <c r="H1142" t="s">
        <v>52</v>
      </c>
      <c r="I1142" t="s">
        <v>243</v>
      </c>
      <c r="K1142">
        <v>2535323</v>
      </c>
      <c r="L1142">
        <v>1152691</v>
      </c>
      <c r="M1142">
        <v>394</v>
      </c>
      <c r="N1142" t="s">
        <v>2623</v>
      </c>
    </row>
    <row r="1143" spans="1:14" x14ac:dyDescent="0.25">
      <c r="A1143">
        <v>8592092</v>
      </c>
      <c r="B1143" t="s">
        <v>2624</v>
      </c>
      <c r="C1143" t="s">
        <v>242</v>
      </c>
      <c r="D1143" t="s">
        <v>86</v>
      </c>
      <c r="E1143" t="s">
        <v>87</v>
      </c>
      <c r="F1143" t="s">
        <v>52</v>
      </c>
      <c r="G1143">
        <v>5586</v>
      </c>
      <c r="H1143" t="s">
        <v>52</v>
      </c>
      <c r="I1143" t="s">
        <v>243</v>
      </c>
      <c r="K1143">
        <v>2538454</v>
      </c>
      <c r="L1143">
        <v>1154810</v>
      </c>
      <c r="M1143">
        <v>648</v>
      </c>
      <c r="N1143" t="s">
        <v>2625</v>
      </c>
    </row>
    <row r="1144" spans="1:14" x14ac:dyDescent="0.25">
      <c r="A1144">
        <v>8592118</v>
      </c>
      <c r="B1144" t="s">
        <v>2626</v>
      </c>
      <c r="C1144" t="s">
        <v>242</v>
      </c>
      <c r="D1144" t="s">
        <v>86</v>
      </c>
      <c r="E1144" t="s">
        <v>87</v>
      </c>
      <c r="F1144" t="s">
        <v>52</v>
      </c>
      <c r="G1144">
        <v>5586</v>
      </c>
      <c r="H1144" t="s">
        <v>52</v>
      </c>
      <c r="I1144" t="s">
        <v>243</v>
      </c>
      <c r="K1144">
        <v>2539426.63968</v>
      </c>
      <c r="L1144">
        <v>1154014.5275000001</v>
      </c>
      <c r="M1144">
        <v>619</v>
      </c>
      <c r="N1144" t="s">
        <v>2627</v>
      </c>
    </row>
    <row r="1145" spans="1:14" x14ac:dyDescent="0.25">
      <c r="A1145">
        <v>8592082</v>
      </c>
      <c r="B1145" t="s">
        <v>2628</v>
      </c>
      <c r="C1145" t="s">
        <v>242</v>
      </c>
      <c r="D1145" t="s">
        <v>86</v>
      </c>
      <c r="E1145" t="s">
        <v>87</v>
      </c>
      <c r="F1145" t="s">
        <v>52</v>
      </c>
      <c r="G1145">
        <v>5586</v>
      </c>
      <c r="H1145" t="s">
        <v>52</v>
      </c>
      <c r="I1145" t="s">
        <v>243</v>
      </c>
      <c r="K1145">
        <v>2538225</v>
      </c>
      <c r="L1145">
        <v>1153863</v>
      </c>
      <c r="M1145">
        <v>582</v>
      </c>
      <c r="N1145" t="s">
        <v>2629</v>
      </c>
    </row>
    <row r="1146" spans="1:14" x14ac:dyDescent="0.25">
      <c r="A1146">
        <v>8592122</v>
      </c>
      <c r="B1146" t="s">
        <v>2630</v>
      </c>
      <c r="C1146" t="s">
        <v>242</v>
      </c>
      <c r="D1146" t="s">
        <v>86</v>
      </c>
      <c r="E1146" t="s">
        <v>87</v>
      </c>
      <c r="F1146" t="s">
        <v>52</v>
      </c>
      <c r="G1146">
        <v>5586</v>
      </c>
      <c r="H1146" t="s">
        <v>52</v>
      </c>
      <c r="I1146" t="s">
        <v>243</v>
      </c>
      <c r="K1146">
        <v>2537305</v>
      </c>
      <c r="L1146">
        <v>1152534</v>
      </c>
      <c r="M1146">
        <v>477</v>
      </c>
      <c r="N1146" t="s">
        <v>2631</v>
      </c>
    </row>
    <row r="1147" spans="1:14" x14ac:dyDescent="0.25">
      <c r="A1147">
        <v>8592105</v>
      </c>
      <c r="B1147" t="s">
        <v>2632</v>
      </c>
      <c r="C1147" t="s">
        <v>242</v>
      </c>
      <c r="D1147" t="s">
        <v>86</v>
      </c>
      <c r="E1147" t="s">
        <v>87</v>
      </c>
      <c r="F1147" t="s">
        <v>52</v>
      </c>
      <c r="G1147">
        <v>5586</v>
      </c>
      <c r="H1147" t="s">
        <v>52</v>
      </c>
      <c r="I1147" t="s">
        <v>243</v>
      </c>
      <c r="K1147">
        <v>2536122</v>
      </c>
      <c r="L1147">
        <v>1152877</v>
      </c>
      <c r="M1147">
        <v>426</v>
      </c>
      <c r="N1147" t="s">
        <v>2633</v>
      </c>
    </row>
    <row r="1148" spans="1:14" x14ac:dyDescent="0.25">
      <c r="A1148">
        <v>8591988</v>
      </c>
      <c r="B1148" t="s">
        <v>2634</v>
      </c>
      <c r="C1148" t="s">
        <v>242</v>
      </c>
      <c r="D1148" t="s">
        <v>86</v>
      </c>
      <c r="E1148" t="s">
        <v>87</v>
      </c>
      <c r="F1148" t="s">
        <v>52</v>
      </c>
      <c r="G1148">
        <v>5586</v>
      </c>
      <c r="H1148" t="s">
        <v>52</v>
      </c>
      <c r="I1148" t="s">
        <v>243</v>
      </c>
      <c r="K1148">
        <v>2537880</v>
      </c>
      <c r="L1148">
        <v>1152653</v>
      </c>
      <c r="M1148">
        <v>496</v>
      </c>
      <c r="N1148" t="s">
        <v>2635</v>
      </c>
    </row>
    <row r="1149" spans="1:14" x14ac:dyDescent="0.25">
      <c r="A1149">
        <v>8591995</v>
      </c>
      <c r="B1149" t="s">
        <v>2636</v>
      </c>
      <c r="C1149" t="s">
        <v>242</v>
      </c>
      <c r="D1149" t="s">
        <v>86</v>
      </c>
      <c r="E1149" t="s">
        <v>87</v>
      </c>
      <c r="F1149" t="s">
        <v>52</v>
      </c>
      <c r="G1149">
        <v>5586</v>
      </c>
      <c r="H1149" t="s">
        <v>52</v>
      </c>
      <c r="I1149" t="s">
        <v>243</v>
      </c>
      <c r="K1149">
        <v>2535630</v>
      </c>
      <c r="L1149">
        <v>1152359</v>
      </c>
      <c r="M1149">
        <v>600</v>
      </c>
      <c r="N1149" t="s">
        <v>2637</v>
      </c>
    </row>
    <row r="1150" spans="1:14" x14ac:dyDescent="0.25">
      <c r="A1150">
        <v>8592131</v>
      </c>
      <c r="B1150" t="s">
        <v>2638</v>
      </c>
      <c r="C1150" t="s">
        <v>242</v>
      </c>
      <c r="D1150" t="s">
        <v>86</v>
      </c>
      <c r="E1150" t="s">
        <v>87</v>
      </c>
      <c r="F1150" t="s">
        <v>52</v>
      </c>
      <c r="G1150">
        <v>5586</v>
      </c>
      <c r="H1150" t="s">
        <v>52</v>
      </c>
      <c r="I1150" t="s">
        <v>243</v>
      </c>
      <c r="K1150">
        <v>2539380</v>
      </c>
      <c r="L1150">
        <v>1153679</v>
      </c>
      <c r="M1150">
        <v>604</v>
      </c>
      <c r="N1150" t="s">
        <v>2639</v>
      </c>
    </row>
    <row r="1151" spans="1:14" x14ac:dyDescent="0.25">
      <c r="A1151">
        <v>8592138</v>
      </c>
      <c r="B1151" t="s">
        <v>2640</v>
      </c>
      <c r="C1151" t="s">
        <v>242</v>
      </c>
      <c r="D1151" t="s">
        <v>86</v>
      </c>
      <c r="E1151" t="s">
        <v>87</v>
      </c>
      <c r="F1151" t="s">
        <v>52</v>
      </c>
      <c r="G1151">
        <v>5586</v>
      </c>
      <c r="H1151" t="s">
        <v>52</v>
      </c>
      <c r="I1151" t="s">
        <v>243</v>
      </c>
      <c r="K1151">
        <v>2538270</v>
      </c>
      <c r="L1151">
        <v>1153254</v>
      </c>
      <c r="M1151">
        <v>561</v>
      </c>
      <c r="N1151" t="s">
        <v>2641</v>
      </c>
    </row>
    <row r="1152" spans="1:14" x14ac:dyDescent="0.25">
      <c r="A1152">
        <v>8592128</v>
      </c>
      <c r="B1152" t="s">
        <v>2642</v>
      </c>
      <c r="C1152" t="s">
        <v>242</v>
      </c>
      <c r="D1152" t="s">
        <v>1125</v>
      </c>
      <c r="E1152" t="s">
        <v>87</v>
      </c>
      <c r="F1152" t="s">
        <v>52</v>
      </c>
      <c r="G1152">
        <v>5586</v>
      </c>
      <c r="H1152" t="s">
        <v>52</v>
      </c>
      <c r="I1152" t="s">
        <v>243</v>
      </c>
      <c r="K1152">
        <v>2540091</v>
      </c>
      <c r="L1152">
        <v>1154744</v>
      </c>
      <c r="M1152">
        <v>691</v>
      </c>
      <c r="N1152" t="s">
        <v>2643</v>
      </c>
    </row>
    <row r="1153" spans="1:14" x14ac:dyDescent="0.25">
      <c r="A1153">
        <v>8592137</v>
      </c>
      <c r="B1153" t="s">
        <v>2644</v>
      </c>
      <c r="C1153" t="s">
        <v>242</v>
      </c>
      <c r="D1153" t="s">
        <v>86</v>
      </c>
      <c r="E1153" t="s">
        <v>87</v>
      </c>
      <c r="F1153" t="s">
        <v>52</v>
      </c>
      <c r="G1153">
        <v>5586</v>
      </c>
      <c r="H1153" t="s">
        <v>52</v>
      </c>
      <c r="I1153" t="s">
        <v>243</v>
      </c>
      <c r="K1153">
        <v>2538831</v>
      </c>
      <c r="L1153">
        <v>1154630</v>
      </c>
      <c r="M1153">
        <v>647</v>
      </c>
      <c r="N1153" t="s">
        <v>2645</v>
      </c>
    </row>
    <row r="1154" spans="1:14" x14ac:dyDescent="0.25">
      <c r="A1154">
        <v>8592134</v>
      </c>
      <c r="B1154" t="s">
        <v>2646</v>
      </c>
      <c r="C1154" t="s">
        <v>242</v>
      </c>
      <c r="D1154" t="s">
        <v>86</v>
      </c>
      <c r="E1154" t="s">
        <v>87</v>
      </c>
      <c r="F1154" t="s">
        <v>52</v>
      </c>
      <c r="G1154">
        <v>5586</v>
      </c>
      <c r="H1154" t="s">
        <v>52</v>
      </c>
      <c r="I1154" t="s">
        <v>243</v>
      </c>
      <c r="K1154">
        <v>2537465.8367599999</v>
      </c>
      <c r="L1154">
        <v>1152353.98006</v>
      </c>
      <c r="M1154">
        <v>471</v>
      </c>
      <c r="N1154" t="s">
        <v>2647</v>
      </c>
    </row>
    <row r="1155" spans="1:14" x14ac:dyDescent="0.25">
      <c r="A1155">
        <v>8593838</v>
      </c>
      <c r="B1155" t="s">
        <v>2648</v>
      </c>
      <c r="C1155" t="s">
        <v>242</v>
      </c>
      <c r="D1155" t="s">
        <v>86</v>
      </c>
      <c r="E1155" t="s">
        <v>87</v>
      </c>
      <c r="F1155" t="s">
        <v>52</v>
      </c>
      <c r="G1155">
        <v>5586</v>
      </c>
      <c r="H1155" t="s">
        <v>52</v>
      </c>
      <c r="I1155" t="s">
        <v>243</v>
      </c>
      <c r="K1155">
        <v>2536057</v>
      </c>
      <c r="L1155">
        <v>1151995</v>
      </c>
      <c r="M1155">
        <v>380</v>
      </c>
      <c r="N1155" t="s">
        <v>2649</v>
      </c>
    </row>
    <row r="1156" spans="1:14" x14ac:dyDescent="0.25">
      <c r="A1156">
        <v>8593837</v>
      </c>
      <c r="B1156" t="s">
        <v>2650</v>
      </c>
      <c r="C1156" t="s">
        <v>242</v>
      </c>
      <c r="D1156" t="s">
        <v>86</v>
      </c>
      <c r="E1156" t="s">
        <v>87</v>
      </c>
      <c r="F1156" t="s">
        <v>52</v>
      </c>
      <c r="G1156">
        <v>5586</v>
      </c>
      <c r="H1156" t="s">
        <v>52</v>
      </c>
      <c r="I1156" t="s">
        <v>243</v>
      </c>
      <c r="K1156">
        <v>2536113</v>
      </c>
      <c r="L1156">
        <v>1152075</v>
      </c>
      <c r="M1156">
        <v>385</v>
      </c>
      <c r="N1156" t="s">
        <v>2651</v>
      </c>
    </row>
    <row r="1157" spans="1:14" x14ac:dyDescent="0.25">
      <c r="A1157">
        <v>8592018</v>
      </c>
      <c r="B1157" t="s">
        <v>2652</v>
      </c>
      <c r="C1157" t="s">
        <v>242</v>
      </c>
      <c r="D1157" t="s">
        <v>86</v>
      </c>
      <c r="E1157" t="s">
        <v>87</v>
      </c>
      <c r="F1157" t="s">
        <v>52</v>
      </c>
      <c r="G1157">
        <v>5586</v>
      </c>
      <c r="H1157" t="s">
        <v>52</v>
      </c>
      <c r="I1157" t="s">
        <v>243</v>
      </c>
      <c r="K1157">
        <v>2539293</v>
      </c>
      <c r="L1157">
        <v>1154975</v>
      </c>
      <c r="M1157">
        <v>676</v>
      </c>
      <c r="N1157" t="s">
        <v>2653</v>
      </c>
    </row>
    <row r="1158" spans="1:14" x14ac:dyDescent="0.25">
      <c r="A1158">
        <v>8592017</v>
      </c>
      <c r="B1158" t="s">
        <v>2654</v>
      </c>
      <c r="C1158" t="s">
        <v>242</v>
      </c>
      <c r="D1158" t="s">
        <v>1125</v>
      </c>
      <c r="E1158" t="s">
        <v>87</v>
      </c>
      <c r="F1158" t="s">
        <v>52</v>
      </c>
      <c r="G1158">
        <v>5586</v>
      </c>
      <c r="H1158" t="s">
        <v>52</v>
      </c>
      <c r="I1158" t="s">
        <v>243</v>
      </c>
      <c r="K1158">
        <v>2538837</v>
      </c>
      <c r="L1158">
        <v>1153101</v>
      </c>
      <c r="M1158">
        <v>581</v>
      </c>
      <c r="N1158" t="s">
        <v>2655</v>
      </c>
    </row>
    <row r="1159" spans="1:14" x14ac:dyDescent="0.25">
      <c r="A1159">
        <v>8592016</v>
      </c>
      <c r="B1159" t="s">
        <v>2656</v>
      </c>
      <c r="C1159" t="s">
        <v>242</v>
      </c>
      <c r="D1159" t="s">
        <v>86</v>
      </c>
      <c r="E1159" t="s">
        <v>87</v>
      </c>
      <c r="F1159" t="s">
        <v>52</v>
      </c>
      <c r="G1159">
        <v>5586</v>
      </c>
      <c r="H1159" t="s">
        <v>52</v>
      </c>
      <c r="I1159" t="s">
        <v>243</v>
      </c>
      <c r="K1159">
        <v>2538800</v>
      </c>
      <c r="L1159">
        <v>1154206</v>
      </c>
      <c r="M1159">
        <v>659</v>
      </c>
      <c r="N1159" t="s">
        <v>2657</v>
      </c>
    </row>
    <row r="1160" spans="1:14" x14ac:dyDescent="0.25">
      <c r="A1160">
        <v>8592057</v>
      </c>
      <c r="B1160" t="s">
        <v>2658</v>
      </c>
      <c r="C1160" t="s">
        <v>242</v>
      </c>
      <c r="D1160" t="s">
        <v>86</v>
      </c>
      <c r="E1160" t="s">
        <v>87</v>
      </c>
      <c r="F1160" t="s">
        <v>52</v>
      </c>
      <c r="G1160">
        <v>5586</v>
      </c>
      <c r="H1160" t="s">
        <v>52</v>
      </c>
      <c r="I1160" t="s">
        <v>243</v>
      </c>
      <c r="K1160">
        <v>2537130</v>
      </c>
      <c r="L1160">
        <v>1153913</v>
      </c>
      <c r="M1160">
        <v>575</v>
      </c>
      <c r="N1160" t="s">
        <v>2659</v>
      </c>
    </row>
    <row r="1161" spans="1:14" x14ac:dyDescent="0.25">
      <c r="A1161">
        <v>8592040</v>
      </c>
      <c r="B1161" t="s">
        <v>2660</v>
      </c>
      <c r="C1161" t="s">
        <v>242</v>
      </c>
      <c r="D1161" t="s">
        <v>86</v>
      </c>
      <c r="E1161" t="s">
        <v>87</v>
      </c>
      <c r="F1161" t="s">
        <v>52</v>
      </c>
      <c r="G1161">
        <v>5586</v>
      </c>
      <c r="H1161" t="s">
        <v>52</v>
      </c>
      <c r="I1161" t="s">
        <v>243</v>
      </c>
      <c r="K1161">
        <v>2537608</v>
      </c>
      <c r="L1161">
        <v>1151949</v>
      </c>
      <c r="M1161">
        <v>434</v>
      </c>
      <c r="N1161" t="s">
        <v>2661</v>
      </c>
    </row>
    <row r="1162" spans="1:14" x14ac:dyDescent="0.25">
      <c r="A1162">
        <v>8592000</v>
      </c>
      <c r="B1162" t="s">
        <v>2662</v>
      </c>
      <c r="C1162" t="s">
        <v>242</v>
      </c>
      <c r="D1162" t="s">
        <v>86</v>
      </c>
      <c r="E1162" t="s">
        <v>87</v>
      </c>
      <c r="F1162" t="s">
        <v>52</v>
      </c>
      <c r="G1162">
        <v>5586</v>
      </c>
      <c r="H1162" t="s">
        <v>52</v>
      </c>
      <c r="I1162" t="s">
        <v>243</v>
      </c>
      <c r="K1162">
        <v>2536993</v>
      </c>
      <c r="L1162">
        <v>1154558</v>
      </c>
      <c r="M1162">
        <v>607</v>
      </c>
      <c r="N1162" t="s">
        <v>2663</v>
      </c>
    </row>
    <row r="1163" spans="1:14" x14ac:dyDescent="0.25">
      <c r="A1163">
        <v>8589523</v>
      </c>
      <c r="B1163" t="s">
        <v>2664</v>
      </c>
      <c r="C1163" t="s">
        <v>242</v>
      </c>
      <c r="D1163" t="s">
        <v>1125</v>
      </c>
      <c r="E1163" t="s">
        <v>87</v>
      </c>
      <c r="F1163" t="s">
        <v>52</v>
      </c>
      <c r="G1163">
        <v>5586</v>
      </c>
      <c r="H1163" t="s">
        <v>52</v>
      </c>
      <c r="I1163" t="s">
        <v>243</v>
      </c>
      <c r="K1163">
        <v>2538492</v>
      </c>
      <c r="L1163">
        <v>1152472</v>
      </c>
      <c r="M1163">
        <v>514</v>
      </c>
      <c r="N1163" t="s">
        <v>2665</v>
      </c>
    </row>
    <row r="1164" spans="1:14" x14ac:dyDescent="0.25">
      <c r="A1164">
        <v>8589522</v>
      </c>
      <c r="B1164" t="s">
        <v>2666</v>
      </c>
      <c r="C1164" t="s">
        <v>242</v>
      </c>
      <c r="D1164" t="s">
        <v>86</v>
      </c>
      <c r="E1164" t="s">
        <v>87</v>
      </c>
      <c r="F1164" t="s">
        <v>52</v>
      </c>
      <c r="G1164">
        <v>5586</v>
      </c>
      <c r="H1164" t="s">
        <v>52</v>
      </c>
      <c r="I1164" t="s">
        <v>243</v>
      </c>
      <c r="K1164">
        <v>2538539.01168</v>
      </c>
      <c r="L1164">
        <v>1152941.42142</v>
      </c>
      <c r="M1164">
        <v>519</v>
      </c>
      <c r="N1164" t="s">
        <v>2667</v>
      </c>
    </row>
    <row r="1165" spans="1:14" x14ac:dyDescent="0.25">
      <c r="A1165">
        <v>8593844</v>
      </c>
      <c r="B1165" t="s">
        <v>2668</v>
      </c>
      <c r="C1165" t="s">
        <v>242</v>
      </c>
      <c r="D1165" t="s">
        <v>86</v>
      </c>
      <c r="E1165" t="s">
        <v>87</v>
      </c>
      <c r="F1165" t="s">
        <v>52</v>
      </c>
      <c r="G1165">
        <v>5586</v>
      </c>
      <c r="H1165" t="s">
        <v>52</v>
      </c>
      <c r="I1165" t="s">
        <v>243</v>
      </c>
      <c r="K1165">
        <v>2536240</v>
      </c>
      <c r="L1165">
        <v>1152782</v>
      </c>
      <c r="M1165">
        <v>426</v>
      </c>
      <c r="N1165" t="s">
        <v>2669</v>
      </c>
    </row>
    <row r="1166" spans="1:14" x14ac:dyDescent="0.25">
      <c r="A1166">
        <v>8588432</v>
      </c>
      <c r="B1166" t="s">
        <v>2670</v>
      </c>
      <c r="C1166" t="s">
        <v>242</v>
      </c>
      <c r="D1166" t="s">
        <v>86</v>
      </c>
      <c r="E1166" t="s">
        <v>87</v>
      </c>
      <c r="F1166" t="s">
        <v>52</v>
      </c>
      <c r="G1166">
        <v>5586</v>
      </c>
      <c r="H1166" t="s">
        <v>52</v>
      </c>
      <c r="I1166" t="s">
        <v>243</v>
      </c>
      <c r="K1166">
        <v>2539887</v>
      </c>
      <c r="L1166">
        <v>1152731</v>
      </c>
      <c r="M1166">
        <v>447</v>
      </c>
      <c r="N1166" t="s">
        <v>2671</v>
      </c>
    </row>
    <row r="1167" spans="1:14" x14ac:dyDescent="0.25">
      <c r="A1167">
        <v>8592008</v>
      </c>
      <c r="B1167" t="s">
        <v>2672</v>
      </c>
      <c r="C1167" t="s">
        <v>242</v>
      </c>
      <c r="D1167" t="s">
        <v>86</v>
      </c>
      <c r="E1167" t="s">
        <v>87</v>
      </c>
      <c r="F1167" t="s">
        <v>52</v>
      </c>
      <c r="G1167">
        <v>5586</v>
      </c>
      <c r="H1167" t="s">
        <v>52</v>
      </c>
      <c r="I1167" t="s">
        <v>243</v>
      </c>
      <c r="K1167">
        <v>2539516.1662900001</v>
      </c>
      <c r="L1167">
        <v>1153707.2355899999</v>
      </c>
      <c r="M1167">
        <v>597.29999999999995</v>
      </c>
      <c r="N1167" t="s">
        <v>2673</v>
      </c>
    </row>
    <row r="1168" spans="1:14" x14ac:dyDescent="0.25">
      <c r="A1168">
        <v>8592012</v>
      </c>
      <c r="B1168" t="s">
        <v>2674</v>
      </c>
      <c r="C1168" t="s">
        <v>242</v>
      </c>
      <c r="D1168" t="s">
        <v>86</v>
      </c>
      <c r="E1168" t="s">
        <v>87</v>
      </c>
      <c r="F1168" t="s">
        <v>52</v>
      </c>
      <c r="G1168">
        <v>5586</v>
      </c>
      <c r="H1168" t="s">
        <v>52</v>
      </c>
      <c r="I1168" t="s">
        <v>243</v>
      </c>
      <c r="K1168">
        <v>2539425</v>
      </c>
      <c r="L1168">
        <v>1151786</v>
      </c>
      <c r="M1168">
        <v>468</v>
      </c>
      <c r="N1168" t="s">
        <v>2675</v>
      </c>
    </row>
    <row r="1169" spans="1:14" x14ac:dyDescent="0.25">
      <c r="A1169">
        <v>8592032</v>
      </c>
      <c r="B1169" t="s">
        <v>2676</v>
      </c>
      <c r="C1169" t="s">
        <v>242</v>
      </c>
      <c r="D1169" t="s">
        <v>86</v>
      </c>
      <c r="E1169" t="s">
        <v>87</v>
      </c>
      <c r="F1169" t="s">
        <v>52</v>
      </c>
      <c r="G1169">
        <v>5586</v>
      </c>
      <c r="H1169" t="s">
        <v>52</v>
      </c>
      <c r="I1169" t="s">
        <v>243</v>
      </c>
      <c r="K1169">
        <v>2536920</v>
      </c>
      <c r="L1169">
        <v>1153535</v>
      </c>
      <c r="M1169">
        <v>521</v>
      </c>
      <c r="N1169" t="s">
        <v>2677</v>
      </c>
    </row>
    <row r="1170" spans="1:14" x14ac:dyDescent="0.25">
      <c r="A1170">
        <v>8592039</v>
      </c>
      <c r="B1170" t="s">
        <v>2678</v>
      </c>
      <c r="C1170" t="s">
        <v>242</v>
      </c>
      <c r="D1170" t="s">
        <v>86</v>
      </c>
      <c r="E1170" t="s">
        <v>87</v>
      </c>
      <c r="F1170" t="s">
        <v>52</v>
      </c>
      <c r="G1170">
        <v>5586</v>
      </c>
      <c r="H1170" t="s">
        <v>52</v>
      </c>
      <c r="I1170" t="s">
        <v>243</v>
      </c>
      <c r="K1170">
        <v>2538118</v>
      </c>
      <c r="L1170">
        <v>1151378</v>
      </c>
      <c r="M1170">
        <v>417</v>
      </c>
      <c r="N1170" t="s">
        <v>2679</v>
      </c>
    </row>
    <row r="1171" spans="1:14" x14ac:dyDescent="0.25">
      <c r="A1171">
        <v>8592038</v>
      </c>
      <c r="B1171" t="s">
        <v>2680</v>
      </c>
      <c r="C1171" t="s">
        <v>242</v>
      </c>
      <c r="D1171" t="s">
        <v>86</v>
      </c>
      <c r="E1171" t="s">
        <v>87</v>
      </c>
      <c r="F1171" t="s">
        <v>52</v>
      </c>
      <c r="G1171">
        <v>5586</v>
      </c>
      <c r="H1171" t="s">
        <v>52</v>
      </c>
      <c r="I1171" t="s">
        <v>243</v>
      </c>
      <c r="K1171">
        <v>2538856</v>
      </c>
      <c r="L1171">
        <v>1151981</v>
      </c>
      <c r="M1171">
        <v>487</v>
      </c>
      <c r="N1171" t="s">
        <v>2681</v>
      </c>
    </row>
    <row r="1172" spans="1:14" x14ac:dyDescent="0.25">
      <c r="A1172">
        <v>8592054</v>
      </c>
      <c r="B1172" t="s">
        <v>2682</v>
      </c>
      <c r="C1172" t="s">
        <v>242</v>
      </c>
      <c r="D1172" t="s">
        <v>86</v>
      </c>
      <c r="E1172" t="s">
        <v>87</v>
      </c>
      <c r="F1172" t="s">
        <v>52</v>
      </c>
      <c r="G1172">
        <v>5586</v>
      </c>
      <c r="H1172" t="s">
        <v>52</v>
      </c>
      <c r="I1172" t="s">
        <v>243</v>
      </c>
      <c r="K1172">
        <v>2539217</v>
      </c>
      <c r="L1172">
        <v>1154621</v>
      </c>
      <c r="M1172">
        <v>650</v>
      </c>
      <c r="N1172" t="s">
        <v>2683</v>
      </c>
    </row>
    <row r="1173" spans="1:14" x14ac:dyDescent="0.25">
      <c r="A1173">
        <v>8592037</v>
      </c>
      <c r="B1173" t="s">
        <v>2684</v>
      </c>
      <c r="C1173" t="s">
        <v>242</v>
      </c>
      <c r="D1173" t="s">
        <v>86</v>
      </c>
      <c r="E1173" t="s">
        <v>87</v>
      </c>
      <c r="F1173" t="s">
        <v>52</v>
      </c>
      <c r="G1173">
        <v>5586</v>
      </c>
      <c r="H1173" t="s">
        <v>2600</v>
      </c>
      <c r="I1173" t="s">
        <v>243</v>
      </c>
      <c r="K1173">
        <v>2542025</v>
      </c>
      <c r="L1173">
        <v>1157007</v>
      </c>
      <c r="M1173">
        <v>850</v>
      </c>
      <c r="N1173" t="s">
        <v>2685</v>
      </c>
    </row>
    <row r="1174" spans="1:14" x14ac:dyDescent="0.25">
      <c r="A1174">
        <v>8592062</v>
      </c>
      <c r="B1174" t="s">
        <v>2686</v>
      </c>
      <c r="C1174" t="s">
        <v>242</v>
      </c>
      <c r="D1174" t="s">
        <v>86</v>
      </c>
      <c r="E1174" t="s">
        <v>87</v>
      </c>
      <c r="F1174" t="s">
        <v>52</v>
      </c>
      <c r="G1174">
        <v>5586</v>
      </c>
      <c r="H1174" t="s">
        <v>52</v>
      </c>
      <c r="I1174" t="s">
        <v>243</v>
      </c>
      <c r="K1174">
        <v>2538442</v>
      </c>
      <c r="L1174">
        <v>1151585</v>
      </c>
      <c r="M1174">
        <v>438</v>
      </c>
      <c r="N1174" t="s">
        <v>2687</v>
      </c>
    </row>
    <row r="1175" spans="1:14" x14ac:dyDescent="0.25">
      <c r="A1175">
        <v>8592005</v>
      </c>
      <c r="B1175" t="s">
        <v>2688</v>
      </c>
      <c r="C1175" t="s">
        <v>242</v>
      </c>
      <c r="D1175" t="s">
        <v>86</v>
      </c>
      <c r="E1175" t="s">
        <v>87</v>
      </c>
      <c r="F1175" t="s">
        <v>52</v>
      </c>
      <c r="G1175">
        <v>5586</v>
      </c>
      <c r="H1175" t="s">
        <v>52</v>
      </c>
      <c r="I1175" t="s">
        <v>243</v>
      </c>
      <c r="K1175">
        <v>2537110</v>
      </c>
      <c r="L1175">
        <v>1151830</v>
      </c>
      <c r="M1175">
        <v>413</v>
      </c>
      <c r="N1175" t="s">
        <v>2689</v>
      </c>
    </row>
    <row r="1176" spans="1:14" x14ac:dyDescent="0.25">
      <c r="A1176">
        <v>8592044</v>
      </c>
      <c r="B1176" t="s">
        <v>2690</v>
      </c>
      <c r="C1176" t="s">
        <v>242</v>
      </c>
      <c r="D1176" t="s">
        <v>86</v>
      </c>
      <c r="E1176" t="s">
        <v>87</v>
      </c>
      <c r="F1176" t="s">
        <v>52</v>
      </c>
      <c r="G1176">
        <v>5586</v>
      </c>
      <c r="H1176" t="s">
        <v>52</v>
      </c>
      <c r="I1176" t="s">
        <v>243</v>
      </c>
      <c r="K1176">
        <v>2536461</v>
      </c>
      <c r="L1176">
        <v>1152063</v>
      </c>
      <c r="M1176">
        <v>400</v>
      </c>
      <c r="N1176" t="s">
        <v>2691</v>
      </c>
    </row>
    <row r="1177" spans="1:14" x14ac:dyDescent="0.25">
      <c r="A1177">
        <v>8519589</v>
      </c>
      <c r="B1177" t="s">
        <v>2692</v>
      </c>
      <c r="C1177" t="s">
        <v>242</v>
      </c>
      <c r="E1177" t="s">
        <v>87</v>
      </c>
      <c r="F1177" t="s">
        <v>52</v>
      </c>
      <c r="G1177">
        <v>5586</v>
      </c>
      <c r="H1177" t="s">
        <v>52</v>
      </c>
      <c r="I1177" t="s">
        <v>243</v>
      </c>
      <c r="J1177" t="s">
        <v>2583</v>
      </c>
      <c r="K1177">
        <v>2537980</v>
      </c>
      <c r="L1177">
        <v>1152423</v>
      </c>
      <c r="M1177">
        <v>481</v>
      </c>
      <c r="N1177" t="s">
        <v>2693</v>
      </c>
    </row>
    <row r="1178" spans="1:14" x14ac:dyDescent="0.25">
      <c r="A1178">
        <v>8592041</v>
      </c>
      <c r="B1178" t="s">
        <v>2694</v>
      </c>
      <c r="C1178" t="s">
        <v>242</v>
      </c>
      <c r="D1178" t="s">
        <v>2695</v>
      </c>
      <c r="E1178" t="s">
        <v>87</v>
      </c>
      <c r="F1178" t="s">
        <v>52</v>
      </c>
      <c r="G1178">
        <v>5586</v>
      </c>
      <c r="H1178" t="s">
        <v>52</v>
      </c>
      <c r="I1178" t="s">
        <v>243</v>
      </c>
      <c r="K1178">
        <v>2537189.42178</v>
      </c>
      <c r="L1178">
        <v>1152793.33415</v>
      </c>
      <c r="M1178">
        <v>464.6</v>
      </c>
      <c r="N1178" t="s">
        <v>2696</v>
      </c>
    </row>
    <row r="1179" spans="1:14" x14ac:dyDescent="0.25">
      <c r="A1179">
        <v>8592009</v>
      </c>
      <c r="B1179" t="s">
        <v>2697</v>
      </c>
      <c r="C1179" t="s">
        <v>242</v>
      </c>
      <c r="D1179" t="s">
        <v>86</v>
      </c>
      <c r="E1179" t="s">
        <v>87</v>
      </c>
      <c r="F1179" t="s">
        <v>52</v>
      </c>
      <c r="G1179">
        <v>5586</v>
      </c>
      <c r="H1179" t="s">
        <v>52</v>
      </c>
      <c r="I1179" t="s">
        <v>243</v>
      </c>
      <c r="K1179">
        <v>2539062</v>
      </c>
      <c r="L1179">
        <v>1152109</v>
      </c>
      <c r="M1179">
        <v>511</v>
      </c>
      <c r="N1179" t="s">
        <v>2698</v>
      </c>
    </row>
    <row r="1180" spans="1:14" x14ac:dyDescent="0.25">
      <c r="A1180">
        <v>8592015</v>
      </c>
      <c r="B1180" t="s">
        <v>2699</v>
      </c>
      <c r="C1180" t="s">
        <v>242</v>
      </c>
      <c r="D1180" t="s">
        <v>86</v>
      </c>
      <c r="E1180" t="s">
        <v>87</v>
      </c>
      <c r="F1180" t="s">
        <v>52</v>
      </c>
      <c r="G1180">
        <v>5586</v>
      </c>
      <c r="H1180" t="s">
        <v>2700</v>
      </c>
      <c r="I1180" t="s">
        <v>243</v>
      </c>
      <c r="K1180">
        <v>2543109</v>
      </c>
      <c r="L1180">
        <v>1156627</v>
      </c>
      <c r="M1180">
        <v>866</v>
      </c>
      <c r="N1180" t="s">
        <v>2701</v>
      </c>
    </row>
    <row r="1181" spans="1:14" x14ac:dyDescent="0.25">
      <c r="A1181">
        <v>8592055</v>
      </c>
      <c r="B1181" t="s">
        <v>2702</v>
      </c>
      <c r="C1181" t="s">
        <v>242</v>
      </c>
      <c r="D1181" t="s">
        <v>86</v>
      </c>
      <c r="E1181" t="s">
        <v>87</v>
      </c>
      <c r="F1181" t="s">
        <v>52</v>
      </c>
      <c r="G1181">
        <v>5586</v>
      </c>
      <c r="H1181" t="s">
        <v>52</v>
      </c>
      <c r="I1181" t="s">
        <v>243</v>
      </c>
      <c r="K1181">
        <v>2538222</v>
      </c>
      <c r="L1181">
        <v>1154770</v>
      </c>
      <c r="M1181">
        <v>616</v>
      </c>
      <c r="N1181" t="s">
        <v>2703</v>
      </c>
    </row>
    <row r="1182" spans="1:14" x14ac:dyDescent="0.25">
      <c r="A1182">
        <v>8592053</v>
      </c>
      <c r="B1182" t="s">
        <v>2704</v>
      </c>
      <c r="C1182" t="s">
        <v>242</v>
      </c>
      <c r="D1182" t="s">
        <v>86</v>
      </c>
      <c r="E1182" t="s">
        <v>87</v>
      </c>
      <c r="F1182" t="s">
        <v>52</v>
      </c>
      <c r="G1182">
        <v>5586</v>
      </c>
      <c r="H1182" t="s">
        <v>52</v>
      </c>
      <c r="I1182" t="s">
        <v>243</v>
      </c>
      <c r="K1182">
        <v>2538097</v>
      </c>
      <c r="L1182">
        <v>1153502</v>
      </c>
      <c r="M1182">
        <v>570</v>
      </c>
      <c r="N1182" t="s">
        <v>2705</v>
      </c>
    </row>
    <row r="1183" spans="1:14" x14ac:dyDescent="0.25">
      <c r="A1183">
        <v>8592003</v>
      </c>
      <c r="B1183" t="s">
        <v>2706</v>
      </c>
      <c r="C1183" t="s">
        <v>242</v>
      </c>
      <c r="D1183" t="s">
        <v>86</v>
      </c>
      <c r="E1183" t="s">
        <v>87</v>
      </c>
      <c r="F1183" t="s">
        <v>52</v>
      </c>
      <c r="G1183">
        <v>5586</v>
      </c>
      <c r="H1183" t="s">
        <v>52</v>
      </c>
      <c r="I1183" t="s">
        <v>243</v>
      </c>
      <c r="K1183">
        <v>2537827</v>
      </c>
      <c r="L1183">
        <v>1153699</v>
      </c>
      <c r="M1183">
        <v>570</v>
      </c>
      <c r="N1183" t="s">
        <v>2707</v>
      </c>
    </row>
    <row r="1184" spans="1:14" x14ac:dyDescent="0.25">
      <c r="A1184">
        <v>8592058</v>
      </c>
      <c r="B1184" t="s">
        <v>2708</v>
      </c>
      <c r="C1184" t="s">
        <v>242</v>
      </c>
      <c r="D1184" t="s">
        <v>86</v>
      </c>
      <c r="E1184" t="s">
        <v>87</v>
      </c>
      <c r="F1184" t="s">
        <v>52</v>
      </c>
      <c r="G1184">
        <v>5586</v>
      </c>
      <c r="H1184" t="s">
        <v>2597</v>
      </c>
      <c r="I1184" t="s">
        <v>243</v>
      </c>
      <c r="K1184">
        <v>2542181</v>
      </c>
      <c r="L1184">
        <v>1155116</v>
      </c>
      <c r="M1184">
        <v>792</v>
      </c>
      <c r="N1184" t="s">
        <v>2709</v>
      </c>
    </row>
    <row r="1185" spans="1:14" x14ac:dyDescent="0.25">
      <c r="A1185">
        <v>8592063</v>
      </c>
      <c r="B1185" t="s">
        <v>2710</v>
      </c>
      <c r="C1185" t="s">
        <v>242</v>
      </c>
      <c r="D1185" t="s">
        <v>86</v>
      </c>
      <c r="E1185" t="s">
        <v>87</v>
      </c>
      <c r="F1185" t="s">
        <v>52</v>
      </c>
      <c r="G1185">
        <v>5586</v>
      </c>
      <c r="H1185" t="s">
        <v>52</v>
      </c>
      <c r="I1185" t="s">
        <v>243</v>
      </c>
      <c r="K1185">
        <v>2538663</v>
      </c>
      <c r="L1185">
        <v>1154391</v>
      </c>
      <c r="M1185">
        <v>663</v>
      </c>
      <c r="N1185" t="s">
        <v>2711</v>
      </c>
    </row>
    <row r="1186" spans="1:14" x14ac:dyDescent="0.25">
      <c r="A1186">
        <v>8592047</v>
      </c>
      <c r="B1186" t="s">
        <v>2712</v>
      </c>
      <c r="C1186" t="s">
        <v>242</v>
      </c>
      <c r="D1186" t="s">
        <v>86</v>
      </c>
      <c r="E1186" t="s">
        <v>87</v>
      </c>
      <c r="F1186" t="s">
        <v>52</v>
      </c>
      <c r="G1186">
        <v>5586</v>
      </c>
      <c r="H1186" t="s">
        <v>52</v>
      </c>
      <c r="I1186" t="s">
        <v>243</v>
      </c>
      <c r="K1186">
        <v>2538223</v>
      </c>
      <c r="L1186">
        <v>1154124</v>
      </c>
      <c r="M1186">
        <v>594</v>
      </c>
      <c r="N1186" t="s">
        <v>2713</v>
      </c>
    </row>
    <row r="1187" spans="1:14" x14ac:dyDescent="0.25">
      <c r="A1187">
        <v>8592026</v>
      </c>
      <c r="B1187" t="s">
        <v>2714</v>
      </c>
      <c r="C1187" t="s">
        <v>242</v>
      </c>
      <c r="D1187" t="s">
        <v>86</v>
      </c>
      <c r="E1187" t="s">
        <v>87</v>
      </c>
      <c r="F1187" t="s">
        <v>52</v>
      </c>
      <c r="G1187">
        <v>5586</v>
      </c>
      <c r="H1187" t="s">
        <v>52</v>
      </c>
      <c r="I1187" t="s">
        <v>243</v>
      </c>
      <c r="K1187">
        <v>2537907</v>
      </c>
      <c r="L1187">
        <v>1151513</v>
      </c>
      <c r="M1187">
        <v>412</v>
      </c>
      <c r="N1187" t="s">
        <v>2715</v>
      </c>
    </row>
    <row r="1188" spans="1:14" x14ac:dyDescent="0.25">
      <c r="A1188">
        <v>8592046</v>
      </c>
      <c r="B1188" t="s">
        <v>2716</v>
      </c>
      <c r="C1188" t="s">
        <v>242</v>
      </c>
      <c r="D1188" t="s">
        <v>86</v>
      </c>
      <c r="E1188" t="s">
        <v>87</v>
      </c>
      <c r="F1188" t="s">
        <v>52</v>
      </c>
      <c r="G1188">
        <v>5586</v>
      </c>
      <c r="H1188" t="s">
        <v>52</v>
      </c>
      <c r="I1188" t="s">
        <v>243</v>
      </c>
      <c r="K1188">
        <v>2537089</v>
      </c>
      <c r="L1188">
        <v>1152040</v>
      </c>
      <c r="M1188">
        <v>423</v>
      </c>
      <c r="N1188" t="s">
        <v>2717</v>
      </c>
    </row>
    <row r="1189" spans="1:14" x14ac:dyDescent="0.25">
      <c r="A1189">
        <v>8592025</v>
      </c>
      <c r="B1189" t="s">
        <v>2718</v>
      </c>
      <c r="C1189" t="s">
        <v>242</v>
      </c>
      <c r="D1189" t="s">
        <v>86</v>
      </c>
      <c r="E1189" t="s">
        <v>87</v>
      </c>
      <c r="F1189" t="s">
        <v>52</v>
      </c>
      <c r="G1189">
        <v>5586</v>
      </c>
      <c r="H1189" t="s">
        <v>52</v>
      </c>
      <c r="I1189" t="s">
        <v>243</v>
      </c>
      <c r="K1189">
        <v>2540203</v>
      </c>
      <c r="L1189">
        <v>1153643</v>
      </c>
      <c r="M1189">
        <v>644</v>
      </c>
      <c r="N1189" t="s">
        <v>2719</v>
      </c>
    </row>
    <row r="1190" spans="1:14" x14ac:dyDescent="0.25">
      <c r="A1190">
        <v>8592045</v>
      </c>
      <c r="B1190" t="s">
        <v>2720</v>
      </c>
      <c r="C1190" t="s">
        <v>242</v>
      </c>
      <c r="D1190" t="s">
        <v>86</v>
      </c>
      <c r="E1190" t="s">
        <v>87</v>
      </c>
      <c r="F1190" t="s">
        <v>52</v>
      </c>
      <c r="G1190">
        <v>5586</v>
      </c>
      <c r="H1190" t="s">
        <v>52</v>
      </c>
      <c r="I1190" t="s">
        <v>243</v>
      </c>
      <c r="K1190">
        <v>2539378</v>
      </c>
      <c r="L1190">
        <v>1152066</v>
      </c>
      <c r="M1190">
        <v>518</v>
      </c>
      <c r="N1190" t="s">
        <v>2721</v>
      </c>
    </row>
    <row r="1191" spans="1:14" x14ac:dyDescent="0.25">
      <c r="A1191">
        <v>8592067</v>
      </c>
      <c r="B1191" t="s">
        <v>2722</v>
      </c>
      <c r="C1191" t="s">
        <v>242</v>
      </c>
      <c r="D1191" t="s">
        <v>86</v>
      </c>
      <c r="E1191" t="s">
        <v>87</v>
      </c>
      <c r="F1191" t="s">
        <v>52</v>
      </c>
      <c r="G1191">
        <v>5586</v>
      </c>
      <c r="H1191" t="s">
        <v>52</v>
      </c>
      <c r="I1191" t="s">
        <v>243</v>
      </c>
      <c r="K1191">
        <v>2538539</v>
      </c>
      <c r="L1191">
        <v>1153774</v>
      </c>
      <c r="M1191">
        <v>618</v>
      </c>
      <c r="N1191" t="s">
        <v>2723</v>
      </c>
    </row>
    <row r="1192" spans="1:14" x14ac:dyDescent="0.25">
      <c r="A1192">
        <v>8592068</v>
      </c>
      <c r="B1192" t="s">
        <v>2724</v>
      </c>
      <c r="C1192" t="s">
        <v>242</v>
      </c>
      <c r="D1192" t="s">
        <v>86</v>
      </c>
      <c r="E1192" t="s">
        <v>87</v>
      </c>
      <c r="F1192" t="s">
        <v>52</v>
      </c>
      <c r="G1192">
        <v>5586</v>
      </c>
      <c r="H1192" t="s">
        <v>52</v>
      </c>
      <c r="I1192" t="s">
        <v>243</v>
      </c>
      <c r="K1192">
        <v>2536058.5091300001</v>
      </c>
      <c r="L1192">
        <v>1152132.3907600001</v>
      </c>
      <c r="M1192">
        <v>389</v>
      </c>
      <c r="N1192" t="s">
        <v>2725</v>
      </c>
    </row>
    <row r="1193" spans="1:14" x14ac:dyDescent="0.25">
      <c r="A1193">
        <v>8592090</v>
      </c>
      <c r="B1193" t="s">
        <v>2726</v>
      </c>
      <c r="C1193" t="s">
        <v>242</v>
      </c>
      <c r="D1193" t="s">
        <v>86</v>
      </c>
      <c r="E1193" t="s">
        <v>87</v>
      </c>
      <c r="F1193" t="s">
        <v>52</v>
      </c>
      <c r="G1193">
        <v>5586</v>
      </c>
      <c r="H1193" t="s">
        <v>52</v>
      </c>
      <c r="I1193" t="s">
        <v>243</v>
      </c>
      <c r="K1193">
        <v>2537175</v>
      </c>
      <c r="L1193">
        <v>1151272</v>
      </c>
      <c r="M1193">
        <v>377</v>
      </c>
      <c r="N1193" t="s">
        <v>2727</v>
      </c>
    </row>
    <row r="1194" spans="1:14" x14ac:dyDescent="0.25">
      <c r="A1194">
        <v>8592074</v>
      </c>
      <c r="B1194" t="s">
        <v>2728</v>
      </c>
      <c r="C1194" t="s">
        <v>242</v>
      </c>
      <c r="D1194" t="s">
        <v>86</v>
      </c>
      <c r="E1194" t="s">
        <v>87</v>
      </c>
      <c r="F1194" t="s">
        <v>52</v>
      </c>
      <c r="G1194">
        <v>5586</v>
      </c>
      <c r="H1194" t="s">
        <v>52</v>
      </c>
      <c r="I1194" t="s">
        <v>243</v>
      </c>
      <c r="K1194">
        <v>2538798</v>
      </c>
      <c r="L1194">
        <v>1152258</v>
      </c>
      <c r="M1194">
        <v>507</v>
      </c>
      <c r="N1194" t="s">
        <v>2729</v>
      </c>
    </row>
    <row r="1195" spans="1:14" x14ac:dyDescent="0.25">
      <c r="A1195">
        <v>8592110</v>
      </c>
      <c r="B1195" t="s">
        <v>2730</v>
      </c>
      <c r="C1195" t="s">
        <v>242</v>
      </c>
      <c r="D1195" t="s">
        <v>86</v>
      </c>
      <c r="E1195" t="s">
        <v>87</v>
      </c>
      <c r="F1195" t="s">
        <v>52</v>
      </c>
      <c r="G1195">
        <v>5586</v>
      </c>
      <c r="H1195" t="s">
        <v>52</v>
      </c>
      <c r="I1195" t="s">
        <v>243</v>
      </c>
      <c r="K1195">
        <v>2536871</v>
      </c>
      <c r="L1195">
        <v>1151918</v>
      </c>
      <c r="M1195">
        <v>412</v>
      </c>
      <c r="N1195" t="s">
        <v>2731</v>
      </c>
    </row>
    <row r="1196" spans="1:14" x14ac:dyDescent="0.25">
      <c r="A1196">
        <v>8592125</v>
      </c>
      <c r="B1196" t="s">
        <v>2732</v>
      </c>
      <c r="C1196" t="s">
        <v>242</v>
      </c>
      <c r="D1196" t="s">
        <v>86</v>
      </c>
      <c r="E1196" t="s">
        <v>87</v>
      </c>
      <c r="F1196" t="s">
        <v>52</v>
      </c>
      <c r="G1196">
        <v>5586</v>
      </c>
      <c r="H1196" t="s">
        <v>52</v>
      </c>
      <c r="I1196" t="s">
        <v>243</v>
      </c>
      <c r="K1196">
        <v>2538052</v>
      </c>
      <c r="L1196">
        <v>1152903</v>
      </c>
      <c r="M1196">
        <v>517</v>
      </c>
      <c r="N1196" t="s">
        <v>2733</v>
      </c>
    </row>
    <row r="1197" spans="1:14" x14ac:dyDescent="0.25">
      <c r="A1197">
        <v>8592109</v>
      </c>
      <c r="B1197" t="s">
        <v>2734</v>
      </c>
      <c r="C1197" t="s">
        <v>242</v>
      </c>
      <c r="D1197" t="s">
        <v>86</v>
      </c>
      <c r="E1197" t="s">
        <v>87</v>
      </c>
      <c r="F1197" t="s">
        <v>52</v>
      </c>
      <c r="G1197">
        <v>5586</v>
      </c>
      <c r="H1197" t="s">
        <v>52</v>
      </c>
      <c r="I1197" t="s">
        <v>243</v>
      </c>
      <c r="K1197">
        <v>2537035</v>
      </c>
      <c r="L1197">
        <v>1153025</v>
      </c>
      <c r="M1197">
        <v>478</v>
      </c>
      <c r="N1197" t="s">
        <v>2735</v>
      </c>
    </row>
    <row r="1198" spans="1:14" x14ac:dyDescent="0.25">
      <c r="A1198">
        <v>8592079</v>
      </c>
      <c r="B1198" t="s">
        <v>2736</v>
      </c>
      <c r="C1198" t="s">
        <v>242</v>
      </c>
      <c r="D1198" t="s">
        <v>86</v>
      </c>
      <c r="E1198" t="s">
        <v>87</v>
      </c>
      <c r="F1198" t="s">
        <v>52</v>
      </c>
      <c r="G1198">
        <v>5586</v>
      </c>
      <c r="H1198" t="s">
        <v>52</v>
      </c>
      <c r="I1198" t="s">
        <v>243</v>
      </c>
      <c r="K1198">
        <v>2538079</v>
      </c>
      <c r="L1198">
        <v>1151784</v>
      </c>
      <c r="M1198">
        <v>432</v>
      </c>
      <c r="N1198" t="s">
        <v>2737</v>
      </c>
    </row>
    <row r="1199" spans="1:14" x14ac:dyDescent="0.25">
      <c r="A1199">
        <v>8592112</v>
      </c>
      <c r="B1199" t="s">
        <v>2738</v>
      </c>
      <c r="C1199" t="s">
        <v>242</v>
      </c>
      <c r="D1199" t="s">
        <v>86</v>
      </c>
      <c r="E1199" t="s">
        <v>87</v>
      </c>
      <c r="F1199" t="s">
        <v>52</v>
      </c>
      <c r="G1199">
        <v>5586</v>
      </c>
      <c r="H1199" t="s">
        <v>52</v>
      </c>
      <c r="I1199" t="s">
        <v>243</v>
      </c>
      <c r="K1199">
        <v>2539917</v>
      </c>
      <c r="L1199">
        <v>1153367</v>
      </c>
      <c r="M1199">
        <v>609</v>
      </c>
      <c r="N1199" t="s">
        <v>2739</v>
      </c>
    </row>
    <row r="1200" spans="1:14" x14ac:dyDescent="0.25">
      <c r="A1200">
        <v>8592099</v>
      </c>
      <c r="B1200" t="s">
        <v>2740</v>
      </c>
      <c r="C1200" t="s">
        <v>242</v>
      </c>
      <c r="D1200" t="s">
        <v>86</v>
      </c>
      <c r="E1200" t="s">
        <v>87</v>
      </c>
      <c r="F1200" t="s">
        <v>52</v>
      </c>
      <c r="G1200">
        <v>5586</v>
      </c>
      <c r="H1200" t="s">
        <v>52</v>
      </c>
      <c r="I1200" t="s">
        <v>243</v>
      </c>
      <c r="K1200">
        <v>2539407</v>
      </c>
      <c r="L1200">
        <v>1154224</v>
      </c>
      <c r="M1200">
        <v>640</v>
      </c>
      <c r="N1200" t="s">
        <v>2741</v>
      </c>
    </row>
    <row r="1201" spans="1:14" x14ac:dyDescent="0.25">
      <c r="A1201">
        <v>8592117</v>
      </c>
      <c r="B1201" t="s">
        <v>2742</v>
      </c>
      <c r="C1201" t="s">
        <v>94</v>
      </c>
      <c r="D1201" t="s">
        <v>86</v>
      </c>
      <c r="E1201" t="s">
        <v>87</v>
      </c>
      <c r="F1201" t="s">
        <v>52</v>
      </c>
      <c r="G1201">
        <v>5586</v>
      </c>
      <c r="H1201" t="s">
        <v>2600</v>
      </c>
      <c r="I1201" t="s">
        <v>96</v>
      </c>
      <c r="K1201">
        <v>2544036</v>
      </c>
      <c r="L1201">
        <v>1158005</v>
      </c>
      <c r="M1201">
        <v>850</v>
      </c>
      <c r="N1201" t="s">
        <v>2743</v>
      </c>
    </row>
    <row r="1202" spans="1:14" x14ac:dyDescent="0.25">
      <c r="A1202">
        <v>8592102</v>
      </c>
      <c r="B1202" t="s">
        <v>2744</v>
      </c>
      <c r="C1202" t="s">
        <v>242</v>
      </c>
      <c r="D1202" t="s">
        <v>86</v>
      </c>
      <c r="E1202" t="s">
        <v>87</v>
      </c>
      <c r="F1202" t="s">
        <v>52</v>
      </c>
      <c r="G1202">
        <v>5586</v>
      </c>
      <c r="H1202" t="s">
        <v>52</v>
      </c>
      <c r="I1202" t="s">
        <v>243</v>
      </c>
      <c r="K1202">
        <v>2536612</v>
      </c>
      <c r="L1202">
        <v>1153116</v>
      </c>
      <c r="M1202">
        <v>454</v>
      </c>
      <c r="N1202" t="s">
        <v>2745</v>
      </c>
    </row>
    <row r="1203" spans="1:14" x14ac:dyDescent="0.25">
      <c r="A1203">
        <v>8592121</v>
      </c>
      <c r="B1203" t="s">
        <v>2746</v>
      </c>
      <c r="C1203" t="s">
        <v>242</v>
      </c>
      <c r="D1203" t="s">
        <v>86</v>
      </c>
      <c r="E1203" t="s">
        <v>87</v>
      </c>
      <c r="F1203" t="s">
        <v>52</v>
      </c>
      <c r="G1203">
        <v>5586</v>
      </c>
      <c r="H1203" t="s">
        <v>52</v>
      </c>
      <c r="I1203" t="s">
        <v>243</v>
      </c>
      <c r="K1203">
        <v>2536530</v>
      </c>
      <c r="L1203">
        <v>1151767</v>
      </c>
      <c r="M1203">
        <v>381</v>
      </c>
      <c r="N1203" t="s">
        <v>2747</v>
      </c>
    </row>
    <row r="1204" spans="1:14" x14ac:dyDescent="0.25">
      <c r="A1204">
        <v>8592101</v>
      </c>
      <c r="B1204" t="s">
        <v>2748</v>
      </c>
      <c r="C1204" t="s">
        <v>242</v>
      </c>
      <c r="D1204" t="s">
        <v>86</v>
      </c>
      <c r="E1204" t="s">
        <v>87</v>
      </c>
      <c r="F1204" t="s">
        <v>52</v>
      </c>
      <c r="G1204">
        <v>5586</v>
      </c>
      <c r="H1204" t="s">
        <v>52</v>
      </c>
      <c r="I1204" t="s">
        <v>243</v>
      </c>
      <c r="K1204">
        <v>2540808</v>
      </c>
      <c r="L1204">
        <v>1154324</v>
      </c>
      <c r="M1204">
        <v>695</v>
      </c>
      <c r="N1204" t="s">
        <v>2749</v>
      </c>
    </row>
    <row r="1205" spans="1:14" x14ac:dyDescent="0.25">
      <c r="A1205">
        <v>8592100</v>
      </c>
      <c r="B1205" t="s">
        <v>2750</v>
      </c>
      <c r="C1205" t="s">
        <v>242</v>
      </c>
      <c r="D1205" t="s">
        <v>86</v>
      </c>
      <c r="E1205" t="s">
        <v>87</v>
      </c>
      <c r="F1205" t="s">
        <v>52</v>
      </c>
      <c r="G1205">
        <v>5586</v>
      </c>
      <c r="H1205" t="s">
        <v>2700</v>
      </c>
      <c r="I1205" t="s">
        <v>243</v>
      </c>
      <c r="K1205">
        <v>2543078</v>
      </c>
      <c r="L1205">
        <v>1156812</v>
      </c>
      <c r="M1205">
        <v>873</v>
      </c>
      <c r="N1205" t="s">
        <v>2751</v>
      </c>
    </row>
    <row r="1206" spans="1:14" x14ac:dyDescent="0.25">
      <c r="A1206">
        <v>8592085</v>
      </c>
      <c r="B1206" t="s">
        <v>2752</v>
      </c>
      <c r="C1206" t="s">
        <v>242</v>
      </c>
      <c r="D1206" t="s">
        <v>86</v>
      </c>
      <c r="E1206" t="s">
        <v>87</v>
      </c>
      <c r="F1206" t="s">
        <v>52</v>
      </c>
      <c r="G1206">
        <v>5586</v>
      </c>
      <c r="H1206" t="s">
        <v>52</v>
      </c>
      <c r="I1206" t="s">
        <v>243</v>
      </c>
      <c r="K1206">
        <v>2537925</v>
      </c>
      <c r="L1206">
        <v>1153626</v>
      </c>
      <c r="M1206">
        <v>560</v>
      </c>
      <c r="N1206" t="s">
        <v>2753</v>
      </c>
    </row>
    <row r="1207" spans="1:14" x14ac:dyDescent="0.25">
      <c r="A1207">
        <v>8592107</v>
      </c>
      <c r="B1207" t="s">
        <v>2754</v>
      </c>
      <c r="C1207" t="s">
        <v>242</v>
      </c>
      <c r="D1207" t="s">
        <v>86</v>
      </c>
      <c r="E1207" t="s">
        <v>87</v>
      </c>
      <c r="F1207" t="s">
        <v>52</v>
      </c>
      <c r="G1207">
        <v>5586</v>
      </c>
      <c r="H1207" t="s">
        <v>52</v>
      </c>
      <c r="I1207" t="s">
        <v>243</v>
      </c>
      <c r="K1207">
        <v>2536602</v>
      </c>
      <c r="L1207">
        <v>1154252</v>
      </c>
      <c r="M1207">
        <v>534</v>
      </c>
      <c r="N1207" t="s">
        <v>2755</v>
      </c>
    </row>
    <row r="1208" spans="1:14" x14ac:dyDescent="0.25">
      <c r="A1208">
        <v>8591943</v>
      </c>
      <c r="B1208" t="s">
        <v>2756</v>
      </c>
      <c r="C1208" t="s">
        <v>242</v>
      </c>
      <c r="D1208" t="s">
        <v>86</v>
      </c>
      <c r="E1208" t="s">
        <v>87</v>
      </c>
      <c r="F1208" t="s">
        <v>52</v>
      </c>
      <c r="G1208">
        <v>5586</v>
      </c>
      <c r="H1208" t="s">
        <v>1546</v>
      </c>
      <c r="I1208" t="s">
        <v>243</v>
      </c>
      <c r="J1208" t="s">
        <v>2757</v>
      </c>
      <c r="K1208">
        <v>2539412</v>
      </c>
      <c r="L1208">
        <v>1160294</v>
      </c>
      <c r="M1208">
        <v>698</v>
      </c>
      <c r="N1208" t="s">
        <v>2758</v>
      </c>
    </row>
    <row r="1209" spans="1:14" x14ac:dyDescent="0.25">
      <c r="A1209">
        <v>8591989</v>
      </c>
      <c r="B1209" t="s">
        <v>2759</v>
      </c>
      <c r="C1209" t="s">
        <v>242</v>
      </c>
      <c r="D1209" t="s">
        <v>86</v>
      </c>
      <c r="E1209" t="s">
        <v>87</v>
      </c>
      <c r="F1209" t="s">
        <v>52</v>
      </c>
      <c r="G1209">
        <v>5586</v>
      </c>
      <c r="H1209" t="s">
        <v>52</v>
      </c>
      <c r="I1209" t="s">
        <v>243</v>
      </c>
      <c r="K1209">
        <v>2536967</v>
      </c>
      <c r="L1209">
        <v>1151471</v>
      </c>
      <c r="M1209">
        <v>377</v>
      </c>
      <c r="N1209" t="s">
        <v>2760</v>
      </c>
    </row>
    <row r="1210" spans="1:14" x14ac:dyDescent="0.25">
      <c r="A1210">
        <v>8591980</v>
      </c>
      <c r="B1210" t="s">
        <v>2761</v>
      </c>
      <c r="C1210" t="s">
        <v>242</v>
      </c>
      <c r="D1210" t="s">
        <v>86</v>
      </c>
      <c r="E1210" t="s">
        <v>87</v>
      </c>
      <c r="F1210" t="s">
        <v>52</v>
      </c>
      <c r="G1210">
        <v>5586</v>
      </c>
      <c r="H1210" t="s">
        <v>52</v>
      </c>
      <c r="I1210" t="s">
        <v>243</v>
      </c>
      <c r="K1210">
        <v>2537134</v>
      </c>
      <c r="L1210">
        <v>1153225</v>
      </c>
      <c r="M1210">
        <v>511</v>
      </c>
      <c r="N1210" t="s">
        <v>2762</v>
      </c>
    </row>
    <row r="1211" spans="1:14" x14ac:dyDescent="0.25">
      <c r="A1211">
        <v>8591987</v>
      </c>
      <c r="B1211" t="s">
        <v>2763</v>
      </c>
      <c r="C1211" t="s">
        <v>242</v>
      </c>
      <c r="D1211" t="s">
        <v>86</v>
      </c>
      <c r="E1211" t="s">
        <v>87</v>
      </c>
      <c r="F1211" t="s">
        <v>52</v>
      </c>
      <c r="G1211">
        <v>5586</v>
      </c>
      <c r="H1211" t="s">
        <v>52</v>
      </c>
      <c r="I1211" t="s">
        <v>243</v>
      </c>
      <c r="K1211">
        <v>2537255</v>
      </c>
      <c r="L1211">
        <v>1154063</v>
      </c>
      <c r="M1211">
        <v>593</v>
      </c>
      <c r="N1211" t="s">
        <v>2764</v>
      </c>
    </row>
    <row r="1212" spans="1:14" x14ac:dyDescent="0.25">
      <c r="A1212">
        <v>8591998</v>
      </c>
      <c r="B1212" t="s">
        <v>2765</v>
      </c>
      <c r="C1212" t="s">
        <v>242</v>
      </c>
      <c r="D1212" t="s">
        <v>86</v>
      </c>
      <c r="E1212" t="s">
        <v>87</v>
      </c>
      <c r="F1212" t="s">
        <v>52</v>
      </c>
      <c r="G1212">
        <v>5586</v>
      </c>
      <c r="H1212" t="s">
        <v>52</v>
      </c>
      <c r="I1212" t="s">
        <v>243</v>
      </c>
      <c r="K1212">
        <v>2537151</v>
      </c>
      <c r="L1212">
        <v>1153864</v>
      </c>
      <c r="M1212">
        <v>570</v>
      </c>
      <c r="N1212" t="s">
        <v>2766</v>
      </c>
    </row>
    <row r="1213" spans="1:14" x14ac:dyDescent="0.25">
      <c r="A1213">
        <v>8591996</v>
      </c>
      <c r="B1213" t="s">
        <v>2767</v>
      </c>
      <c r="C1213" t="s">
        <v>242</v>
      </c>
      <c r="D1213" t="s">
        <v>86</v>
      </c>
      <c r="E1213" t="s">
        <v>87</v>
      </c>
      <c r="F1213" t="s">
        <v>52</v>
      </c>
      <c r="G1213">
        <v>5586</v>
      </c>
      <c r="H1213" t="s">
        <v>52</v>
      </c>
      <c r="I1213" t="s">
        <v>243</v>
      </c>
      <c r="K1213">
        <v>2537375</v>
      </c>
      <c r="L1213">
        <v>1154479</v>
      </c>
      <c r="M1213">
        <v>606</v>
      </c>
      <c r="N1213" t="s">
        <v>2768</v>
      </c>
    </row>
    <row r="1214" spans="1:14" x14ac:dyDescent="0.25">
      <c r="A1214">
        <v>8592135</v>
      </c>
      <c r="B1214" t="s">
        <v>2769</v>
      </c>
      <c r="C1214" t="s">
        <v>242</v>
      </c>
      <c r="D1214" t="s">
        <v>86</v>
      </c>
      <c r="E1214" t="s">
        <v>87</v>
      </c>
      <c r="F1214" t="s">
        <v>52</v>
      </c>
      <c r="G1214">
        <v>5586</v>
      </c>
      <c r="H1214" t="s">
        <v>52</v>
      </c>
      <c r="I1214" t="s">
        <v>243</v>
      </c>
      <c r="K1214">
        <v>2537854</v>
      </c>
      <c r="L1214">
        <v>1153111</v>
      </c>
      <c r="M1214">
        <v>528</v>
      </c>
      <c r="N1214" t="s">
        <v>2770</v>
      </c>
    </row>
    <row r="1215" spans="1:14" x14ac:dyDescent="0.25">
      <c r="A1215">
        <v>8592051</v>
      </c>
      <c r="B1215" t="s">
        <v>2771</v>
      </c>
      <c r="C1215" t="s">
        <v>242</v>
      </c>
      <c r="D1215" t="s">
        <v>86</v>
      </c>
      <c r="E1215" t="s">
        <v>87</v>
      </c>
      <c r="F1215" t="s">
        <v>52</v>
      </c>
      <c r="G1215">
        <v>5586</v>
      </c>
      <c r="H1215" t="s">
        <v>52</v>
      </c>
      <c r="I1215" t="s">
        <v>243</v>
      </c>
      <c r="K1215">
        <v>2538569</v>
      </c>
      <c r="L1215">
        <v>1152150</v>
      </c>
      <c r="M1215">
        <v>480</v>
      </c>
      <c r="N1215" t="s">
        <v>2772</v>
      </c>
    </row>
    <row r="1216" spans="1:14" x14ac:dyDescent="0.25">
      <c r="A1216">
        <v>8592030</v>
      </c>
      <c r="B1216" t="s">
        <v>2773</v>
      </c>
      <c r="C1216" t="s">
        <v>242</v>
      </c>
      <c r="D1216" t="s">
        <v>86</v>
      </c>
      <c r="E1216" t="s">
        <v>87</v>
      </c>
      <c r="F1216" t="s">
        <v>52</v>
      </c>
      <c r="G1216">
        <v>5586</v>
      </c>
      <c r="H1216" t="s">
        <v>52</v>
      </c>
      <c r="I1216" t="s">
        <v>243</v>
      </c>
      <c r="K1216">
        <v>2536617</v>
      </c>
      <c r="L1216">
        <v>1154621</v>
      </c>
      <c r="M1216">
        <v>562</v>
      </c>
      <c r="N1216" t="s">
        <v>2774</v>
      </c>
    </row>
    <row r="1217" spans="1:14" x14ac:dyDescent="0.25">
      <c r="A1217">
        <v>8592050</v>
      </c>
      <c r="B1217" t="s">
        <v>2775</v>
      </c>
      <c r="C1217" t="s">
        <v>242</v>
      </c>
      <c r="D1217" t="s">
        <v>1125</v>
      </c>
      <c r="E1217" t="s">
        <v>87</v>
      </c>
      <c r="F1217" t="s">
        <v>52</v>
      </c>
      <c r="G1217">
        <v>5586</v>
      </c>
      <c r="H1217" t="s">
        <v>52</v>
      </c>
      <c r="I1217" t="s">
        <v>243</v>
      </c>
      <c r="K1217">
        <v>2537919</v>
      </c>
      <c r="L1217">
        <v>1152132</v>
      </c>
      <c r="M1217">
        <v>455</v>
      </c>
      <c r="N1217" t="s">
        <v>2776</v>
      </c>
    </row>
    <row r="1218" spans="1:14" x14ac:dyDescent="0.25">
      <c r="A1218">
        <v>8592048</v>
      </c>
      <c r="B1218" t="s">
        <v>2777</v>
      </c>
      <c r="C1218" t="s">
        <v>242</v>
      </c>
      <c r="D1218" t="s">
        <v>1125</v>
      </c>
      <c r="E1218" t="s">
        <v>87</v>
      </c>
      <c r="F1218" t="s">
        <v>52</v>
      </c>
      <c r="G1218">
        <v>5586</v>
      </c>
      <c r="H1218" t="s">
        <v>52</v>
      </c>
      <c r="I1218" t="s">
        <v>243</v>
      </c>
      <c r="K1218">
        <v>2539585</v>
      </c>
      <c r="L1218">
        <v>1154473</v>
      </c>
      <c r="M1218">
        <v>659</v>
      </c>
      <c r="N1218" t="s">
        <v>2778</v>
      </c>
    </row>
    <row r="1219" spans="1:14" x14ac:dyDescent="0.25">
      <c r="A1219">
        <v>8592088</v>
      </c>
      <c r="B1219" t="s">
        <v>2779</v>
      </c>
      <c r="C1219" t="s">
        <v>242</v>
      </c>
      <c r="D1219" t="s">
        <v>86</v>
      </c>
      <c r="E1219" t="s">
        <v>87</v>
      </c>
      <c r="F1219" t="s">
        <v>52</v>
      </c>
      <c r="G1219">
        <v>5586</v>
      </c>
      <c r="H1219" t="s">
        <v>52</v>
      </c>
      <c r="I1219" t="s">
        <v>243</v>
      </c>
      <c r="K1219">
        <v>2537488</v>
      </c>
      <c r="L1219">
        <v>1154184</v>
      </c>
      <c r="M1219">
        <v>604</v>
      </c>
      <c r="N1219" t="s">
        <v>2780</v>
      </c>
    </row>
    <row r="1220" spans="1:14" x14ac:dyDescent="0.25">
      <c r="A1220">
        <v>8592072</v>
      </c>
      <c r="B1220" t="s">
        <v>2781</v>
      </c>
      <c r="C1220" t="s">
        <v>242</v>
      </c>
      <c r="D1220" t="s">
        <v>86</v>
      </c>
      <c r="E1220" t="s">
        <v>87</v>
      </c>
      <c r="F1220" t="s">
        <v>52</v>
      </c>
      <c r="G1220">
        <v>5586</v>
      </c>
      <c r="H1220" t="s">
        <v>52</v>
      </c>
      <c r="I1220" t="s">
        <v>243</v>
      </c>
      <c r="K1220">
        <v>2538313</v>
      </c>
      <c r="L1220">
        <v>1152052</v>
      </c>
      <c r="M1220">
        <v>465</v>
      </c>
      <c r="N1220" t="s">
        <v>2782</v>
      </c>
    </row>
    <row r="1221" spans="1:14" x14ac:dyDescent="0.25">
      <c r="A1221">
        <v>8592094</v>
      </c>
      <c r="B1221" t="s">
        <v>2783</v>
      </c>
      <c r="C1221" t="s">
        <v>242</v>
      </c>
      <c r="D1221" t="s">
        <v>86</v>
      </c>
      <c r="E1221" t="s">
        <v>87</v>
      </c>
      <c r="F1221" t="s">
        <v>52</v>
      </c>
      <c r="G1221">
        <v>5586</v>
      </c>
      <c r="H1221" t="s">
        <v>52</v>
      </c>
      <c r="I1221" t="s">
        <v>243</v>
      </c>
      <c r="K1221">
        <v>2536943</v>
      </c>
      <c r="L1221">
        <v>1154041</v>
      </c>
      <c r="M1221">
        <v>575</v>
      </c>
      <c r="N1221" t="s">
        <v>2784</v>
      </c>
    </row>
    <row r="1222" spans="1:14" x14ac:dyDescent="0.25">
      <c r="A1222">
        <v>8592093</v>
      </c>
      <c r="B1222" t="s">
        <v>2785</v>
      </c>
      <c r="C1222" t="s">
        <v>242</v>
      </c>
      <c r="D1222" t="s">
        <v>86</v>
      </c>
      <c r="E1222" t="s">
        <v>87</v>
      </c>
      <c r="F1222" t="s">
        <v>52</v>
      </c>
      <c r="G1222">
        <v>5586</v>
      </c>
      <c r="H1222" t="s">
        <v>52</v>
      </c>
      <c r="I1222" t="s">
        <v>243</v>
      </c>
      <c r="K1222">
        <v>2538254.83091</v>
      </c>
      <c r="L1222">
        <v>1152722.3901800001</v>
      </c>
      <c r="M1222">
        <v>514</v>
      </c>
      <c r="N1222" t="s">
        <v>2786</v>
      </c>
    </row>
    <row r="1223" spans="1:14" x14ac:dyDescent="0.25">
      <c r="A1223">
        <v>8592097</v>
      </c>
      <c r="B1223" t="s">
        <v>2787</v>
      </c>
      <c r="C1223" t="s">
        <v>242</v>
      </c>
      <c r="D1223" t="s">
        <v>86</v>
      </c>
      <c r="E1223" t="s">
        <v>87</v>
      </c>
      <c r="F1223" t="s">
        <v>52</v>
      </c>
      <c r="G1223">
        <v>5586</v>
      </c>
      <c r="H1223" t="s">
        <v>52</v>
      </c>
      <c r="I1223" t="s">
        <v>243</v>
      </c>
      <c r="K1223">
        <v>2537034</v>
      </c>
      <c r="L1223">
        <v>1152301</v>
      </c>
      <c r="M1223">
        <v>451</v>
      </c>
      <c r="N1223" t="s">
        <v>2788</v>
      </c>
    </row>
    <row r="1224" spans="1:14" x14ac:dyDescent="0.25">
      <c r="A1224">
        <v>8592096</v>
      </c>
      <c r="B1224" t="s">
        <v>2789</v>
      </c>
      <c r="C1224" t="s">
        <v>242</v>
      </c>
      <c r="D1224" t="s">
        <v>86</v>
      </c>
      <c r="E1224" t="s">
        <v>87</v>
      </c>
      <c r="F1224" t="s">
        <v>52</v>
      </c>
      <c r="G1224">
        <v>5586</v>
      </c>
      <c r="H1224" t="s">
        <v>52</v>
      </c>
      <c r="I1224" t="s">
        <v>243</v>
      </c>
      <c r="K1224">
        <v>2537522</v>
      </c>
      <c r="L1224">
        <v>1152762</v>
      </c>
      <c r="M1224">
        <v>493</v>
      </c>
      <c r="N1224" t="s">
        <v>2790</v>
      </c>
    </row>
    <row r="1225" spans="1:14" x14ac:dyDescent="0.25">
      <c r="A1225">
        <v>8592116</v>
      </c>
      <c r="B1225" t="s">
        <v>2791</v>
      </c>
      <c r="C1225" t="s">
        <v>242</v>
      </c>
      <c r="D1225" t="s">
        <v>86</v>
      </c>
      <c r="E1225" t="s">
        <v>87</v>
      </c>
      <c r="F1225" t="s">
        <v>52</v>
      </c>
      <c r="G1225">
        <v>5586</v>
      </c>
      <c r="H1225" t="s">
        <v>52</v>
      </c>
      <c r="I1225" t="s">
        <v>243</v>
      </c>
      <c r="K1225">
        <v>2537662</v>
      </c>
      <c r="L1225">
        <v>1153939</v>
      </c>
      <c r="M1225">
        <v>593</v>
      </c>
      <c r="N1225" t="s">
        <v>2792</v>
      </c>
    </row>
    <row r="1226" spans="1:14" x14ac:dyDescent="0.25">
      <c r="A1226">
        <v>8592086</v>
      </c>
      <c r="B1226" t="s">
        <v>2793</v>
      </c>
      <c r="C1226" t="s">
        <v>242</v>
      </c>
      <c r="D1226" t="s">
        <v>1125</v>
      </c>
      <c r="E1226" t="s">
        <v>87</v>
      </c>
      <c r="F1226" t="s">
        <v>52</v>
      </c>
      <c r="G1226">
        <v>5586</v>
      </c>
      <c r="H1226" t="s">
        <v>52</v>
      </c>
      <c r="I1226" t="s">
        <v>243</v>
      </c>
      <c r="K1226">
        <v>2537676</v>
      </c>
      <c r="L1226">
        <v>1151008</v>
      </c>
      <c r="M1226">
        <v>377</v>
      </c>
      <c r="N1226" t="s">
        <v>2794</v>
      </c>
    </row>
    <row r="1227" spans="1:14" x14ac:dyDescent="0.25">
      <c r="A1227">
        <v>8592127</v>
      </c>
      <c r="B1227" t="s">
        <v>2795</v>
      </c>
      <c r="C1227" t="s">
        <v>242</v>
      </c>
      <c r="D1227" t="s">
        <v>86</v>
      </c>
      <c r="E1227" t="s">
        <v>87</v>
      </c>
      <c r="F1227" t="s">
        <v>52</v>
      </c>
      <c r="G1227">
        <v>5586</v>
      </c>
      <c r="H1227" t="s">
        <v>52</v>
      </c>
      <c r="I1227" t="s">
        <v>243</v>
      </c>
      <c r="K1227">
        <v>2539915.1621099999</v>
      </c>
      <c r="L1227">
        <v>1154072.1379499999</v>
      </c>
      <c r="M1227">
        <v>633</v>
      </c>
      <c r="N1227" t="s">
        <v>2796</v>
      </c>
    </row>
    <row r="1228" spans="1:14" x14ac:dyDescent="0.25">
      <c r="A1228">
        <v>8592106</v>
      </c>
      <c r="B1228" t="s">
        <v>2797</v>
      </c>
      <c r="C1228" t="s">
        <v>242</v>
      </c>
      <c r="D1228" t="s">
        <v>86</v>
      </c>
      <c r="E1228" t="s">
        <v>87</v>
      </c>
      <c r="F1228" t="s">
        <v>52</v>
      </c>
      <c r="G1228">
        <v>5586</v>
      </c>
      <c r="H1228" t="s">
        <v>52</v>
      </c>
      <c r="I1228" t="s">
        <v>243</v>
      </c>
      <c r="K1228">
        <v>2536282</v>
      </c>
      <c r="L1228">
        <v>1152609</v>
      </c>
      <c r="M1228">
        <v>432</v>
      </c>
      <c r="N1228" t="s">
        <v>2798</v>
      </c>
    </row>
    <row r="1229" spans="1:14" x14ac:dyDescent="0.25">
      <c r="A1229">
        <v>8591990</v>
      </c>
      <c r="B1229" t="s">
        <v>2799</v>
      </c>
      <c r="C1229" t="s">
        <v>242</v>
      </c>
      <c r="D1229" t="s">
        <v>86</v>
      </c>
      <c r="E1229" t="s">
        <v>87</v>
      </c>
      <c r="F1229" t="s">
        <v>52</v>
      </c>
      <c r="G1229">
        <v>5586</v>
      </c>
      <c r="H1229" t="s">
        <v>52</v>
      </c>
      <c r="I1229" t="s">
        <v>243</v>
      </c>
      <c r="K1229">
        <v>2536962</v>
      </c>
      <c r="L1229">
        <v>1152509</v>
      </c>
      <c r="M1229">
        <v>458</v>
      </c>
      <c r="N1229" t="s">
        <v>2800</v>
      </c>
    </row>
    <row r="1230" spans="1:14" x14ac:dyDescent="0.25">
      <c r="A1230">
        <v>8591983</v>
      </c>
      <c r="B1230" t="s">
        <v>2801</v>
      </c>
      <c r="C1230" t="s">
        <v>242</v>
      </c>
      <c r="D1230" t="s">
        <v>86</v>
      </c>
      <c r="E1230" t="s">
        <v>87</v>
      </c>
      <c r="F1230" t="s">
        <v>52</v>
      </c>
      <c r="G1230">
        <v>5586</v>
      </c>
      <c r="H1230" t="s">
        <v>52</v>
      </c>
      <c r="I1230" t="s">
        <v>243</v>
      </c>
      <c r="K1230">
        <v>2536637</v>
      </c>
      <c r="L1230">
        <v>1152009</v>
      </c>
      <c r="M1230">
        <v>406</v>
      </c>
      <c r="N1230" t="s">
        <v>2802</v>
      </c>
    </row>
    <row r="1231" spans="1:14" x14ac:dyDescent="0.25">
      <c r="A1231">
        <v>8591982</v>
      </c>
      <c r="B1231" t="s">
        <v>2803</v>
      </c>
      <c r="C1231" t="s">
        <v>242</v>
      </c>
      <c r="D1231" t="s">
        <v>86</v>
      </c>
      <c r="E1231" t="s">
        <v>87</v>
      </c>
      <c r="F1231" t="s">
        <v>52</v>
      </c>
      <c r="G1231">
        <v>5586</v>
      </c>
      <c r="H1231" t="s">
        <v>52</v>
      </c>
      <c r="I1231" t="s">
        <v>243</v>
      </c>
      <c r="K1231">
        <v>2538417.2489200002</v>
      </c>
      <c r="L1231">
        <v>1153032.68062</v>
      </c>
      <c r="M1231">
        <v>532</v>
      </c>
      <c r="N1231" t="s">
        <v>2804</v>
      </c>
    </row>
    <row r="1232" spans="1:14" x14ac:dyDescent="0.25">
      <c r="A1232">
        <v>8591993</v>
      </c>
      <c r="B1232" t="s">
        <v>2805</v>
      </c>
      <c r="C1232" t="s">
        <v>242</v>
      </c>
      <c r="D1232" t="s">
        <v>86</v>
      </c>
      <c r="E1232" t="s">
        <v>87</v>
      </c>
      <c r="F1232" t="s">
        <v>52</v>
      </c>
      <c r="G1232">
        <v>5586</v>
      </c>
      <c r="H1232" t="s">
        <v>52</v>
      </c>
      <c r="I1232" t="s">
        <v>243</v>
      </c>
      <c r="K1232">
        <v>2536699</v>
      </c>
      <c r="L1232">
        <v>1154033</v>
      </c>
      <c r="M1232">
        <v>532</v>
      </c>
      <c r="N1232" t="s">
        <v>2806</v>
      </c>
    </row>
    <row r="1233" spans="1:14" x14ac:dyDescent="0.25">
      <c r="A1233">
        <v>8592133</v>
      </c>
      <c r="B1233" t="s">
        <v>2807</v>
      </c>
      <c r="C1233" t="s">
        <v>242</v>
      </c>
      <c r="D1233" t="s">
        <v>1125</v>
      </c>
      <c r="E1233" t="s">
        <v>87</v>
      </c>
      <c r="F1233" t="s">
        <v>52</v>
      </c>
      <c r="G1233">
        <v>5586</v>
      </c>
      <c r="H1233" t="s">
        <v>52</v>
      </c>
      <c r="I1233" t="s">
        <v>243</v>
      </c>
      <c r="K1233">
        <v>2537484</v>
      </c>
      <c r="L1233">
        <v>1152574</v>
      </c>
      <c r="M1233">
        <v>486</v>
      </c>
      <c r="N1233" t="s">
        <v>2808</v>
      </c>
    </row>
    <row r="1234" spans="1:14" x14ac:dyDescent="0.25">
      <c r="A1234">
        <v>8595938</v>
      </c>
      <c r="B1234" t="s">
        <v>2809</v>
      </c>
      <c r="C1234" t="s">
        <v>242</v>
      </c>
      <c r="D1234" t="s">
        <v>86</v>
      </c>
      <c r="E1234" t="s">
        <v>87</v>
      </c>
      <c r="F1234" t="s">
        <v>52</v>
      </c>
      <c r="G1234">
        <v>5586</v>
      </c>
      <c r="H1234" t="s">
        <v>52</v>
      </c>
      <c r="I1234" t="s">
        <v>243</v>
      </c>
      <c r="J1234" t="s">
        <v>2810</v>
      </c>
      <c r="K1234">
        <v>2536228.3124000002</v>
      </c>
      <c r="L1234">
        <v>1151861.0606199999</v>
      </c>
      <c r="M1234">
        <v>375.8</v>
      </c>
      <c r="N1234" t="s">
        <v>2811</v>
      </c>
    </row>
    <row r="1235" spans="1:14" x14ac:dyDescent="0.25">
      <c r="A1235">
        <v>8519590</v>
      </c>
      <c r="B1235" t="s">
        <v>2812</v>
      </c>
      <c r="C1235" t="s">
        <v>238</v>
      </c>
      <c r="E1235" t="s">
        <v>87</v>
      </c>
      <c r="F1235" t="s">
        <v>52</v>
      </c>
      <c r="G1235">
        <v>5586</v>
      </c>
      <c r="H1235" t="s">
        <v>52</v>
      </c>
      <c r="I1235" t="s">
        <v>239</v>
      </c>
      <c r="J1235" t="s">
        <v>130</v>
      </c>
      <c r="K1235">
        <v>2537979</v>
      </c>
      <c r="L1235">
        <v>1152455</v>
      </c>
      <c r="M1235">
        <v>480</v>
      </c>
      <c r="N1235" t="s">
        <v>2813</v>
      </c>
    </row>
    <row r="1236" spans="1:14" x14ac:dyDescent="0.25">
      <c r="A1236">
        <v>8587357</v>
      </c>
      <c r="B1236" t="s">
        <v>2814</v>
      </c>
      <c r="C1236" t="s">
        <v>242</v>
      </c>
      <c r="D1236" t="s">
        <v>86</v>
      </c>
      <c r="E1236" t="s">
        <v>87</v>
      </c>
      <c r="F1236" t="s">
        <v>52</v>
      </c>
      <c r="G1236">
        <v>5586</v>
      </c>
      <c r="H1236" t="s">
        <v>52</v>
      </c>
      <c r="I1236" t="s">
        <v>243</v>
      </c>
      <c r="K1236">
        <v>2538273</v>
      </c>
      <c r="L1236">
        <v>1154496</v>
      </c>
      <c r="M1236">
        <v>616</v>
      </c>
      <c r="N1236" t="s">
        <v>2815</v>
      </c>
    </row>
    <row r="1237" spans="1:14" x14ac:dyDescent="0.25">
      <c r="A1237">
        <v>8501139</v>
      </c>
      <c r="B1237" t="s">
        <v>2816</v>
      </c>
      <c r="C1237" t="s">
        <v>132</v>
      </c>
      <c r="E1237" t="s">
        <v>87</v>
      </c>
      <c r="F1237" t="s">
        <v>52</v>
      </c>
      <c r="G1237">
        <v>5586</v>
      </c>
      <c r="H1237" t="s">
        <v>52</v>
      </c>
      <c r="I1237" t="s">
        <v>133</v>
      </c>
      <c r="J1237" t="s">
        <v>130</v>
      </c>
      <c r="K1237">
        <v>2536877.9350000001</v>
      </c>
      <c r="L1237">
        <v>1152506.8910000001</v>
      </c>
      <c r="M1237">
        <v>442.24400000000003</v>
      </c>
      <c r="N1237" t="s">
        <v>2817</v>
      </c>
    </row>
    <row r="1238" spans="1:14" x14ac:dyDescent="0.25">
      <c r="A1238">
        <v>8501208</v>
      </c>
      <c r="B1238" t="s">
        <v>2818</v>
      </c>
      <c r="C1238" t="s">
        <v>242</v>
      </c>
      <c r="D1238" t="s">
        <v>1130</v>
      </c>
      <c r="E1238" t="s">
        <v>87</v>
      </c>
      <c r="F1238" t="s">
        <v>52</v>
      </c>
      <c r="G1238">
        <v>5586</v>
      </c>
      <c r="H1238" t="s">
        <v>52</v>
      </c>
      <c r="I1238" t="s">
        <v>243</v>
      </c>
      <c r="K1238">
        <v>2536314</v>
      </c>
      <c r="L1238">
        <v>1152778.3</v>
      </c>
      <c r="M1238">
        <v>427</v>
      </c>
      <c r="N1238" t="s">
        <v>2819</v>
      </c>
    </row>
    <row r="1239" spans="1:14" x14ac:dyDescent="0.25">
      <c r="A1239">
        <v>8501160</v>
      </c>
      <c r="B1239" t="s">
        <v>2820</v>
      </c>
      <c r="C1239" t="s">
        <v>238</v>
      </c>
      <c r="D1239" t="s">
        <v>112</v>
      </c>
      <c r="E1239" t="s">
        <v>87</v>
      </c>
      <c r="F1239" t="s">
        <v>52</v>
      </c>
      <c r="G1239">
        <v>5586</v>
      </c>
      <c r="H1239" t="s">
        <v>52</v>
      </c>
      <c r="I1239" t="s">
        <v>239</v>
      </c>
      <c r="K1239">
        <v>2537649.7250000001</v>
      </c>
      <c r="L1239">
        <v>1152760.4850000001</v>
      </c>
      <c r="M1239">
        <v>471</v>
      </c>
      <c r="N1239" t="s">
        <v>2821</v>
      </c>
    </row>
    <row r="1240" spans="1:14" x14ac:dyDescent="0.25">
      <c r="A1240">
        <v>8595935</v>
      </c>
      <c r="B1240" t="s">
        <v>2822</v>
      </c>
      <c r="C1240" t="s">
        <v>242</v>
      </c>
      <c r="D1240" t="s">
        <v>86</v>
      </c>
      <c r="E1240" t="s">
        <v>87</v>
      </c>
      <c r="F1240" t="s">
        <v>52</v>
      </c>
      <c r="G1240">
        <v>5586</v>
      </c>
      <c r="H1240" t="s">
        <v>52</v>
      </c>
      <c r="I1240" t="s">
        <v>243</v>
      </c>
      <c r="J1240" t="s">
        <v>2810</v>
      </c>
      <c r="K1240">
        <v>2535848</v>
      </c>
      <c r="L1240">
        <v>1151907</v>
      </c>
      <c r="M1240">
        <v>378</v>
      </c>
      <c r="N1240" t="s">
        <v>2823</v>
      </c>
    </row>
    <row r="1241" spans="1:14" x14ac:dyDescent="0.25">
      <c r="A1241">
        <v>8595934</v>
      </c>
      <c r="B1241" t="s">
        <v>2824</v>
      </c>
      <c r="C1241" t="s">
        <v>242</v>
      </c>
      <c r="D1241" t="s">
        <v>86</v>
      </c>
      <c r="E1241" t="s">
        <v>87</v>
      </c>
      <c r="F1241" t="s">
        <v>52</v>
      </c>
      <c r="G1241">
        <v>5586</v>
      </c>
      <c r="H1241" t="s">
        <v>52</v>
      </c>
      <c r="I1241" t="s">
        <v>243</v>
      </c>
      <c r="J1241" t="s">
        <v>2810</v>
      </c>
      <c r="K1241">
        <v>2535573</v>
      </c>
      <c r="L1241">
        <v>1152152</v>
      </c>
      <c r="M1241">
        <v>380</v>
      </c>
      <c r="N1241" t="s">
        <v>2825</v>
      </c>
    </row>
    <row r="1242" spans="1:14" x14ac:dyDescent="0.25">
      <c r="A1242">
        <v>8595933</v>
      </c>
      <c r="B1242" t="s">
        <v>2826</v>
      </c>
      <c r="C1242" t="s">
        <v>242</v>
      </c>
      <c r="D1242" t="s">
        <v>86</v>
      </c>
      <c r="E1242" t="s">
        <v>87</v>
      </c>
      <c r="F1242" t="s">
        <v>52</v>
      </c>
      <c r="G1242">
        <v>5586</v>
      </c>
      <c r="H1242" t="s">
        <v>52</v>
      </c>
      <c r="I1242" t="s">
        <v>243</v>
      </c>
      <c r="J1242" t="s">
        <v>2810</v>
      </c>
      <c r="K1242">
        <v>2538156</v>
      </c>
      <c r="L1242">
        <v>1150989</v>
      </c>
      <c r="M1242">
        <v>375</v>
      </c>
      <c r="N1242" t="s">
        <v>2827</v>
      </c>
    </row>
    <row r="1243" spans="1:14" x14ac:dyDescent="0.25">
      <c r="A1243">
        <v>8595937</v>
      </c>
      <c r="B1243" t="s">
        <v>2828</v>
      </c>
      <c r="C1243" t="s">
        <v>242</v>
      </c>
      <c r="D1243" t="s">
        <v>86</v>
      </c>
      <c r="E1243" t="s">
        <v>87</v>
      </c>
      <c r="F1243" t="s">
        <v>52</v>
      </c>
      <c r="G1243">
        <v>5586</v>
      </c>
      <c r="H1243" t="s">
        <v>52</v>
      </c>
      <c r="I1243" t="s">
        <v>243</v>
      </c>
      <c r="J1243" t="s">
        <v>2810</v>
      </c>
      <c r="K1243">
        <v>2534561</v>
      </c>
      <c r="L1243">
        <v>1152552</v>
      </c>
      <c r="M1243">
        <v>377</v>
      </c>
      <c r="N1243" t="s">
        <v>2829</v>
      </c>
    </row>
    <row r="1244" spans="1:14" x14ac:dyDescent="0.25">
      <c r="A1244">
        <v>8509491</v>
      </c>
      <c r="B1244" t="s">
        <v>2830</v>
      </c>
      <c r="C1244" t="s">
        <v>242</v>
      </c>
      <c r="D1244" t="s">
        <v>86</v>
      </c>
      <c r="E1244" t="s">
        <v>87</v>
      </c>
      <c r="F1244" t="s">
        <v>52</v>
      </c>
      <c r="G1244">
        <v>5586</v>
      </c>
      <c r="H1244" t="s">
        <v>2600</v>
      </c>
      <c r="I1244" t="s">
        <v>243</v>
      </c>
      <c r="K1244">
        <v>2542869.0288499999</v>
      </c>
      <c r="L1244">
        <v>1157335.8436799999</v>
      </c>
      <c r="M1244">
        <v>864</v>
      </c>
      <c r="N1244" t="s">
        <v>2831</v>
      </c>
    </row>
    <row r="1245" spans="1:14" x14ac:dyDescent="0.25">
      <c r="A1245">
        <v>8511521</v>
      </c>
      <c r="B1245" t="s">
        <v>2832</v>
      </c>
      <c r="C1245" t="s">
        <v>242</v>
      </c>
      <c r="D1245" t="s">
        <v>86</v>
      </c>
      <c r="E1245" t="s">
        <v>87</v>
      </c>
      <c r="F1245" t="s">
        <v>52</v>
      </c>
      <c r="G1245">
        <v>5586</v>
      </c>
      <c r="H1245" t="s">
        <v>52</v>
      </c>
      <c r="I1245" t="s">
        <v>243</v>
      </c>
      <c r="K1245">
        <v>2539766.2892200002</v>
      </c>
      <c r="L1245">
        <v>1154964.59137</v>
      </c>
      <c r="M1245">
        <v>706</v>
      </c>
      <c r="N1245" t="s">
        <v>2833</v>
      </c>
    </row>
    <row r="1246" spans="1:14" x14ac:dyDescent="0.25">
      <c r="A1246">
        <v>8515338</v>
      </c>
      <c r="B1246" t="s">
        <v>2834</v>
      </c>
      <c r="C1246" t="s">
        <v>132</v>
      </c>
      <c r="E1246" t="s">
        <v>87</v>
      </c>
      <c r="F1246" t="s">
        <v>52</v>
      </c>
      <c r="G1246">
        <v>5586</v>
      </c>
      <c r="H1246" t="s">
        <v>52</v>
      </c>
      <c r="I1246" t="s">
        <v>133</v>
      </c>
      <c r="J1246" t="s">
        <v>130</v>
      </c>
      <c r="K1246">
        <v>2538282.3820000002</v>
      </c>
      <c r="L1246">
        <v>1151749.7109999999</v>
      </c>
      <c r="M1246">
        <v>445.96600000000001</v>
      </c>
      <c r="N1246" t="s">
        <v>2835</v>
      </c>
    </row>
    <row r="1247" spans="1:14" x14ac:dyDescent="0.25">
      <c r="A1247">
        <v>8501168</v>
      </c>
      <c r="B1247" t="s">
        <v>2836</v>
      </c>
      <c r="C1247" t="s">
        <v>238</v>
      </c>
      <c r="D1247" t="s">
        <v>112</v>
      </c>
      <c r="E1247" t="s">
        <v>87</v>
      </c>
      <c r="F1247" t="s">
        <v>52</v>
      </c>
      <c r="G1247">
        <v>5586</v>
      </c>
      <c r="H1247" t="s">
        <v>2592</v>
      </c>
      <c r="I1247" t="s">
        <v>239</v>
      </c>
      <c r="K1247">
        <v>2536074.9500000002</v>
      </c>
      <c r="L1247">
        <v>1158081.044</v>
      </c>
      <c r="M1247">
        <v>596.9</v>
      </c>
      <c r="N1247" t="s">
        <v>2837</v>
      </c>
    </row>
    <row r="1248" spans="1:14" x14ac:dyDescent="0.25">
      <c r="A1248">
        <v>8501170</v>
      </c>
      <c r="B1248" t="s">
        <v>2838</v>
      </c>
      <c r="C1248" t="s">
        <v>238</v>
      </c>
      <c r="D1248" t="s">
        <v>112</v>
      </c>
      <c r="E1248" t="s">
        <v>87</v>
      </c>
      <c r="F1248" t="s">
        <v>52</v>
      </c>
      <c r="G1248">
        <v>5586</v>
      </c>
      <c r="H1248" t="s">
        <v>43</v>
      </c>
      <c r="I1248" t="s">
        <v>239</v>
      </c>
      <c r="K1248">
        <v>2536140.0649999999</v>
      </c>
      <c r="L1248">
        <v>1158940.8230000001</v>
      </c>
      <c r="M1248">
        <v>603.79999999999995</v>
      </c>
      <c r="N1248" t="s">
        <v>2839</v>
      </c>
    </row>
    <row r="1249" spans="1:14" x14ac:dyDescent="0.25">
      <c r="A1249">
        <v>8501209</v>
      </c>
      <c r="B1249" t="s">
        <v>2840</v>
      </c>
      <c r="C1249" t="s">
        <v>242</v>
      </c>
      <c r="D1249" t="s">
        <v>1125</v>
      </c>
      <c r="E1249" t="s">
        <v>87</v>
      </c>
      <c r="F1249" t="s">
        <v>52</v>
      </c>
      <c r="G1249">
        <v>5586</v>
      </c>
      <c r="H1249" t="s">
        <v>52</v>
      </c>
      <c r="I1249" t="s">
        <v>243</v>
      </c>
      <c r="K1249">
        <v>2535847.9490100001</v>
      </c>
      <c r="L1249">
        <v>1152880.22349</v>
      </c>
      <c r="M1249">
        <v>424</v>
      </c>
      <c r="N1249" t="s">
        <v>2841</v>
      </c>
    </row>
    <row r="1250" spans="1:14" x14ac:dyDescent="0.25">
      <c r="A1250">
        <v>8501075</v>
      </c>
      <c r="B1250" t="s">
        <v>2842</v>
      </c>
      <c r="C1250" t="s">
        <v>778</v>
      </c>
      <c r="D1250" t="s">
        <v>302</v>
      </c>
      <c r="E1250" t="s">
        <v>87</v>
      </c>
      <c r="F1250" t="s">
        <v>52</v>
      </c>
      <c r="G1250">
        <v>5586</v>
      </c>
      <c r="H1250" t="s">
        <v>52</v>
      </c>
      <c r="I1250" t="s">
        <v>780</v>
      </c>
      <c r="K1250">
        <v>2537747.63937</v>
      </c>
      <c r="L1250">
        <v>1150741.43719</v>
      </c>
      <c r="M1250">
        <v>374</v>
      </c>
      <c r="N1250" t="s">
        <v>2843</v>
      </c>
    </row>
    <row r="1251" spans="1:14" x14ac:dyDescent="0.25">
      <c r="A1251">
        <v>8589524</v>
      </c>
      <c r="B1251" t="s">
        <v>2844</v>
      </c>
      <c r="C1251" t="s">
        <v>242</v>
      </c>
      <c r="D1251" t="s">
        <v>86</v>
      </c>
      <c r="E1251" t="s">
        <v>87</v>
      </c>
      <c r="F1251" t="s">
        <v>52</v>
      </c>
      <c r="G1251">
        <v>5586</v>
      </c>
      <c r="H1251" t="s">
        <v>52</v>
      </c>
      <c r="I1251" t="s">
        <v>243</v>
      </c>
      <c r="K1251">
        <v>2538273.2503499999</v>
      </c>
      <c r="L1251">
        <v>1152502.3094500001</v>
      </c>
      <c r="M1251">
        <v>483</v>
      </c>
      <c r="N1251" t="s">
        <v>2845</v>
      </c>
    </row>
    <row r="1252" spans="1:14" x14ac:dyDescent="0.25">
      <c r="A1252">
        <v>8570165</v>
      </c>
      <c r="B1252" t="s">
        <v>2846</v>
      </c>
      <c r="C1252" t="s">
        <v>242</v>
      </c>
      <c r="D1252" t="s">
        <v>86</v>
      </c>
      <c r="E1252" t="s">
        <v>87</v>
      </c>
      <c r="F1252" t="s">
        <v>52</v>
      </c>
      <c r="G1252">
        <v>5586</v>
      </c>
      <c r="H1252" t="s">
        <v>1546</v>
      </c>
      <c r="I1252" t="s">
        <v>243</v>
      </c>
      <c r="J1252" t="s">
        <v>2757</v>
      </c>
      <c r="K1252">
        <v>2540150</v>
      </c>
      <c r="L1252">
        <v>1160471</v>
      </c>
      <c r="M1252">
        <v>711</v>
      </c>
      <c r="N1252" t="s">
        <v>2847</v>
      </c>
    </row>
    <row r="1253" spans="1:14" x14ac:dyDescent="0.25">
      <c r="A1253">
        <v>8592059</v>
      </c>
      <c r="B1253" t="s">
        <v>2848</v>
      </c>
      <c r="C1253" t="s">
        <v>242</v>
      </c>
      <c r="D1253" t="s">
        <v>86</v>
      </c>
      <c r="E1253" t="s">
        <v>87</v>
      </c>
      <c r="F1253" t="s">
        <v>52</v>
      </c>
      <c r="G1253">
        <v>5586</v>
      </c>
      <c r="H1253" t="s">
        <v>52</v>
      </c>
      <c r="I1253" t="s">
        <v>243</v>
      </c>
      <c r="K1253">
        <v>2538438</v>
      </c>
      <c r="L1253">
        <v>1153525</v>
      </c>
      <c r="M1253">
        <v>595</v>
      </c>
      <c r="N1253" t="s">
        <v>2849</v>
      </c>
    </row>
    <row r="1254" spans="1:14" x14ac:dyDescent="0.25">
      <c r="A1254">
        <v>8592022</v>
      </c>
      <c r="B1254" t="s">
        <v>2850</v>
      </c>
      <c r="C1254" t="s">
        <v>242</v>
      </c>
      <c r="D1254" t="s">
        <v>86</v>
      </c>
      <c r="E1254" t="s">
        <v>87</v>
      </c>
      <c r="F1254" t="s">
        <v>52</v>
      </c>
      <c r="G1254">
        <v>5586</v>
      </c>
      <c r="H1254" t="s">
        <v>52</v>
      </c>
      <c r="I1254" t="s">
        <v>243</v>
      </c>
      <c r="K1254">
        <v>2536661</v>
      </c>
      <c r="L1254">
        <v>1152983</v>
      </c>
      <c r="M1254">
        <v>452</v>
      </c>
      <c r="N1254" t="s">
        <v>2851</v>
      </c>
    </row>
    <row r="1255" spans="1:14" x14ac:dyDescent="0.25">
      <c r="A1255">
        <v>8592021</v>
      </c>
      <c r="B1255" t="s">
        <v>2852</v>
      </c>
      <c r="C1255" t="s">
        <v>242</v>
      </c>
      <c r="D1255" t="s">
        <v>86</v>
      </c>
      <c r="E1255" t="s">
        <v>87</v>
      </c>
      <c r="F1255" t="s">
        <v>52</v>
      </c>
      <c r="G1255">
        <v>5586</v>
      </c>
      <c r="H1255" t="s">
        <v>52</v>
      </c>
      <c r="I1255" t="s">
        <v>243</v>
      </c>
      <c r="K1255">
        <v>2536418</v>
      </c>
      <c r="L1255">
        <v>1152560</v>
      </c>
      <c r="M1255">
        <v>437</v>
      </c>
      <c r="N1255" t="s">
        <v>2853</v>
      </c>
    </row>
    <row r="1256" spans="1:14" x14ac:dyDescent="0.25">
      <c r="A1256">
        <v>8592007</v>
      </c>
      <c r="B1256" t="s">
        <v>2854</v>
      </c>
      <c r="C1256" t="s">
        <v>242</v>
      </c>
      <c r="D1256" t="s">
        <v>86</v>
      </c>
      <c r="E1256" t="s">
        <v>87</v>
      </c>
      <c r="F1256" t="s">
        <v>52</v>
      </c>
      <c r="G1256">
        <v>5586</v>
      </c>
      <c r="H1256" t="s">
        <v>1546</v>
      </c>
      <c r="I1256" t="s">
        <v>243</v>
      </c>
      <c r="J1256" t="s">
        <v>2757</v>
      </c>
      <c r="K1256">
        <v>2540366</v>
      </c>
      <c r="L1256">
        <v>1160825</v>
      </c>
      <c r="M1256">
        <v>739</v>
      </c>
      <c r="N1256" t="s">
        <v>2855</v>
      </c>
    </row>
    <row r="1257" spans="1:14" x14ac:dyDescent="0.25">
      <c r="A1257">
        <v>8592061</v>
      </c>
      <c r="B1257" t="s">
        <v>2856</v>
      </c>
      <c r="C1257" t="s">
        <v>242</v>
      </c>
      <c r="D1257" t="s">
        <v>1125</v>
      </c>
      <c r="E1257" t="s">
        <v>87</v>
      </c>
      <c r="F1257" t="s">
        <v>52</v>
      </c>
      <c r="G1257">
        <v>5586</v>
      </c>
      <c r="H1257" t="s">
        <v>52</v>
      </c>
      <c r="I1257" t="s">
        <v>243</v>
      </c>
      <c r="K1257">
        <v>2537740</v>
      </c>
      <c r="L1257">
        <v>1151281</v>
      </c>
      <c r="M1257">
        <v>394</v>
      </c>
      <c r="N1257" t="s">
        <v>2857</v>
      </c>
    </row>
    <row r="1258" spans="1:14" x14ac:dyDescent="0.25">
      <c r="A1258">
        <v>8592060</v>
      </c>
      <c r="B1258" t="s">
        <v>2858</v>
      </c>
      <c r="C1258" t="s">
        <v>242</v>
      </c>
      <c r="D1258" t="s">
        <v>86</v>
      </c>
      <c r="E1258" t="s">
        <v>87</v>
      </c>
      <c r="F1258" t="s">
        <v>52</v>
      </c>
      <c r="G1258">
        <v>5586</v>
      </c>
      <c r="H1258" t="s">
        <v>52</v>
      </c>
      <c r="I1258" t="s">
        <v>243</v>
      </c>
      <c r="K1258">
        <v>2537680</v>
      </c>
      <c r="L1258">
        <v>1153210</v>
      </c>
      <c r="M1258">
        <v>533</v>
      </c>
      <c r="N1258" t="s">
        <v>2859</v>
      </c>
    </row>
    <row r="1259" spans="1:14" x14ac:dyDescent="0.25">
      <c r="A1259">
        <v>8592031</v>
      </c>
      <c r="B1259" t="s">
        <v>2860</v>
      </c>
      <c r="C1259" t="s">
        <v>242</v>
      </c>
      <c r="D1259" t="s">
        <v>86</v>
      </c>
      <c r="E1259" t="s">
        <v>87</v>
      </c>
      <c r="F1259" t="s">
        <v>52</v>
      </c>
      <c r="G1259">
        <v>5586</v>
      </c>
      <c r="H1259" t="s">
        <v>52</v>
      </c>
      <c r="I1259" t="s">
        <v>243</v>
      </c>
      <c r="K1259">
        <v>2539644</v>
      </c>
      <c r="L1259">
        <v>1153517</v>
      </c>
      <c r="M1259">
        <v>593</v>
      </c>
      <c r="N1259" t="s">
        <v>2861</v>
      </c>
    </row>
    <row r="1260" spans="1:14" x14ac:dyDescent="0.25">
      <c r="A1260">
        <v>8592028</v>
      </c>
      <c r="B1260" t="s">
        <v>2862</v>
      </c>
      <c r="C1260" t="s">
        <v>242</v>
      </c>
      <c r="D1260" t="s">
        <v>1125</v>
      </c>
      <c r="E1260" t="s">
        <v>87</v>
      </c>
      <c r="F1260" t="s">
        <v>52</v>
      </c>
      <c r="G1260">
        <v>5586</v>
      </c>
      <c r="H1260" t="s">
        <v>52</v>
      </c>
      <c r="I1260" t="s">
        <v>243</v>
      </c>
      <c r="K1260">
        <v>2537789</v>
      </c>
      <c r="L1260">
        <v>1151513</v>
      </c>
      <c r="M1260">
        <v>407</v>
      </c>
      <c r="N1260" t="s">
        <v>2863</v>
      </c>
    </row>
    <row r="1261" spans="1:14" x14ac:dyDescent="0.25">
      <c r="A1261">
        <v>8592071</v>
      </c>
      <c r="B1261" t="s">
        <v>2864</v>
      </c>
      <c r="C1261" t="s">
        <v>242</v>
      </c>
      <c r="D1261" t="s">
        <v>86</v>
      </c>
      <c r="E1261" t="s">
        <v>87</v>
      </c>
      <c r="F1261" t="s">
        <v>52</v>
      </c>
      <c r="G1261">
        <v>5586</v>
      </c>
      <c r="H1261" t="s">
        <v>52</v>
      </c>
      <c r="I1261" t="s">
        <v>243</v>
      </c>
      <c r="K1261">
        <v>2538205</v>
      </c>
      <c r="L1261">
        <v>1153223</v>
      </c>
      <c r="M1261">
        <v>555</v>
      </c>
      <c r="N1261" t="s">
        <v>2865</v>
      </c>
    </row>
    <row r="1262" spans="1:14" x14ac:dyDescent="0.25">
      <c r="A1262">
        <v>8592104</v>
      </c>
      <c r="B1262" t="s">
        <v>2866</v>
      </c>
      <c r="C1262" t="s">
        <v>242</v>
      </c>
      <c r="D1262" t="s">
        <v>86</v>
      </c>
      <c r="E1262" t="s">
        <v>87</v>
      </c>
      <c r="F1262" t="s">
        <v>52</v>
      </c>
      <c r="G1262">
        <v>5586</v>
      </c>
      <c r="H1262" t="s">
        <v>52</v>
      </c>
      <c r="I1262" t="s">
        <v>243</v>
      </c>
      <c r="K1262">
        <v>2537302</v>
      </c>
      <c r="L1262">
        <v>1153412</v>
      </c>
      <c r="M1262">
        <v>534</v>
      </c>
      <c r="N1262" t="s">
        <v>2867</v>
      </c>
    </row>
    <row r="1263" spans="1:14" x14ac:dyDescent="0.25">
      <c r="A1263">
        <v>8592073</v>
      </c>
      <c r="B1263" t="s">
        <v>2868</v>
      </c>
      <c r="C1263" t="s">
        <v>242</v>
      </c>
      <c r="D1263" t="s">
        <v>86</v>
      </c>
      <c r="E1263" t="s">
        <v>87</v>
      </c>
      <c r="F1263" t="s">
        <v>52</v>
      </c>
      <c r="G1263">
        <v>5586</v>
      </c>
      <c r="H1263" t="s">
        <v>2700</v>
      </c>
      <c r="I1263" t="s">
        <v>243</v>
      </c>
      <c r="K1263">
        <v>2542833</v>
      </c>
      <c r="L1263">
        <v>1156009</v>
      </c>
      <c r="M1263">
        <v>832</v>
      </c>
      <c r="N1263" t="s">
        <v>2869</v>
      </c>
    </row>
    <row r="1264" spans="1:14" x14ac:dyDescent="0.25">
      <c r="A1264">
        <v>8592077</v>
      </c>
      <c r="B1264" t="s">
        <v>2870</v>
      </c>
      <c r="C1264" t="s">
        <v>242</v>
      </c>
      <c r="D1264" t="s">
        <v>86</v>
      </c>
      <c r="E1264" t="s">
        <v>87</v>
      </c>
      <c r="F1264" t="s">
        <v>52</v>
      </c>
      <c r="G1264">
        <v>5586</v>
      </c>
      <c r="H1264" t="s">
        <v>52</v>
      </c>
      <c r="I1264" t="s">
        <v>243</v>
      </c>
      <c r="K1264">
        <v>2538477</v>
      </c>
      <c r="L1264">
        <v>1151406</v>
      </c>
      <c r="M1264">
        <v>426</v>
      </c>
      <c r="N1264" t="s">
        <v>2871</v>
      </c>
    </row>
    <row r="1265" spans="1:14" x14ac:dyDescent="0.25">
      <c r="A1265">
        <v>8592076</v>
      </c>
      <c r="B1265" t="s">
        <v>2872</v>
      </c>
      <c r="C1265" t="s">
        <v>242</v>
      </c>
      <c r="D1265" t="s">
        <v>86</v>
      </c>
      <c r="E1265" t="s">
        <v>87</v>
      </c>
      <c r="F1265" t="s">
        <v>52</v>
      </c>
      <c r="G1265">
        <v>5586</v>
      </c>
      <c r="H1265" t="s">
        <v>52</v>
      </c>
      <c r="I1265" t="s">
        <v>243</v>
      </c>
      <c r="K1265">
        <v>2537726</v>
      </c>
      <c r="L1265">
        <v>1153527</v>
      </c>
      <c r="M1265">
        <v>560</v>
      </c>
      <c r="N1265" t="s">
        <v>2873</v>
      </c>
    </row>
    <row r="1266" spans="1:14" x14ac:dyDescent="0.25">
      <c r="A1266">
        <v>8592081</v>
      </c>
      <c r="B1266" t="s">
        <v>2874</v>
      </c>
      <c r="C1266" t="s">
        <v>242</v>
      </c>
      <c r="D1266" t="s">
        <v>86</v>
      </c>
      <c r="E1266" t="s">
        <v>87</v>
      </c>
      <c r="F1266" t="s">
        <v>52</v>
      </c>
      <c r="G1266">
        <v>5586</v>
      </c>
      <c r="H1266" t="s">
        <v>52</v>
      </c>
      <c r="I1266" t="s">
        <v>243</v>
      </c>
      <c r="K1266">
        <v>2539042</v>
      </c>
      <c r="L1266">
        <v>1154963</v>
      </c>
      <c r="M1266">
        <v>647</v>
      </c>
      <c r="N1266" t="s">
        <v>2875</v>
      </c>
    </row>
    <row r="1267" spans="1:14" x14ac:dyDescent="0.25">
      <c r="A1267">
        <v>8592123</v>
      </c>
      <c r="B1267" t="s">
        <v>2876</v>
      </c>
      <c r="C1267" t="s">
        <v>242</v>
      </c>
      <c r="D1267" t="s">
        <v>86</v>
      </c>
      <c r="E1267" t="s">
        <v>87</v>
      </c>
      <c r="F1267" t="s">
        <v>52</v>
      </c>
      <c r="G1267">
        <v>5586</v>
      </c>
      <c r="H1267" t="s">
        <v>52</v>
      </c>
      <c r="I1267" t="s">
        <v>243</v>
      </c>
      <c r="K1267">
        <v>2539048</v>
      </c>
      <c r="L1267">
        <v>1151780</v>
      </c>
      <c r="M1267">
        <v>460</v>
      </c>
      <c r="N1267" t="s">
        <v>2877</v>
      </c>
    </row>
    <row r="1268" spans="1:14" x14ac:dyDescent="0.25">
      <c r="A1268">
        <v>8592080</v>
      </c>
      <c r="B1268" t="s">
        <v>2878</v>
      </c>
      <c r="C1268" t="s">
        <v>242</v>
      </c>
      <c r="D1268" t="s">
        <v>86</v>
      </c>
      <c r="E1268" t="s">
        <v>87</v>
      </c>
      <c r="F1268" t="s">
        <v>52</v>
      </c>
      <c r="G1268">
        <v>5586</v>
      </c>
      <c r="H1268" t="s">
        <v>52</v>
      </c>
      <c r="I1268" t="s">
        <v>243</v>
      </c>
      <c r="K1268">
        <v>2536302</v>
      </c>
      <c r="L1268">
        <v>1152226</v>
      </c>
      <c r="M1268">
        <v>407</v>
      </c>
      <c r="N1268" t="s">
        <v>2879</v>
      </c>
    </row>
    <row r="1269" spans="1:14" x14ac:dyDescent="0.25">
      <c r="A1269">
        <v>8592087</v>
      </c>
      <c r="B1269" t="s">
        <v>2880</v>
      </c>
      <c r="C1269" t="s">
        <v>242</v>
      </c>
      <c r="D1269" t="s">
        <v>86</v>
      </c>
      <c r="E1269" t="s">
        <v>87</v>
      </c>
      <c r="F1269" t="s">
        <v>52</v>
      </c>
      <c r="G1269">
        <v>5586</v>
      </c>
      <c r="H1269" t="s">
        <v>52</v>
      </c>
      <c r="I1269" t="s">
        <v>243</v>
      </c>
      <c r="K1269">
        <v>2536851</v>
      </c>
      <c r="L1269">
        <v>1154197</v>
      </c>
      <c r="M1269">
        <v>577</v>
      </c>
      <c r="N1269" t="s">
        <v>2881</v>
      </c>
    </row>
    <row r="1270" spans="1:14" x14ac:dyDescent="0.25">
      <c r="A1270">
        <v>8592126</v>
      </c>
      <c r="B1270" t="s">
        <v>2882</v>
      </c>
      <c r="C1270" t="s">
        <v>242</v>
      </c>
      <c r="D1270" t="s">
        <v>86</v>
      </c>
      <c r="E1270" t="s">
        <v>87</v>
      </c>
      <c r="F1270" t="s">
        <v>52</v>
      </c>
      <c r="G1270">
        <v>5586</v>
      </c>
      <c r="H1270" t="s">
        <v>52</v>
      </c>
      <c r="I1270" t="s">
        <v>243</v>
      </c>
      <c r="K1270">
        <v>2539378</v>
      </c>
      <c r="L1270">
        <v>1153324</v>
      </c>
      <c r="M1270">
        <v>583</v>
      </c>
      <c r="N1270" t="s">
        <v>2883</v>
      </c>
    </row>
    <row r="1271" spans="1:14" x14ac:dyDescent="0.25">
      <c r="A1271">
        <v>8591981</v>
      </c>
      <c r="B1271" t="s">
        <v>2884</v>
      </c>
      <c r="C1271" t="s">
        <v>242</v>
      </c>
      <c r="D1271" t="s">
        <v>86</v>
      </c>
      <c r="E1271" t="s">
        <v>87</v>
      </c>
      <c r="F1271" t="s">
        <v>52</v>
      </c>
      <c r="G1271">
        <v>5586</v>
      </c>
      <c r="H1271" t="s">
        <v>52</v>
      </c>
      <c r="I1271" t="s">
        <v>243</v>
      </c>
      <c r="K1271">
        <v>2539123</v>
      </c>
      <c r="L1271">
        <v>1151908</v>
      </c>
      <c r="M1271">
        <v>484</v>
      </c>
      <c r="N1271" t="s">
        <v>2885</v>
      </c>
    </row>
    <row r="1272" spans="1:14" x14ac:dyDescent="0.25">
      <c r="A1272">
        <v>8591992</v>
      </c>
      <c r="B1272" t="s">
        <v>2886</v>
      </c>
      <c r="C1272" t="s">
        <v>242</v>
      </c>
      <c r="D1272" t="s">
        <v>86</v>
      </c>
      <c r="E1272" t="s">
        <v>87</v>
      </c>
      <c r="F1272" t="s">
        <v>52</v>
      </c>
      <c r="G1272">
        <v>5586</v>
      </c>
      <c r="H1272" t="s">
        <v>52</v>
      </c>
      <c r="I1272" t="s">
        <v>243</v>
      </c>
      <c r="K1272">
        <v>2537082</v>
      </c>
      <c r="L1272">
        <v>1153601</v>
      </c>
      <c r="M1272">
        <v>539</v>
      </c>
      <c r="N1272" t="s">
        <v>2887</v>
      </c>
    </row>
    <row r="1273" spans="1:14" x14ac:dyDescent="0.25">
      <c r="A1273">
        <v>8591999</v>
      </c>
      <c r="B1273" t="s">
        <v>2888</v>
      </c>
      <c r="C1273" t="s">
        <v>242</v>
      </c>
      <c r="D1273" t="s">
        <v>86</v>
      </c>
      <c r="E1273" t="s">
        <v>87</v>
      </c>
      <c r="F1273" t="s">
        <v>52</v>
      </c>
      <c r="G1273">
        <v>5586</v>
      </c>
      <c r="H1273" t="s">
        <v>52</v>
      </c>
      <c r="I1273" t="s">
        <v>243</v>
      </c>
      <c r="K1273">
        <v>2539510.1313999998</v>
      </c>
      <c r="L1273">
        <v>1151833.4459899999</v>
      </c>
      <c r="M1273">
        <v>475</v>
      </c>
      <c r="N1273" t="s">
        <v>2889</v>
      </c>
    </row>
    <row r="1274" spans="1:14" x14ac:dyDescent="0.25">
      <c r="A1274">
        <v>8591997</v>
      </c>
      <c r="B1274" t="s">
        <v>2890</v>
      </c>
      <c r="C1274" t="s">
        <v>242</v>
      </c>
      <c r="D1274" t="s">
        <v>86</v>
      </c>
      <c r="E1274" t="s">
        <v>87</v>
      </c>
      <c r="F1274" t="s">
        <v>52</v>
      </c>
      <c r="G1274">
        <v>5586</v>
      </c>
      <c r="H1274" t="s">
        <v>52</v>
      </c>
      <c r="I1274" t="s">
        <v>243</v>
      </c>
      <c r="K1274">
        <v>2539219</v>
      </c>
      <c r="L1274">
        <v>1154506</v>
      </c>
      <c r="M1274">
        <v>648</v>
      </c>
      <c r="N1274" t="s">
        <v>2891</v>
      </c>
    </row>
    <row r="1275" spans="1:14" x14ac:dyDescent="0.25">
      <c r="A1275">
        <v>8592129</v>
      </c>
      <c r="B1275" t="s">
        <v>2892</v>
      </c>
      <c r="C1275" t="s">
        <v>242</v>
      </c>
      <c r="D1275" t="s">
        <v>86</v>
      </c>
      <c r="E1275" t="s">
        <v>87</v>
      </c>
      <c r="F1275" t="s">
        <v>52</v>
      </c>
      <c r="G1275">
        <v>5586</v>
      </c>
      <c r="H1275" t="s">
        <v>52</v>
      </c>
      <c r="I1275" t="s">
        <v>243</v>
      </c>
      <c r="K1275">
        <v>2539457</v>
      </c>
      <c r="L1275">
        <v>1152187</v>
      </c>
      <c r="M1275">
        <v>533</v>
      </c>
      <c r="N1275" t="s">
        <v>2893</v>
      </c>
    </row>
    <row r="1276" spans="1:14" x14ac:dyDescent="0.25">
      <c r="A1276">
        <v>8592136</v>
      </c>
      <c r="B1276" t="s">
        <v>2894</v>
      </c>
      <c r="C1276" t="s">
        <v>242</v>
      </c>
      <c r="D1276" t="s">
        <v>86</v>
      </c>
      <c r="E1276" t="s">
        <v>87</v>
      </c>
      <c r="F1276" t="s">
        <v>52</v>
      </c>
      <c r="G1276">
        <v>5586</v>
      </c>
      <c r="H1276" t="s">
        <v>52</v>
      </c>
      <c r="I1276" t="s">
        <v>243</v>
      </c>
      <c r="K1276">
        <v>2539374</v>
      </c>
      <c r="L1276">
        <v>1153068</v>
      </c>
      <c r="M1276">
        <v>574</v>
      </c>
      <c r="N1276" t="s">
        <v>2895</v>
      </c>
    </row>
    <row r="1277" spans="1:14" x14ac:dyDescent="0.25">
      <c r="A1277">
        <v>8501180</v>
      </c>
      <c r="B1277" t="s">
        <v>2896</v>
      </c>
      <c r="C1277" t="s">
        <v>242</v>
      </c>
      <c r="E1277" t="s">
        <v>87</v>
      </c>
      <c r="F1277" t="s">
        <v>52</v>
      </c>
      <c r="G1277">
        <v>5586</v>
      </c>
      <c r="H1277" t="s">
        <v>52</v>
      </c>
      <c r="I1277" t="s">
        <v>243</v>
      </c>
      <c r="J1277" t="s">
        <v>2583</v>
      </c>
      <c r="K1277">
        <v>2537918</v>
      </c>
      <c r="L1277">
        <v>1152127</v>
      </c>
      <c r="M1277">
        <v>452</v>
      </c>
      <c r="N1277" t="s">
        <v>2897</v>
      </c>
    </row>
    <row r="1278" spans="1:14" x14ac:dyDescent="0.25">
      <c r="A1278">
        <v>8592078</v>
      </c>
      <c r="B1278" t="s">
        <v>2898</v>
      </c>
      <c r="C1278" t="s">
        <v>242</v>
      </c>
      <c r="D1278" t="s">
        <v>86</v>
      </c>
      <c r="E1278" t="s">
        <v>87</v>
      </c>
      <c r="F1278" t="s">
        <v>52</v>
      </c>
      <c r="G1278">
        <v>5586</v>
      </c>
      <c r="H1278" t="s">
        <v>52</v>
      </c>
      <c r="I1278" t="s">
        <v>243</v>
      </c>
      <c r="K1278">
        <v>2536743.8796100002</v>
      </c>
      <c r="L1278">
        <v>1153437.5208399999</v>
      </c>
      <c r="M1278">
        <v>498.3</v>
      </c>
      <c r="N1278" t="s">
        <v>2899</v>
      </c>
    </row>
    <row r="1279" spans="1:14" x14ac:dyDescent="0.25">
      <c r="A1279">
        <v>8511583</v>
      </c>
      <c r="B1279" t="s">
        <v>2900</v>
      </c>
      <c r="C1279" t="s">
        <v>242</v>
      </c>
      <c r="D1279" t="s">
        <v>86</v>
      </c>
      <c r="E1279" t="s">
        <v>87</v>
      </c>
      <c r="F1279" t="s">
        <v>52</v>
      </c>
      <c r="G1279">
        <v>5586</v>
      </c>
      <c r="H1279" t="s">
        <v>2600</v>
      </c>
      <c r="I1279" t="s">
        <v>243</v>
      </c>
      <c r="K1279">
        <v>2541081.5945799998</v>
      </c>
      <c r="L1279">
        <v>1158366.1263600001</v>
      </c>
      <c r="M1279">
        <v>847.2</v>
      </c>
      <c r="N1279" t="s">
        <v>2901</v>
      </c>
    </row>
    <row r="1280" spans="1:14" x14ac:dyDescent="0.25">
      <c r="A1280">
        <v>8595521</v>
      </c>
      <c r="B1280" t="s">
        <v>2902</v>
      </c>
      <c r="C1280" t="s">
        <v>242</v>
      </c>
      <c r="D1280" t="s">
        <v>86</v>
      </c>
      <c r="E1280" t="s">
        <v>87</v>
      </c>
      <c r="F1280" t="s">
        <v>52</v>
      </c>
      <c r="G1280">
        <v>5586</v>
      </c>
      <c r="H1280" t="s">
        <v>52</v>
      </c>
      <c r="I1280" t="s">
        <v>243</v>
      </c>
      <c r="K1280">
        <v>2534825</v>
      </c>
      <c r="L1280">
        <v>1152975</v>
      </c>
      <c r="M1280">
        <v>394</v>
      </c>
      <c r="N1280" t="s">
        <v>2903</v>
      </c>
    </row>
    <row r="1281" spans="1:14" x14ac:dyDescent="0.25">
      <c r="A1281">
        <v>8595936</v>
      </c>
      <c r="B1281" t="s">
        <v>2904</v>
      </c>
      <c r="C1281" t="s">
        <v>242</v>
      </c>
      <c r="D1281" t="s">
        <v>86</v>
      </c>
      <c r="E1281" t="s">
        <v>87</v>
      </c>
      <c r="F1281" t="s">
        <v>52</v>
      </c>
      <c r="G1281">
        <v>5586</v>
      </c>
      <c r="H1281" t="s">
        <v>52</v>
      </c>
      <c r="I1281" t="s">
        <v>243</v>
      </c>
      <c r="J1281" t="s">
        <v>2810</v>
      </c>
      <c r="K1281">
        <v>2538756</v>
      </c>
      <c r="L1281">
        <v>1150758</v>
      </c>
      <c r="M1281">
        <v>375</v>
      </c>
      <c r="N1281" t="s">
        <v>2905</v>
      </c>
    </row>
    <row r="1282" spans="1:14" x14ac:dyDescent="0.25">
      <c r="A1282">
        <v>8579238</v>
      </c>
      <c r="B1282" t="s">
        <v>2906</v>
      </c>
      <c r="C1282" t="s">
        <v>242</v>
      </c>
      <c r="D1282" t="s">
        <v>1125</v>
      </c>
      <c r="E1282" t="s">
        <v>87</v>
      </c>
      <c r="F1282" t="s">
        <v>52</v>
      </c>
      <c r="G1282">
        <v>5586</v>
      </c>
      <c r="H1282" t="s">
        <v>52</v>
      </c>
      <c r="I1282" t="s">
        <v>243</v>
      </c>
      <c r="K1282">
        <v>2539205</v>
      </c>
      <c r="L1282">
        <v>1153810</v>
      </c>
      <c r="M1282">
        <v>607</v>
      </c>
      <c r="N1282" t="s">
        <v>2907</v>
      </c>
    </row>
    <row r="1283" spans="1:14" x14ac:dyDescent="0.25">
      <c r="A1283">
        <v>8579245</v>
      </c>
      <c r="B1283" t="s">
        <v>2908</v>
      </c>
      <c r="C1283" t="s">
        <v>242</v>
      </c>
      <c r="D1283" t="s">
        <v>86</v>
      </c>
      <c r="E1283" t="s">
        <v>87</v>
      </c>
      <c r="F1283" t="s">
        <v>52</v>
      </c>
      <c r="G1283">
        <v>5586</v>
      </c>
      <c r="H1283" t="s">
        <v>52</v>
      </c>
      <c r="I1283" t="s">
        <v>243</v>
      </c>
      <c r="K1283">
        <v>2540268</v>
      </c>
      <c r="L1283">
        <v>1153865</v>
      </c>
      <c r="M1283">
        <v>650</v>
      </c>
      <c r="N1283" t="s">
        <v>2909</v>
      </c>
    </row>
    <row r="1284" spans="1:14" x14ac:dyDescent="0.25">
      <c r="A1284">
        <v>8579253</v>
      </c>
      <c r="B1284" t="s">
        <v>2910</v>
      </c>
      <c r="C1284" t="s">
        <v>242</v>
      </c>
      <c r="D1284" t="s">
        <v>86</v>
      </c>
      <c r="E1284" t="s">
        <v>87</v>
      </c>
      <c r="F1284" t="s">
        <v>52</v>
      </c>
      <c r="G1284">
        <v>5586</v>
      </c>
      <c r="H1284" t="s">
        <v>52</v>
      </c>
      <c r="I1284" t="s">
        <v>243</v>
      </c>
      <c r="K1284">
        <v>2537922</v>
      </c>
      <c r="L1284">
        <v>1152376</v>
      </c>
      <c r="M1284">
        <v>616</v>
      </c>
      <c r="N1284" t="s">
        <v>2911</v>
      </c>
    </row>
    <row r="1285" spans="1:14" x14ac:dyDescent="0.25">
      <c r="A1285">
        <v>8516276</v>
      </c>
      <c r="B1285" t="s">
        <v>2912</v>
      </c>
      <c r="C1285" t="s">
        <v>132</v>
      </c>
      <c r="E1285" t="s">
        <v>87</v>
      </c>
      <c r="F1285" t="s">
        <v>52</v>
      </c>
      <c r="G1285">
        <v>5586</v>
      </c>
      <c r="H1285" t="s">
        <v>52</v>
      </c>
      <c r="I1285" t="s">
        <v>133</v>
      </c>
      <c r="J1285" t="s">
        <v>130</v>
      </c>
      <c r="K1285">
        <v>2539153.8360000001</v>
      </c>
      <c r="L1285">
        <v>1153887.2390000001</v>
      </c>
      <c r="M1285">
        <v>594.5</v>
      </c>
      <c r="N1285" t="s">
        <v>2913</v>
      </c>
    </row>
    <row r="1286" spans="1:14" x14ac:dyDescent="0.25">
      <c r="A1286">
        <v>8519447</v>
      </c>
      <c r="B1286" t="s">
        <v>2914</v>
      </c>
      <c r="C1286" t="s">
        <v>132</v>
      </c>
      <c r="E1286" t="s">
        <v>87</v>
      </c>
      <c r="F1286" t="s">
        <v>52</v>
      </c>
      <c r="G1286">
        <v>5586</v>
      </c>
      <c r="H1286" t="s">
        <v>52</v>
      </c>
      <c r="I1286" t="s">
        <v>133</v>
      </c>
      <c r="K1286">
        <v>2538625.2815</v>
      </c>
      <c r="L1286">
        <v>1151613.9712</v>
      </c>
      <c r="M1286">
        <v>445.78</v>
      </c>
      <c r="N1286" t="s">
        <v>2915</v>
      </c>
    </row>
    <row r="1287" spans="1:14" x14ac:dyDescent="0.25">
      <c r="A1287">
        <v>8587547</v>
      </c>
      <c r="B1287" t="s">
        <v>2916</v>
      </c>
      <c r="C1287" t="s">
        <v>242</v>
      </c>
      <c r="D1287" t="s">
        <v>86</v>
      </c>
      <c r="E1287" t="s">
        <v>87</v>
      </c>
      <c r="F1287" t="s">
        <v>52</v>
      </c>
      <c r="G1287">
        <v>5586</v>
      </c>
      <c r="H1287" t="s">
        <v>2700</v>
      </c>
      <c r="I1287" t="s">
        <v>243</v>
      </c>
      <c r="K1287">
        <v>2542689</v>
      </c>
      <c r="L1287">
        <v>1155810</v>
      </c>
      <c r="M1287">
        <v>809</v>
      </c>
      <c r="N1287" t="s">
        <v>2917</v>
      </c>
    </row>
    <row r="1288" spans="1:14" x14ac:dyDescent="0.25">
      <c r="A1288">
        <v>8587548</v>
      </c>
      <c r="B1288" t="s">
        <v>2918</v>
      </c>
      <c r="C1288" t="s">
        <v>242</v>
      </c>
      <c r="D1288" t="s">
        <v>86</v>
      </c>
      <c r="E1288" t="s">
        <v>87</v>
      </c>
      <c r="F1288" t="s">
        <v>52</v>
      </c>
      <c r="G1288">
        <v>5586</v>
      </c>
      <c r="H1288" t="s">
        <v>2700</v>
      </c>
      <c r="I1288" t="s">
        <v>243</v>
      </c>
      <c r="K1288">
        <v>2542964</v>
      </c>
      <c r="L1288">
        <v>1156215</v>
      </c>
      <c r="M1288">
        <v>839</v>
      </c>
      <c r="N1288" t="s">
        <v>2919</v>
      </c>
    </row>
    <row r="1289" spans="1:14" x14ac:dyDescent="0.25">
      <c r="A1289">
        <v>8592024</v>
      </c>
      <c r="B1289" t="s">
        <v>2920</v>
      </c>
      <c r="C1289" t="s">
        <v>242</v>
      </c>
      <c r="D1289" t="s">
        <v>86</v>
      </c>
      <c r="E1289" t="s">
        <v>87</v>
      </c>
      <c r="F1289" t="s">
        <v>52</v>
      </c>
      <c r="G1289">
        <v>5586</v>
      </c>
      <c r="H1289" t="s">
        <v>52</v>
      </c>
      <c r="I1289" t="s">
        <v>243</v>
      </c>
      <c r="K1289">
        <v>2537618</v>
      </c>
      <c r="L1289">
        <v>1151575</v>
      </c>
      <c r="M1289">
        <v>417</v>
      </c>
      <c r="N1289" t="s">
        <v>2921</v>
      </c>
    </row>
    <row r="1290" spans="1:14" x14ac:dyDescent="0.25">
      <c r="A1290">
        <v>8510575</v>
      </c>
      <c r="B1290" t="s">
        <v>2922</v>
      </c>
      <c r="C1290" t="s">
        <v>242</v>
      </c>
      <c r="D1290" t="s">
        <v>86</v>
      </c>
      <c r="E1290" t="s">
        <v>87</v>
      </c>
      <c r="F1290" t="s">
        <v>52</v>
      </c>
      <c r="G1290">
        <v>5586</v>
      </c>
      <c r="H1290" t="s">
        <v>52</v>
      </c>
      <c r="I1290" t="s">
        <v>243</v>
      </c>
      <c r="K1290">
        <v>2538566.4557699999</v>
      </c>
      <c r="L1290">
        <v>1152861.4339699999</v>
      </c>
      <c r="M1290">
        <v>520</v>
      </c>
      <c r="N1290" t="s">
        <v>2923</v>
      </c>
    </row>
    <row r="1291" spans="1:14" x14ac:dyDescent="0.25">
      <c r="A1291">
        <v>8510574</v>
      </c>
      <c r="B1291" t="s">
        <v>2924</v>
      </c>
      <c r="C1291" t="s">
        <v>242</v>
      </c>
      <c r="D1291" t="s">
        <v>86</v>
      </c>
      <c r="E1291" t="s">
        <v>87</v>
      </c>
      <c r="F1291" t="s">
        <v>52</v>
      </c>
      <c r="G1291">
        <v>5586</v>
      </c>
      <c r="H1291" t="s">
        <v>52</v>
      </c>
      <c r="I1291" t="s">
        <v>243</v>
      </c>
      <c r="K1291">
        <v>2539346.30412</v>
      </c>
      <c r="L1291">
        <v>1151859.1508599999</v>
      </c>
      <c r="M1291">
        <v>471</v>
      </c>
      <c r="N1291" t="s">
        <v>2925</v>
      </c>
    </row>
    <row r="1292" spans="1:14" x14ac:dyDescent="0.25">
      <c r="A1292">
        <v>8510905</v>
      </c>
      <c r="B1292" t="s">
        <v>2926</v>
      </c>
      <c r="C1292" t="s">
        <v>242</v>
      </c>
      <c r="D1292" t="s">
        <v>86</v>
      </c>
      <c r="E1292" t="s">
        <v>87</v>
      </c>
      <c r="F1292" t="s">
        <v>52</v>
      </c>
      <c r="G1292">
        <v>5586</v>
      </c>
      <c r="H1292" t="s">
        <v>52</v>
      </c>
      <c r="I1292" t="s">
        <v>243</v>
      </c>
      <c r="K1292">
        <v>2535808.1194699998</v>
      </c>
      <c r="L1292">
        <v>1152184.5398200001</v>
      </c>
      <c r="M1292">
        <v>383</v>
      </c>
      <c r="N1292" t="s">
        <v>2927</v>
      </c>
    </row>
    <row r="1293" spans="1:14" x14ac:dyDescent="0.25">
      <c r="A1293">
        <v>8592034</v>
      </c>
      <c r="B1293" t="s">
        <v>2928</v>
      </c>
      <c r="C1293" t="s">
        <v>242</v>
      </c>
      <c r="D1293" t="s">
        <v>86</v>
      </c>
      <c r="E1293" t="s">
        <v>87</v>
      </c>
      <c r="F1293" t="s">
        <v>52</v>
      </c>
      <c r="G1293">
        <v>5586</v>
      </c>
      <c r="H1293" t="s">
        <v>52</v>
      </c>
      <c r="I1293" t="s">
        <v>243</v>
      </c>
      <c r="K1293">
        <v>2537996</v>
      </c>
      <c r="L1293">
        <v>1153331</v>
      </c>
      <c r="M1293">
        <v>557</v>
      </c>
      <c r="N1293" t="s">
        <v>2929</v>
      </c>
    </row>
    <row r="1294" spans="1:14" x14ac:dyDescent="0.25">
      <c r="A1294">
        <v>8592019</v>
      </c>
      <c r="B1294" t="s">
        <v>2930</v>
      </c>
      <c r="C1294" t="s">
        <v>242</v>
      </c>
      <c r="D1294" t="s">
        <v>86</v>
      </c>
      <c r="E1294" t="s">
        <v>87</v>
      </c>
      <c r="F1294" t="s">
        <v>52</v>
      </c>
      <c r="G1294">
        <v>5586</v>
      </c>
      <c r="H1294" t="s">
        <v>52</v>
      </c>
      <c r="I1294" t="s">
        <v>243</v>
      </c>
      <c r="K1294">
        <v>2538625</v>
      </c>
      <c r="L1294">
        <v>1154924</v>
      </c>
      <c r="M1294">
        <v>660</v>
      </c>
      <c r="N1294" t="s">
        <v>2931</v>
      </c>
    </row>
    <row r="1295" spans="1:14" x14ac:dyDescent="0.25">
      <c r="A1295">
        <v>8592023</v>
      </c>
      <c r="B1295" t="s">
        <v>2932</v>
      </c>
      <c r="C1295" t="s">
        <v>242</v>
      </c>
      <c r="D1295" t="s">
        <v>86</v>
      </c>
      <c r="E1295" t="s">
        <v>87</v>
      </c>
      <c r="F1295" t="s">
        <v>52</v>
      </c>
      <c r="G1295">
        <v>5586</v>
      </c>
      <c r="H1295" t="s">
        <v>52</v>
      </c>
      <c r="I1295" t="s">
        <v>243</v>
      </c>
      <c r="K1295">
        <v>2540131.80455</v>
      </c>
      <c r="L1295">
        <v>1152643.6132799999</v>
      </c>
      <c r="M1295">
        <v>567</v>
      </c>
      <c r="N1295" t="s">
        <v>2933</v>
      </c>
    </row>
    <row r="1296" spans="1:14" x14ac:dyDescent="0.25">
      <c r="A1296">
        <v>8592052</v>
      </c>
      <c r="B1296" t="s">
        <v>2934</v>
      </c>
      <c r="C1296" t="s">
        <v>242</v>
      </c>
      <c r="D1296" t="s">
        <v>1130</v>
      </c>
      <c r="E1296" t="s">
        <v>87</v>
      </c>
      <c r="F1296" t="s">
        <v>52</v>
      </c>
      <c r="G1296">
        <v>5586</v>
      </c>
      <c r="H1296" t="s">
        <v>52</v>
      </c>
      <c r="I1296" t="s">
        <v>243</v>
      </c>
      <c r="K1296">
        <v>2537856</v>
      </c>
      <c r="L1296">
        <v>1151835</v>
      </c>
      <c r="M1296">
        <v>428</v>
      </c>
      <c r="N1296" t="s">
        <v>2935</v>
      </c>
    </row>
    <row r="1297" spans="1:14" x14ac:dyDescent="0.25">
      <c r="A1297">
        <v>8592043</v>
      </c>
      <c r="B1297" t="s">
        <v>2936</v>
      </c>
      <c r="C1297" t="s">
        <v>242</v>
      </c>
      <c r="D1297" t="s">
        <v>86</v>
      </c>
      <c r="E1297" t="s">
        <v>87</v>
      </c>
      <c r="F1297" t="s">
        <v>52</v>
      </c>
      <c r="G1297">
        <v>5586</v>
      </c>
      <c r="H1297" t="s">
        <v>52</v>
      </c>
      <c r="I1297" t="s">
        <v>243</v>
      </c>
      <c r="K1297">
        <v>2539172</v>
      </c>
      <c r="L1297">
        <v>1151695</v>
      </c>
      <c r="M1297">
        <v>449</v>
      </c>
      <c r="N1297" t="s">
        <v>2937</v>
      </c>
    </row>
    <row r="1298" spans="1:14" x14ac:dyDescent="0.25">
      <c r="A1298">
        <v>8592002</v>
      </c>
      <c r="B1298" t="s">
        <v>2938</v>
      </c>
      <c r="C1298" t="s">
        <v>242</v>
      </c>
      <c r="D1298" t="s">
        <v>86</v>
      </c>
      <c r="E1298" t="s">
        <v>87</v>
      </c>
      <c r="F1298" t="s">
        <v>52</v>
      </c>
      <c r="G1298">
        <v>5586</v>
      </c>
      <c r="H1298" t="s">
        <v>52</v>
      </c>
      <c r="I1298" t="s">
        <v>243</v>
      </c>
      <c r="K1298">
        <v>2540551</v>
      </c>
      <c r="L1298">
        <v>1154093</v>
      </c>
      <c r="M1298">
        <v>677</v>
      </c>
      <c r="N1298" t="s">
        <v>2939</v>
      </c>
    </row>
    <row r="1299" spans="1:14" x14ac:dyDescent="0.25">
      <c r="A1299">
        <v>8592042</v>
      </c>
      <c r="B1299" t="s">
        <v>2940</v>
      </c>
      <c r="C1299" t="s">
        <v>242</v>
      </c>
      <c r="D1299" t="s">
        <v>86</v>
      </c>
      <c r="E1299" t="s">
        <v>87</v>
      </c>
      <c r="F1299" t="s">
        <v>52</v>
      </c>
      <c r="G1299">
        <v>5586</v>
      </c>
      <c r="H1299" t="s">
        <v>52</v>
      </c>
      <c r="I1299" t="s">
        <v>243</v>
      </c>
      <c r="K1299">
        <v>2539464</v>
      </c>
      <c r="L1299">
        <v>1152883</v>
      </c>
      <c r="M1299">
        <v>563</v>
      </c>
      <c r="N1299" t="s">
        <v>2941</v>
      </c>
    </row>
    <row r="1300" spans="1:14" x14ac:dyDescent="0.25">
      <c r="A1300">
        <v>8592020</v>
      </c>
      <c r="B1300" t="s">
        <v>2942</v>
      </c>
      <c r="C1300" t="s">
        <v>242</v>
      </c>
      <c r="D1300" t="s">
        <v>86</v>
      </c>
      <c r="E1300" t="s">
        <v>87</v>
      </c>
      <c r="F1300" t="s">
        <v>52</v>
      </c>
      <c r="G1300">
        <v>5586</v>
      </c>
      <c r="H1300" t="s">
        <v>52</v>
      </c>
      <c r="I1300" t="s">
        <v>243</v>
      </c>
      <c r="K1300">
        <v>2538179</v>
      </c>
      <c r="L1300">
        <v>1151892</v>
      </c>
      <c r="M1300">
        <v>444</v>
      </c>
      <c r="N1300" t="s">
        <v>2943</v>
      </c>
    </row>
    <row r="1301" spans="1:14" x14ac:dyDescent="0.25">
      <c r="A1301">
        <v>8592001</v>
      </c>
      <c r="B1301" t="s">
        <v>2944</v>
      </c>
      <c r="C1301" t="s">
        <v>242</v>
      </c>
      <c r="D1301" t="s">
        <v>86</v>
      </c>
      <c r="E1301" t="s">
        <v>87</v>
      </c>
      <c r="F1301" t="s">
        <v>52</v>
      </c>
      <c r="G1301">
        <v>5586</v>
      </c>
      <c r="H1301" t="s">
        <v>52</v>
      </c>
      <c r="I1301" t="s">
        <v>243</v>
      </c>
      <c r="K1301">
        <v>2537405</v>
      </c>
      <c r="L1301">
        <v>1152837</v>
      </c>
      <c r="M1301">
        <v>490</v>
      </c>
      <c r="N1301" t="s">
        <v>2945</v>
      </c>
    </row>
    <row r="1302" spans="1:14" x14ac:dyDescent="0.25">
      <c r="A1302">
        <v>8592056</v>
      </c>
      <c r="B1302" t="s">
        <v>2946</v>
      </c>
      <c r="C1302" t="s">
        <v>242</v>
      </c>
      <c r="D1302" t="s">
        <v>86</v>
      </c>
      <c r="E1302" t="s">
        <v>87</v>
      </c>
      <c r="F1302" t="s">
        <v>52</v>
      </c>
      <c r="G1302">
        <v>5586</v>
      </c>
      <c r="H1302" t="s">
        <v>52</v>
      </c>
      <c r="I1302" t="s">
        <v>243</v>
      </c>
      <c r="K1302">
        <v>2537115</v>
      </c>
      <c r="L1302">
        <v>1154262</v>
      </c>
      <c r="M1302">
        <v>607</v>
      </c>
      <c r="N1302" t="s">
        <v>2947</v>
      </c>
    </row>
    <row r="1303" spans="1:14" x14ac:dyDescent="0.25">
      <c r="A1303">
        <v>8592027</v>
      </c>
      <c r="B1303" t="s">
        <v>2948</v>
      </c>
      <c r="C1303" t="s">
        <v>242</v>
      </c>
      <c r="D1303" t="s">
        <v>86</v>
      </c>
      <c r="E1303" t="s">
        <v>87</v>
      </c>
      <c r="F1303" t="s">
        <v>52</v>
      </c>
      <c r="G1303">
        <v>5586</v>
      </c>
      <c r="H1303" t="s">
        <v>52</v>
      </c>
      <c r="I1303" t="s">
        <v>243</v>
      </c>
      <c r="K1303">
        <v>2537591</v>
      </c>
      <c r="L1303">
        <v>1151819</v>
      </c>
      <c r="M1303">
        <v>436</v>
      </c>
      <c r="N1303" t="s">
        <v>2949</v>
      </c>
    </row>
    <row r="1304" spans="1:14" x14ac:dyDescent="0.25">
      <c r="A1304">
        <v>8592006</v>
      </c>
      <c r="B1304" t="s">
        <v>2950</v>
      </c>
      <c r="C1304" t="s">
        <v>94</v>
      </c>
      <c r="D1304" t="s">
        <v>86</v>
      </c>
      <c r="E1304" t="s">
        <v>87</v>
      </c>
      <c r="F1304" t="s">
        <v>52</v>
      </c>
      <c r="G1304">
        <v>5586</v>
      </c>
      <c r="H1304" t="s">
        <v>2600</v>
      </c>
      <c r="I1304" t="s">
        <v>96</v>
      </c>
      <c r="K1304">
        <v>2543347</v>
      </c>
      <c r="L1304">
        <v>1157654</v>
      </c>
      <c r="M1304">
        <v>870</v>
      </c>
      <c r="N1304" t="s">
        <v>2951</v>
      </c>
    </row>
    <row r="1305" spans="1:14" x14ac:dyDescent="0.25">
      <c r="A1305">
        <v>8592066</v>
      </c>
      <c r="B1305" t="s">
        <v>2952</v>
      </c>
      <c r="C1305" t="s">
        <v>242</v>
      </c>
      <c r="D1305" t="s">
        <v>86</v>
      </c>
      <c r="E1305" t="s">
        <v>87</v>
      </c>
      <c r="F1305" t="s">
        <v>52</v>
      </c>
      <c r="G1305">
        <v>5586</v>
      </c>
      <c r="H1305" t="s">
        <v>52</v>
      </c>
      <c r="I1305" t="s">
        <v>243</v>
      </c>
      <c r="K1305">
        <v>2539058</v>
      </c>
      <c r="L1305">
        <v>1154690</v>
      </c>
      <c r="M1305">
        <v>637</v>
      </c>
      <c r="N1305" t="s">
        <v>2953</v>
      </c>
    </row>
    <row r="1306" spans="1:14" x14ac:dyDescent="0.25">
      <c r="A1306">
        <v>8592065</v>
      </c>
      <c r="B1306" t="s">
        <v>2954</v>
      </c>
      <c r="C1306" t="s">
        <v>242</v>
      </c>
      <c r="D1306" t="s">
        <v>86</v>
      </c>
      <c r="E1306" t="s">
        <v>87</v>
      </c>
      <c r="F1306" t="s">
        <v>52</v>
      </c>
      <c r="G1306">
        <v>5586</v>
      </c>
      <c r="H1306" t="s">
        <v>52</v>
      </c>
      <c r="I1306" t="s">
        <v>243</v>
      </c>
      <c r="K1306">
        <v>2540037</v>
      </c>
      <c r="L1306">
        <v>1153517</v>
      </c>
      <c r="M1306">
        <v>627</v>
      </c>
      <c r="N1306" t="s">
        <v>2955</v>
      </c>
    </row>
    <row r="1307" spans="1:14" x14ac:dyDescent="0.25">
      <c r="A1307">
        <v>8592029</v>
      </c>
      <c r="B1307" t="s">
        <v>2956</v>
      </c>
      <c r="C1307" t="s">
        <v>242</v>
      </c>
      <c r="D1307" t="s">
        <v>86</v>
      </c>
      <c r="E1307" t="s">
        <v>87</v>
      </c>
      <c r="F1307" t="s">
        <v>52</v>
      </c>
      <c r="G1307">
        <v>5586</v>
      </c>
      <c r="H1307" t="s">
        <v>52</v>
      </c>
      <c r="I1307" t="s">
        <v>243</v>
      </c>
      <c r="K1307">
        <v>2538623</v>
      </c>
      <c r="L1307">
        <v>1151049</v>
      </c>
      <c r="M1307">
        <v>394</v>
      </c>
      <c r="N1307" t="s">
        <v>2957</v>
      </c>
    </row>
    <row r="1308" spans="1:14" x14ac:dyDescent="0.25">
      <c r="A1308">
        <v>8592011</v>
      </c>
      <c r="B1308" t="s">
        <v>2958</v>
      </c>
      <c r="C1308" t="s">
        <v>242</v>
      </c>
      <c r="D1308" t="s">
        <v>86</v>
      </c>
      <c r="E1308" t="s">
        <v>87</v>
      </c>
      <c r="F1308" t="s">
        <v>52</v>
      </c>
      <c r="G1308">
        <v>5586</v>
      </c>
      <c r="H1308" t="s">
        <v>52</v>
      </c>
      <c r="I1308" t="s">
        <v>243</v>
      </c>
      <c r="K1308">
        <v>2537745</v>
      </c>
      <c r="L1308">
        <v>1152823</v>
      </c>
      <c r="M1308">
        <v>500</v>
      </c>
      <c r="N1308" t="s">
        <v>2959</v>
      </c>
    </row>
    <row r="1309" spans="1:14" x14ac:dyDescent="0.25">
      <c r="A1309">
        <v>8592064</v>
      </c>
      <c r="B1309" t="s">
        <v>2960</v>
      </c>
      <c r="C1309" t="s">
        <v>242</v>
      </c>
      <c r="D1309" t="s">
        <v>86</v>
      </c>
      <c r="E1309" t="s">
        <v>87</v>
      </c>
      <c r="F1309" t="s">
        <v>52</v>
      </c>
      <c r="G1309">
        <v>5586</v>
      </c>
      <c r="H1309" t="s">
        <v>52</v>
      </c>
      <c r="I1309" t="s">
        <v>243</v>
      </c>
      <c r="K1309">
        <v>2536956</v>
      </c>
      <c r="L1309">
        <v>1152175</v>
      </c>
      <c r="M1309">
        <v>439</v>
      </c>
      <c r="N1309" t="s">
        <v>2961</v>
      </c>
    </row>
    <row r="1310" spans="1:14" x14ac:dyDescent="0.25">
      <c r="A1310">
        <v>8592070</v>
      </c>
      <c r="B1310" t="s">
        <v>2962</v>
      </c>
      <c r="C1310" t="s">
        <v>242</v>
      </c>
      <c r="D1310" t="s">
        <v>86</v>
      </c>
      <c r="E1310" t="s">
        <v>87</v>
      </c>
      <c r="F1310" t="s">
        <v>52</v>
      </c>
      <c r="G1310">
        <v>5586</v>
      </c>
      <c r="H1310" t="s">
        <v>2600</v>
      </c>
      <c r="I1310" t="s">
        <v>243</v>
      </c>
      <c r="K1310">
        <v>2542517</v>
      </c>
      <c r="L1310">
        <v>1157305</v>
      </c>
      <c r="M1310">
        <v>858</v>
      </c>
      <c r="N1310" t="s">
        <v>2963</v>
      </c>
    </row>
    <row r="1311" spans="1:14" x14ac:dyDescent="0.25">
      <c r="A1311">
        <v>8592075</v>
      </c>
      <c r="B1311" t="s">
        <v>2964</v>
      </c>
      <c r="C1311" t="s">
        <v>242</v>
      </c>
      <c r="D1311" t="s">
        <v>86</v>
      </c>
      <c r="E1311" t="s">
        <v>87</v>
      </c>
      <c r="F1311" t="s">
        <v>52</v>
      </c>
      <c r="G1311">
        <v>5586</v>
      </c>
      <c r="H1311" t="s">
        <v>52</v>
      </c>
      <c r="I1311" t="s">
        <v>243</v>
      </c>
      <c r="K1311">
        <v>2536805</v>
      </c>
      <c r="L1311">
        <v>1152071</v>
      </c>
      <c r="M1311">
        <v>425</v>
      </c>
      <c r="N1311" t="s">
        <v>2965</v>
      </c>
    </row>
    <row r="1312" spans="1:14" x14ac:dyDescent="0.25">
      <c r="A1312">
        <v>8592089</v>
      </c>
      <c r="B1312" t="s">
        <v>2966</v>
      </c>
      <c r="C1312" t="s">
        <v>242</v>
      </c>
      <c r="D1312" t="s">
        <v>86</v>
      </c>
      <c r="E1312" t="s">
        <v>87</v>
      </c>
      <c r="F1312" t="s">
        <v>52</v>
      </c>
      <c r="G1312">
        <v>5586</v>
      </c>
      <c r="H1312" t="s">
        <v>52</v>
      </c>
      <c r="I1312" t="s">
        <v>243</v>
      </c>
      <c r="K1312">
        <v>2538290</v>
      </c>
      <c r="L1312">
        <v>1154743</v>
      </c>
      <c r="M1312">
        <v>626</v>
      </c>
      <c r="N1312" t="s">
        <v>2967</v>
      </c>
    </row>
    <row r="1313" spans="1:14" x14ac:dyDescent="0.25">
      <c r="A1313">
        <v>8592108</v>
      </c>
      <c r="B1313" t="s">
        <v>2968</v>
      </c>
      <c r="C1313" t="s">
        <v>242</v>
      </c>
      <c r="D1313" t="s">
        <v>86</v>
      </c>
      <c r="E1313" t="s">
        <v>87</v>
      </c>
      <c r="F1313" t="s">
        <v>52</v>
      </c>
      <c r="G1313">
        <v>5586</v>
      </c>
      <c r="H1313" t="s">
        <v>52</v>
      </c>
      <c r="I1313" t="s">
        <v>243</v>
      </c>
      <c r="K1313">
        <v>2538174</v>
      </c>
      <c r="L1313">
        <v>1152074</v>
      </c>
      <c r="M1313">
        <v>458</v>
      </c>
      <c r="N1313" t="s">
        <v>2969</v>
      </c>
    </row>
    <row r="1314" spans="1:14" x14ac:dyDescent="0.25">
      <c r="A1314">
        <v>8592115</v>
      </c>
      <c r="B1314" t="s">
        <v>2970</v>
      </c>
      <c r="C1314" t="s">
        <v>242</v>
      </c>
      <c r="D1314" t="s">
        <v>86</v>
      </c>
      <c r="E1314" t="s">
        <v>87</v>
      </c>
      <c r="F1314" t="s">
        <v>52</v>
      </c>
      <c r="G1314">
        <v>5586</v>
      </c>
      <c r="H1314" t="s">
        <v>52</v>
      </c>
      <c r="I1314" t="s">
        <v>243</v>
      </c>
      <c r="K1314">
        <v>2538765</v>
      </c>
      <c r="L1314">
        <v>1153789</v>
      </c>
      <c r="M1314">
        <v>637</v>
      </c>
      <c r="N1314" t="s">
        <v>2971</v>
      </c>
    </row>
    <row r="1315" spans="1:14" x14ac:dyDescent="0.25">
      <c r="A1315">
        <v>8592119</v>
      </c>
      <c r="B1315" t="s">
        <v>2972</v>
      </c>
      <c r="C1315" t="s">
        <v>242</v>
      </c>
      <c r="D1315" t="s">
        <v>86</v>
      </c>
      <c r="E1315" t="s">
        <v>87</v>
      </c>
      <c r="F1315" t="s">
        <v>52</v>
      </c>
      <c r="G1315">
        <v>5586</v>
      </c>
      <c r="H1315" t="s">
        <v>52</v>
      </c>
      <c r="I1315" t="s">
        <v>243</v>
      </c>
      <c r="K1315">
        <v>2537027</v>
      </c>
      <c r="L1315">
        <v>1153210</v>
      </c>
      <c r="M1315">
        <v>498</v>
      </c>
      <c r="N1315" t="s">
        <v>2973</v>
      </c>
    </row>
    <row r="1316" spans="1:14" x14ac:dyDescent="0.25">
      <c r="A1316">
        <v>8592083</v>
      </c>
      <c r="B1316" t="s">
        <v>2974</v>
      </c>
      <c r="C1316" t="s">
        <v>242</v>
      </c>
      <c r="D1316" t="s">
        <v>86</v>
      </c>
      <c r="E1316" t="s">
        <v>87</v>
      </c>
      <c r="F1316" t="s">
        <v>52</v>
      </c>
      <c r="G1316">
        <v>5586</v>
      </c>
      <c r="H1316" t="s">
        <v>52</v>
      </c>
      <c r="I1316" t="s">
        <v>243</v>
      </c>
      <c r="K1316">
        <v>2539260</v>
      </c>
      <c r="L1316">
        <v>1152033</v>
      </c>
      <c r="M1316">
        <v>514</v>
      </c>
      <c r="N1316" t="s">
        <v>2975</v>
      </c>
    </row>
    <row r="1317" spans="1:14" x14ac:dyDescent="0.25">
      <c r="A1317">
        <v>8592120</v>
      </c>
      <c r="B1317" t="s">
        <v>2976</v>
      </c>
      <c r="C1317" t="s">
        <v>242</v>
      </c>
      <c r="D1317" t="s">
        <v>86</v>
      </c>
      <c r="E1317" t="s">
        <v>87</v>
      </c>
      <c r="F1317" t="s">
        <v>52</v>
      </c>
      <c r="G1317">
        <v>5586</v>
      </c>
      <c r="H1317" t="s">
        <v>52</v>
      </c>
      <c r="I1317" t="s">
        <v>243</v>
      </c>
      <c r="K1317">
        <v>2537658</v>
      </c>
      <c r="L1317">
        <v>1153021</v>
      </c>
      <c r="M1317">
        <v>513</v>
      </c>
      <c r="N1317" t="s">
        <v>2977</v>
      </c>
    </row>
    <row r="1318" spans="1:14" x14ac:dyDescent="0.25">
      <c r="A1318">
        <v>8592084</v>
      </c>
      <c r="B1318" t="s">
        <v>2978</v>
      </c>
      <c r="C1318" t="s">
        <v>242</v>
      </c>
      <c r="D1318" t="s">
        <v>86</v>
      </c>
      <c r="E1318" t="s">
        <v>87</v>
      </c>
      <c r="F1318" t="s">
        <v>52</v>
      </c>
      <c r="G1318">
        <v>5586</v>
      </c>
      <c r="H1318" t="s">
        <v>52</v>
      </c>
      <c r="I1318" t="s">
        <v>243</v>
      </c>
      <c r="K1318">
        <v>2538334</v>
      </c>
      <c r="L1318">
        <v>1151239</v>
      </c>
      <c r="M1318">
        <v>414</v>
      </c>
      <c r="N1318" t="s">
        <v>2979</v>
      </c>
    </row>
    <row r="1319" spans="1:14" x14ac:dyDescent="0.25">
      <c r="A1319">
        <v>8592091</v>
      </c>
      <c r="B1319" t="s">
        <v>2980</v>
      </c>
      <c r="C1319" t="s">
        <v>242</v>
      </c>
      <c r="D1319" t="s">
        <v>86</v>
      </c>
      <c r="E1319" t="s">
        <v>87</v>
      </c>
      <c r="F1319" t="s">
        <v>52</v>
      </c>
      <c r="G1319">
        <v>5586</v>
      </c>
      <c r="H1319" t="s">
        <v>52</v>
      </c>
      <c r="I1319" t="s">
        <v>243</v>
      </c>
      <c r="K1319">
        <v>2538382</v>
      </c>
      <c r="L1319">
        <v>1153245</v>
      </c>
      <c r="M1319">
        <v>567</v>
      </c>
      <c r="N1319" t="s">
        <v>2981</v>
      </c>
    </row>
    <row r="1320" spans="1:14" x14ac:dyDescent="0.25">
      <c r="A1320">
        <v>8591979</v>
      </c>
      <c r="B1320" t="s">
        <v>2982</v>
      </c>
      <c r="C1320" t="s">
        <v>242</v>
      </c>
      <c r="D1320" t="s">
        <v>86</v>
      </c>
      <c r="E1320" t="s">
        <v>87</v>
      </c>
      <c r="F1320" t="s">
        <v>52</v>
      </c>
      <c r="G1320">
        <v>5586</v>
      </c>
      <c r="H1320" t="s">
        <v>52</v>
      </c>
      <c r="I1320" t="s">
        <v>243</v>
      </c>
      <c r="K1320">
        <v>2538458</v>
      </c>
      <c r="L1320">
        <v>1151843</v>
      </c>
      <c r="M1320">
        <v>462</v>
      </c>
      <c r="N1320" t="s">
        <v>2983</v>
      </c>
    </row>
    <row r="1321" spans="1:14" x14ac:dyDescent="0.25">
      <c r="A1321">
        <v>8591978</v>
      </c>
      <c r="B1321" t="s">
        <v>2984</v>
      </c>
      <c r="C1321" t="s">
        <v>242</v>
      </c>
      <c r="D1321" t="s">
        <v>86</v>
      </c>
      <c r="E1321" t="s">
        <v>87</v>
      </c>
      <c r="F1321" t="s">
        <v>52</v>
      </c>
      <c r="G1321">
        <v>5586</v>
      </c>
      <c r="H1321" t="s">
        <v>52</v>
      </c>
      <c r="I1321" t="s">
        <v>243</v>
      </c>
      <c r="K1321">
        <v>2539301</v>
      </c>
      <c r="L1321">
        <v>1152823</v>
      </c>
      <c r="M1321">
        <v>571</v>
      </c>
      <c r="N1321" t="s">
        <v>2985</v>
      </c>
    </row>
    <row r="1322" spans="1:14" x14ac:dyDescent="0.25">
      <c r="A1322">
        <v>8591977</v>
      </c>
      <c r="B1322" t="s">
        <v>2986</v>
      </c>
      <c r="C1322" t="s">
        <v>242</v>
      </c>
      <c r="D1322" t="s">
        <v>86</v>
      </c>
      <c r="E1322" t="s">
        <v>87</v>
      </c>
      <c r="F1322" t="s">
        <v>52</v>
      </c>
      <c r="G1322">
        <v>5586</v>
      </c>
      <c r="H1322" t="s">
        <v>52</v>
      </c>
      <c r="I1322" t="s">
        <v>243</v>
      </c>
      <c r="K1322">
        <v>2539344</v>
      </c>
      <c r="L1322">
        <v>1154726</v>
      </c>
      <c r="M1322">
        <v>663</v>
      </c>
      <c r="N1322" t="s">
        <v>2987</v>
      </c>
    </row>
    <row r="1323" spans="1:14" x14ac:dyDescent="0.25">
      <c r="A1323">
        <v>8591991</v>
      </c>
      <c r="B1323" t="s">
        <v>2988</v>
      </c>
      <c r="C1323" t="s">
        <v>242</v>
      </c>
      <c r="D1323" t="s">
        <v>86</v>
      </c>
      <c r="E1323" t="s">
        <v>87</v>
      </c>
      <c r="F1323" t="s">
        <v>52</v>
      </c>
      <c r="G1323">
        <v>5586</v>
      </c>
      <c r="H1323" t="s">
        <v>52</v>
      </c>
      <c r="I1323" t="s">
        <v>243</v>
      </c>
      <c r="K1323">
        <v>2538520</v>
      </c>
      <c r="L1323">
        <v>1152320</v>
      </c>
      <c r="M1323">
        <v>500</v>
      </c>
      <c r="N1323" t="s">
        <v>2989</v>
      </c>
    </row>
    <row r="1324" spans="1:14" x14ac:dyDescent="0.25">
      <c r="A1324">
        <v>8591994</v>
      </c>
      <c r="B1324" t="s">
        <v>2990</v>
      </c>
      <c r="C1324" t="s">
        <v>242</v>
      </c>
      <c r="D1324" t="s">
        <v>86</v>
      </c>
      <c r="E1324" t="s">
        <v>87</v>
      </c>
      <c r="F1324" t="s">
        <v>52</v>
      </c>
      <c r="G1324">
        <v>5586</v>
      </c>
      <c r="H1324" t="s">
        <v>52</v>
      </c>
      <c r="I1324" t="s">
        <v>243</v>
      </c>
      <c r="K1324">
        <v>2537294</v>
      </c>
      <c r="L1324">
        <v>1154878</v>
      </c>
      <c r="M1324">
        <v>600</v>
      </c>
      <c r="N1324" t="s">
        <v>2991</v>
      </c>
    </row>
    <row r="1325" spans="1:14" x14ac:dyDescent="0.25">
      <c r="A1325">
        <v>8591986</v>
      </c>
      <c r="B1325" t="s">
        <v>2992</v>
      </c>
      <c r="C1325" t="s">
        <v>242</v>
      </c>
      <c r="D1325" t="s">
        <v>86</v>
      </c>
      <c r="E1325" t="s">
        <v>87</v>
      </c>
      <c r="F1325" t="s">
        <v>52</v>
      </c>
      <c r="G1325">
        <v>5586</v>
      </c>
      <c r="H1325" t="s">
        <v>52</v>
      </c>
      <c r="I1325" t="s">
        <v>243</v>
      </c>
      <c r="K1325">
        <v>2537743</v>
      </c>
      <c r="L1325">
        <v>1151100</v>
      </c>
      <c r="M1325">
        <v>383</v>
      </c>
      <c r="N1325" t="s">
        <v>2993</v>
      </c>
    </row>
    <row r="1326" spans="1:14" x14ac:dyDescent="0.25">
      <c r="A1326">
        <v>8591985</v>
      </c>
      <c r="B1326" t="s">
        <v>2994</v>
      </c>
      <c r="C1326" t="s">
        <v>242</v>
      </c>
      <c r="D1326" t="s">
        <v>86</v>
      </c>
      <c r="E1326" t="s">
        <v>87</v>
      </c>
      <c r="F1326" t="s">
        <v>52</v>
      </c>
      <c r="G1326">
        <v>5586</v>
      </c>
      <c r="H1326" t="s">
        <v>52</v>
      </c>
      <c r="I1326" t="s">
        <v>243</v>
      </c>
      <c r="K1326">
        <v>2537407</v>
      </c>
      <c r="L1326">
        <v>1151579</v>
      </c>
      <c r="M1326">
        <v>413</v>
      </c>
      <c r="N1326" t="s">
        <v>2995</v>
      </c>
    </row>
    <row r="1327" spans="1:14" x14ac:dyDescent="0.25">
      <c r="A1327">
        <v>8591984</v>
      </c>
      <c r="B1327" t="s">
        <v>2996</v>
      </c>
      <c r="C1327" t="s">
        <v>242</v>
      </c>
      <c r="D1327" t="s">
        <v>86</v>
      </c>
      <c r="E1327" t="s">
        <v>87</v>
      </c>
      <c r="F1327" t="s">
        <v>52</v>
      </c>
      <c r="G1327">
        <v>5586</v>
      </c>
      <c r="H1327" t="s">
        <v>52</v>
      </c>
      <c r="I1327" t="s">
        <v>243</v>
      </c>
      <c r="K1327">
        <v>2537467</v>
      </c>
      <c r="L1327">
        <v>1153306</v>
      </c>
      <c r="M1327">
        <v>539</v>
      </c>
      <c r="N1327" t="s">
        <v>2997</v>
      </c>
    </row>
    <row r="1328" spans="1:14" x14ac:dyDescent="0.25">
      <c r="A1328">
        <v>8592132</v>
      </c>
      <c r="B1328" t="s">
        <v>2998</v>
      </c>
      <c r="C1328" t="s">
        <v>242</v>
      </c>
      <c r="D1328" t="s">
        <v>86</v>
      </c>
      <c r="E1328" t="s">
        <v>87</v>
      </c>
      <c r="F1328" t="s">
        <v>52</v>
      </c>
      <c r="G1328">
        <v>5586</v>
      </c>
      <c r="H1328" t="s">
        <v>52</v>
      </c>
      <c r="I1328" t="s">
        <v>243</v>
      </c>
      <c r="K1328">
        <v>2537971</v>
      </c>
      <c r="L1328">
        <v>1153870</v>
      </c>
      <c r="M1328">
        <v>559</v>
      </c>
      <c r="N1328" t="s">
        <v>2999</v>
      </c>
    </row>
    <row r="1329" spans="1:14" x14ac:dyDescent="0.25">
      <c r="A1329">
        <v>8592130</v>
      </c>
      <c r="B1329" t="s">
        <v>3000</v>
      </c>
      <c r="C1329" t="s">
        <v>242</v>
      </c>
      <c r="D1329" t="s">
        <v>86</v>
      </c>
      <c r="E1329" t="s">
        <v>87</v>
      </c>
      <c r="F1329" t="s">
        <v>52</v>
      </c>
      <c r="G1329">
        <v>5586</v>
      </c>
      <c r="H1329" t="s">
        <v>2600</v>
      </c>
      <c r="I1329" t="s">
        <v>243</v>
      </c>
      <c r="K1329">
        <v>2542209.3789499998</v>
      </c>
      <c r="L1329">
        <v>1156858.0741399999</v>
      </c>
      <c r="M1329">
        <v>837</v>
      </c>
      <c r="N1329" t="s">
        <v>3001</v>
      </c>
    </row>
    <row r="1330" spans="1:14" x14ac:dyDescent="0.25">
      <c r="A1330">
        <v>8511690</v>
      </c>
      <c r="B1330" t="s">
        <v>3002</v>
      </c>
      <c r="C1330" t="s">
        <v>242</v>
      </c>
      <c r="D1330" t="s">
        <v>86</v>
      </c>
      <c r="E1330" t="s">
        <v>87</v>
      </c>
      <c r="F1330" t="s">
        <v>52</v>
      </c>
      <c r="G1330">
        <v>5586</v>
      </c>
      <c r="H1330" t="s">
        <v>52</v>
      </c>
      <c r="I1330" t="s">
        <v>243</v>
      </c>
      <c r="K1330">
        <v>2538779.3935799999</v>
      </c>
      <c r="L1330">
        <v>1152923.0575000001</v>
      </c>
      <c r="M1330">
        <v>562.70000000000005</v>
      </c>
      <c r="N1330" t="s">
        <v>3003</v>
      </c>
    </row>
    <row r="1331" spans="1:14" x14ac:dyDescent="0.25">
      <c r="A1331">
        <v>8592036</v>
      </c>
      <c r="B1331" t="s">
        <v>3004</v>
      </c>
      <c r="C1331" t="s">
        <v>242</v>
      </c>
      <c r="D1331" t="s">
        <v>2695</v>
      </c>
      <c r="E1331" t="s">
        <v>87</v>
      </c>
      <c r="F1331" t="s">
        <v>52</v>
      </c>
      <c r="G1331">
        <v>5586</v>
      </c>
      <c r="H1331" t="s">
        <v>52</v>
      </c>
      <c r="I1331" t="s">
        <v>243</v>
      </c>
      <c r="K1331">
        <v>2536773.8234100002</v>
      </c>
      <c r="L1331">
        <v>1152937.0347800001</v>
      </c>
      <c r="M1331">
        <v>455.9</v>
      </c>
      <c r="N1331" t="s">
        <v>3005</v>
      </c>
    </row>
    <row r="1332" spans="1:14" x14ac:dyDescent="0.25">
      <c r="A1332">
        <v>8592124</v>
      </c>
      <c r="B1332" t="s">
        <v>3006</v>
      </c>
      <c r="C1332" t="s">
        <v>242</v>
      </c>
      <c r="D1332" t="s">
        <v>86</v>
      </c>
      <c r="E1332" t="s">
        <v>87</v>
      </c>
      <c r="F1332" t="s">
        <v>52</v>
      </c>
      <c r="G1332">
        <v>5586</v>
      </c>
      <c r="H1332" t="s">
        <v>52</v>
      </c>
      <c r="I1332" t="s">
        <v>243</v>
      </c>
      <c r="K1332">
        <v>2536528.26003</v>
      </c>
      <c r="L1332">
        <v>1153673.4417300001</v>
      </c>
      <c r="M1332">
        <v>491.5</v>
      </c>
      <c r="N1332" t="s">
        <v>3007</v>
      </c>
    </row>
    <row r="1333" spans="1:14" x14ac:dyDescent="0.25">
      <c r="A1333">
        <v>8501128</v>
      </c>
      <c r="B1333" t="s">
        <v>3008</v>
      </c>
      <c r="C1333" t="s">
        <v>132</v>
      </c>
      <c r="E1333" t="s">
        <v>87</v>
      </c>
      <c r="F1333" t="s">
        <v>52</v>
      </c>
      <c r="G1333">
        <v>5586</v>
      </c>
      <c r="H1333" t="s">
        <v>52</v>
      </c>
      <c r="I1333" t="s">
        <v>133</v>
      </c>
      <c r="J1333" t="s">
        <v>625</v>
      </c>
      <c r="K1333">
        <v>2536497.676</v>
      </c>
      <c r="L1333">
        <v>1152888.69</v>
      </c>
      <c r="M1333">
        <v>446.78500000000003</v>
      </c>
      <c r="N1333" t="s">
        <v>3009</v>
      </c>
    </row>
    <row r="1334" spans="1:14" x14ac:dyDescent="0.25">
      <c r="A1334">
        <v>8501120</v>
      </c>
      <c r="B1334" t="s">
        <v>52</v>
      </c>
      <c r="C1334" t="s">
        <v>132</v>
      </c>
      <c r="D1334" t="s">
        <v>112</v>
      </c>
      <c r="E1334" t="s">
        <v>87</v>
      </c>
      <c r="F1334" t="s">
        <v>52</v>
      </c>
      <c r="G1334">
        <v>5586</v>
      </c>
      <c r="H1334" t="s">
        <v>52</v>
      </c>
      <c r="I1334" t="s">
        <v>133</v>
      </c>
      <c r="K1334">
        <v>2537874.9909999999</v>
      </c>
      <c r="L1334">
        <v>1152042.412</v>
      </c>
      <c r="M1334">
        <v>447.09</v>
      </c>
      <c r="N1334" t="s">
        <v>3010</v>
      </c>
    </row>
    <row r="1335" spans="1:14" x14ac:dyDescent="0.25">
      <c r="A1335">
        <v>8501181</v>
      </c>
      <c r="B1335" t="s">
        <v>3011</v>
      </c>
      <c r="C1335" t="s">
        <v>238</v>
      </c>
      <c r="D1335" t="s">
        <v>112</v>
      </c>
      <c r="E1335" t="s">
        <v>87</v>
      </c>
      <c r="F1335" t="s">
        <v>52</v>
      </c>
      <c r="G1335">
        <v>5586</v>
      </c>
      <c r="H1335" t="s">
        <v>52</v>
      </c>
      <c r="I1335" t="s">
        <v>239</v>
      </c>
      <c r="K1335">
        <v>2537975.335</v>
      </c>
      <c r="L1335">
        <v>1152486.9680000001</v>
      </c>
      <c r="M1335">
        <v>480</v>
      </c>
      <c r="N1335" t="s">
        <v>3012</v>
      </c>
    </row>
    <row r="1336" spans="1:14" x14ac:dyDescent="0.25">
      <c r="A1336">
        <v>8501210</v>
      </c>
      <c r="B1336" t="s">
        <v>3013</v>
      </c>
      <c r="C1336" t="s">
        <v>242</v>
      </c>
      <c r="D1336" t="s">
        <v>1125</v>
      </c>
      <c r="E1336" t="s">
        <v>87</v>
      </c>
      <c r="F1336" t="s">
        <v>52</v>
      </c>
      <c r="G1336">
        <v>5586</v>
      </c>
      <c r="H1336" t="s">
        <v>52</v>
      </c>
      <c r="I1336" t="s">
        <v>243</v>
      </c>
      <c r="K1336">
        <v>2534868</v>
      </c>
      <c r="L1336">
        <v>1152794</v>
      </c>
      <c r="M1336">
        <v>390</v>
      </c>
      <c r="N1336" t="s">
        <v>3014</v>
      </c>
    </row>
    <row r="1337" spans="1:14" x14ac:dyDescent="0.25">
      <c r="A1337">
        <v>8504171</v>
      </c>
      <c r="B1337" t="s">
        <v>3015</v>
      </c>
      <c r="C1337" t="s">
        <v>242</v>
      </c>
      <c r="D1337" t="s">
        <v>86</v>
      </c>
      <c r="E1337" t="s">
        <v>87</v>
      </c>
      <c r="F1337" t="s">
        <v>52</v>
      </c>
      <c r="G1337">
        <v>5586</v>
      </c>
      <c r="H1337" t="s">
        <v>2600</v>
      </c>
      <c r="I1337" t="s">
        <v>243</v>
      </c>
      <c r="K1337">
        <v>2542142</v>
      </c>
      <c r="L1337">
        <v>1156482</v>
      </c>
      <c r="M1337">
        <v>833</v>
      </c>
      <c r="N1337" t="s">
        <v>3016</v>
      </c>
    </row>
    <row r="1338" spans="1:14" x14ac:dyDescent="0.25">
      <c r="A1338">
        <v>8504176</v>
      </c>
      <c r="B1338" t="s">
        <v>3017</v>
      </c>
      <c r="C1338" t="s">
        <v>242</v>
      </c>
      <c r="D1338" t="s">
        <v>86</v>
      </c>
      <c r="E1338" t="s">
        <v>87</v>
      </c>
      <c r="F1338" t="s">
        <v>52</v>
      </c>
      <c r="G1338">
        <v>5586</v>
      </c>
      <c r="H1338" t="s">
        <v>52</v>
      </c>
      <c r="I1338" t="s">
        <v>243</v>
      </c>
      <c r="K1338">
        <v>2538300</v>
      </c>
      <c r="L1338">
        <v>1153000</v>
      </c>
      <c r="M1338">
        <v>512</v>
      </c>
      <c r="N1338" t="s">
        <v>3018</v>
      </c>
    </row>
    <row r="1339" spans="1:14" x14ac:dyDescent="0.25">
      <c r="A1339">
        <v>8519588</v>
      </c>
      <c r="B1339" t="s">
        <v>3019</v>
      </c>
      <c r="C1339" t="s">
        <v>242</v>
      </c>
      <c r="E1339" t="s">
        <v>87</v>
      </c>
      <c r="F1339" t="s">
        <v>52</v>
      </c>
      <c r="G1339">
        <v>5586</v>
      </c>
      <c r="H1339" t="s">
        <v>52</v>
      </c>
      <c r="I1339" t="s">
        <v>243</v>
      </c>
      <c r="J1339" t="s">
        <v>2583</v>
      </c>
      <c r="K1339">
        <v>2537954</v>
      </c>
      <c r="L1339">
        <v>1152410</v>
      </c>
      <c r="M1339">
        <v>486</v>
      </c>
      <c r="N1339" t="s">
        <v>3020</v>
      </c>
    </row>
    <row r="1340" spans="1:14" x14ac:dyDescent="0.25">
      <c r="A1340">
        <v>8592035</v>
      </c>
      <c r="B1340" t="s">
        <v>3021</v>
      </c>
      <c r="C1340" t="s">
        <v>242</v>
      </c>
      <c r="D1340" t="s">
        <v>86</v>
      </c>
      <c r="E1340" t="s">
        <v>87</v>
      </c>
      <c r="F1340" t="s">
        <v>52</v>
      </c>
      <c r="G1340">
        <v>5586</v>
      </c>
      <c r="H1340" t="s">
        <v>52</v>
      </c>
      <c r="I1340" t="s">
        <v>243</v>
      </c>
      <c r="K1340">
        <v>2537327.7935600001</v>
      </c>
      <c r="L1340">
        <v>1153231.27884</v>
      </c>
      <c r="M1340">
        <v>526.29999999999995</v>
      </c>
      <c r="N1340" t="s">
        <v>3022</v>
      </c>
    </row>
    <row r="1341" spans="1:14" x14ac:dyDescent="0.25">
      <c r="A1341">
        <v>8511845</v>
      </c>
      <c r="B1341" t="s">
        <v>3023</v>
      </c>
      <c r="C1341" t="s">
        <v>242</v>
      </c>
      <c r="D1341" t="s">
        <v>86</v>
      </c>
      <c r="E1341" t="s">
        <v>87</v>
      </c>
      <c r="F1341" t="s">
        <v>52</v>
      </c>
      <c r="G1341">
        <v>5586</v>
      </c>
      <c r="H1341" t="s">
        <v>52</v>
      </c>
      <c r="I1341" t="s">
        <v>243</v>
      </c>
      <c r="K1341">
        <v>2537360.3152399999</v>
      </c>
      <c r="L1341">
        <v>1153016.9926</v>
      </c>
      <c r="M1341">
        <v>511.4</v>
      </c>
      <c r="N1341" t="s">
        <v>3024</v>
      </c>
    </row>
    <row r="1342" spans="1:14" x14ac:dyDescent="0.25">
      <c r="A1342">
        <v>8592103</v>
      </c>
      <c r="B1342" t="s">
        <v>3025</v>
      </c>
      <c r="C1342" t="s">
        <v>242</v>
      </c>
      <c r="D1342" t="s">
        <v>2695</v>
      </c>
      <c r="E1342" t="s">
        <v>87</v>
      </c>
      <c r="F1342" t="s">
        <v>52</v>
      </c>
      <c r="G1342">
        <v>5586</v>
      </c>
      <c r="H1342" t="s">
        <v>52</v>
      </c>
      <c r="I1342" t="s">
        <v>243</v>
      </c>
      <c r="K1342">
        <v>2536271.0904700002</v>
      </c>
      <c r="L1342">
        <v>1153150.7098699999</v>
      </c>
      <c r="M1342">
        <v>445.8</v>
      </c>
      <c r="N1342" t="s">
        <v>3026</v>
      </c>
    </row>
    <row r="1343" spans="1:14" x14ac:dyDescent="0.25">
      <c r="A1343">
        <v>8592098</v>
      </c>
      <c r="B1343" t="s">
        <v>3027</v>
      </c>
      <c r="C1343" t="s">
        <v>242</v>
      </c>
      <c r="D1343" t="s">
        <v>2695</v>
      </c>
      <c r="E1343" t="s">
        <v>87</v>
      </c>
      <c r="F1343" t="s">
        <v>52</v>
      </c>
      <c r="G1343">
        <v>5586</v>
      </c>
      <c r="H1343" t="s">
        <v>52</v>
      </c>
      <c r="I1343" t="s">
        <v>243</v>
      </c>
      <c r="K1343">
        <v>2537717.2510799998</v>
      </c>
      <c r="L1343">
        <v>1152645.2244599999</v>
      </c>
      <c r="M1343">
        <v>479.6</v>
      </c>
      <c r="N1343" t="s">
        <v>3028</v>
      </c>
    </row>
    <row r="1344" spans="1:14" x14ac:dyDescent="0.25">
      <c r="A1344">
        <v>8591818</v>
      </c>
      <c r="B1344" t="s">
        <v>3029</v>
      </c>
      <c r="C1344" t="s">
        <v>242</v>
      </c>
      <c r="D1344" t="s">
        <v>3030</v>
      </c>
      <c r="E1344" t="s">
        <v>87</v>
      </c>
      <c r="F1344" t="s">
        <v>52</v>
      </c>
      <c r="G1344">
        <v>5586</v>
      </c>
      <c r="H1344" t="s">
        <v>52</v>
      </c>
      <c r="I1344" t="s">
        <v>243</v>
      </c>
      <c r="J1344" t="s">
        <v>3031</v>
      </c>
      <c r="K1344">
        <v>2537993.26376</v>
      </c>
      <c r="L1344">
        <v>1152461.19768</v>
      </c>
      <c r="M1344">
        <v>480.3</v>
      </c>
      <c r="N1344" t="s">
        <v>3032</v>
      </c>
    </row>
    <row r="1345" spans="1:14" x14ac:dyDescent="0.25">
      <c r="A1345">
        <v>8592033</v>
      </c>
      <c r="B1345" t="s">
        <v>3033</v>
      </c>
      <c r="C1345" t="s">
        <v>242</v>
      </c>
      <c r="D1345" t="s">
        <v>86</v>
      </c>
      <c r="E1345" t="s">
        <v>87</v>
      </c>
      <c r="F1345" t="s">
        <v>52</v>
      </c>
      <c r="G1345">
        <v>5586</v>
      </c>
      <c r="H1345" t="s">
        <v>52</v>
      </c>
      <c r="I1345" t="s">
        <v>243</v>
      </c>
      <c r="K1345">
        <v>2537779.7435400002</v>
      </c>
      <c r="L1345">
        <v>1153494.2702500001</v>
      </c>
      <c r="M1345">
        <v>562.20000000000005</v>
      </c>
      <c r="N1345" t="s">
        <v>3034</v>
      </c>
    </row>
    <row r="1346" spans="1:14" x14ac:dyDescent="0.25">
      <c r="A1346">
        <v>8595004</v>
      </c>
      <c r="B1346" t="s">
        <v>3035</v>
      </c>
      <c r="C1346" t="s">
        <v>242</v>
      </c>
      <c r="D1346" t="s">
        <v>86</v>
      </c>
      <c r="E1346" t="s">
        <v>87</v>
      </c>
      <c r="F1346" t="s">
        <v>52</v>
      </c>
      <c r="G1346">
        <v>5586</v>
      </c>
      <c r="H1346" t="s">
        <v>52</v>
      </c>
      <c r="I1346" t="s">
        <v>243</v>
      </c>
      <c r="K1346">
        <v>2538085.0485800002</v>
      </c>
      <c r="L1346">
        <v>1154739.3691499999</v>
      </c>
      <c r="M1346">
        <v>594.4</v>
      </c>
      <c r="N1346" t="s">
        <v>3036</v>
      </c>
    </row>
    <row r="1347" spans="1:14" x14ac:dyDescent="0.25">
      <c r="A1347">
        <v>8595939</v>
      </c>
      <c r="B1347" t="s">
        <v>3037</v>
      </c>
      <c r="C1347" t="s">
        <v>242</v>
      </c>
      <c r="D1347" t="s">
        <v>86</v>
      </c>
      <c r="E1347" t="s">
        <v>87</v>
      </c>
      <c r="F1347" t="s">
        <v>52</v>
      </c>
      <c r="G1347">
        <v>5586</v>
      </c>
      <c r="H1347" t="s">
        <v>52</v>
      </c>
      <c r="I1347" t="s">
        <v>243</v>
      </c>
      <c r="J1347" t="s">
        <v>2810</v>
      </c>
      <c r="K1347">
        <v>2535156</v>
      </c>
      <c r="L1347">
        <v>1152304</v>
      </c>
      <c r="M1347">
        <v>376</v>
      </c>
      <c r="N1347" t="s">
        <v>3038</v>
      </c>
    </row>
    <row r="1348" spans="1:14" x14ac:dyDescent="0.25">
      <c r="A1348">
        <v>8570667</v>
      </c>
      <c r="B1348" t="s">
        <v>3039</v>
      </c>
      <c r="C1348" t="s">
        <v>94</v>
      </c>
      <c r="D1348" t="s">
        <v>86</v>
      </c>
      <c r="E1348" t="s">
        <v>87</v>
      </c>
      <c r="F1348" t="s">
        <v>3040</v>
      </c>
      <c r="G1348">
        <v>5406</v>
      </c>
      <c r="H1348" t="s">
        <v>3041</v>
      </c>
      <c r="I1348" t="s">
        <v>96</v>
      </c>
      <c r="K1348">
        <v>2567336</v>
      </c>
      <c r="L1348">
        <v>1118600</v>
      </c>
      <c r="M1348">
        <v>418</v>
      </c>
      <c r="N1348" t="s">
        <v>3042</v>
      </c>
    </row>
    <row r="1349" spans="1:14" x14ac:dyDescent="0.25">
      <c r="A1349">
        <v>8570669</v>
      </c>
      <c r="B1349" t="s">
        <v>3043</v>
      </c>
      <c r="C1349" t="s">
        <v>94</v>
      </c>
      <c r="D1349" t="s">
        <v>86</v>
      </c>
      <c r="E1349" t="s">
        <v>87</v>
      </c>
      <c r="F1349" t="s">
        <v>3040</v>
      </c>
      <c r="G1349">
        <v>5406</v>
      </c>
      <c r="H1349" t="s">
        <v>3044</v>
      </c>
      <c r="I1349" t="s">
        <v>96</v>
      </c>
      <c r="K1349">
        <v>2567558</v>
      </c>
      <c r="L1349">
        <v>1117097</v>
      </c>
      <c r="M1349">
        <v>419</v>
      </c>
      <c r="N1349" t="s">
        <v>3045</v>
      </c>
    </row>
    <row r="1350" spans="1:14" x14ac:dyDescent="0.25">
      <c r="A1350">
        <v>8570666</v>
      </c>
      <c r="B1350" t="s">
        <v>3046</v>
      </c>
      <c r="C1350" t="s">
        <v>94</v>
      </c>
      <c r="D1350" t="s">
        <v>86</v>
      </c>
      <c r="E1350" t="s">
        <v>87</v>
      </c>
      <c r="F1350" t="s">
        <v>3040</v>
      </c>
      <c r="G1350">
        <v>5406</v>
      </c>
      <c r="H1350" t="s">
        <v>3041</v>
      </c>
      <c r="I1350" t="s">
        <v>96</v>
      </c>
      <c r="J1350" t="s">
        <v>3047</v>
      </c>
      <c r="K1350">
        <v>2567462</v>
      </c>
      <c r="L1350">
        <v>1118813</v>
      </c>
      <c r="M1350">
        <v>438</v>
      </c>
      <c r="N1350" t="s">
        <v>3048</v>
      </c>
    </row>
    <row r="1351" spans="1:14" x14ac:dyDescent="0.25">
      <c r="A1351">
        <v>8580651</v>
      </c>
      <c r="B1351" t="s">
        <v>3049</v>
      </c>
      <c r="C1351" t="s">
        <v>94</v>
      </c>
      <c r="D1351" t="s">
        <v>86</v>
      </c>
      <c r="E1351" t="s">
        <v>87</v>
      </c>
      <c r="F1351" t="s">
        <v>3040</v>
      </c>
      <c r="G1351">
        <v>5406</v>
      </c>
      <c r="H1351" t="s">
        <v>3041</v>
      </c>
      <c r="I1351" t="s">
        <v>96</v>
      </c>
      <c r="K1351">
        <v>2567223</v>
      </c>
      <c r="L1351">
        <v>1117648</v>
      </c>
      <c r="M1351">
        <v>411</v>
      </c>
      <c r="N1351" t="s">
        <v>3050</v>
      </c>
    </row>
    <row r="1352" spans="1:14" x14ac:dyDescent="0.25">
      <c r="A1352">
        <v>8570668</v>
      </c>
      <c r="B1352" t="s">
        <v>3051</v>
      </c>
      <c r="C1352" t="s">
        <v>94</v>
      </c>
      <c r="D1352" t="s">
        <v>86</v>
      </c>
      <c r="E1352" t="s">
        <v>87</v>
      </c>
      <c r="F1352" t="s">
        <v>3040</v>
      </c>
      <c r="G1352">
        <v>5406</v>
      </c>
      <c r="H1352" t="s">
        <v>3044</v>
      </c>
      <c r="I1352" t="s">
        <v>96</v>
      </c>
      <c r="K1352">
        <v>2567353.5474800002</v>
      </c>
      <c r="L1352">
        <v>1117360.0586300001</v>
      </c>
      <c r="M1352">
        <v>414</v>
      </c>
      <c r="N1352" t="s">
        <v>3052</v>
      </c>
    </row>
    <row r="1353" spans="1:14" x14ac:dyDescent="0.25">
      <c r="A1353">
        <v>8504653</v>
      </c>
      <c r="B1353" t="s">
        <v>3053</v>
      </c>
      <c r="C1353" t="s">
        <v>85</v>
      </c>
      <c r="D1353" t="s">
        <v>86</v>
      </c>
      <c r="E1353" t="s">
        <v>87</v>
      </c>
      <c r="F1353" t="s">
        <v>3054</v>
      </c>
      <c r="G1353">
        <v>5637</v>
      </c>
      <c r="H1353" t="s">
        <v>3054</v>
      </c>
      <c r="I1353" t="s">
        <v>89</v>
      </c>
      <c r="K1353">
        <v>2520655</v>
      </c>
      <c r="L1353">
        <v>1150553</v>
      </c>
      <c r="M1353">
        <v>522</v>
      </c>
      <c r="N1353" t="s">
        <v>3055</v>
      </c>
    </row>
    <row r="1354" spans="1:14" x14ac:dyDescent="0.25">
      <c r="A1354">
        <v>8570088</v>
      </c>
      <c r="B1354" t="s">
        <v>3056</v>
      </c>
      <c r="C1354" t="s">
        <v>85</v>
      </c>
      <c r="D1354" t="s">
        <v>86</v>
      </c>
      <c r="E1354" t="s">
        <v>87</v>
      </c>
      <c r="F1354" t="s">
        <v>3054</v>
      </c>
      <c r="G1354">
        <v>5637</v>
      </c>
      <c r="H1354" t="s">
        <v>3054</v>
      </c>
      <c r="I1354" t="s">
        <v>89</v>
      </c>
      <c r="K1354">
        <v>2521106</v>
      </c>
      <c r="L1354">
        <v>1150842</v>
      </c>
      <c r="M1354">
        <v>520</v>
      </c>
      <c r="N1354" t="s">
        <v>3057</v>
      </c>
    </row>
    <row r="1355" spans="1:14" x14ac:dyDescent="0.25">
      <c r="A1355">
        <v>8570050</v>
      </c>
      <c r="B1355" t="s">
        <v>3058</v>
      </c>
      <c r="C1355" t="s">
        <v>94</v>
      </c>
      <c r="D1355" t="s">
        <v>86</v>
      </c>
      <c r="E1355" t="s">
        <v>87</v>
      </c>
      <c r="F1355" t="s">
        <v>3054</v>
      </c>
      <c r="G1355">
        <v>5637</v>
      </c>
      <c r="H1355" t="s">
        <v>3054</v>
      </c>
      <c r="I1355" t="s">
        <v>96</v>
      </c>
      <c r="K1355">
        <v>2520329</v>
      </c>
      <c r="L1355">
        <v>1150357</v>
      </c>
      <c r="M1355">
        <v>516</v>
      </c>
      <c r="N1355" t="s">
        <v>3059</v>
      </c>
    </row>
    <row r="1356" spans="1:14" x14ac:dyDescent="0.25">
      <c r="A1356">
        <v>8505938</v>
      </c>
      <c r="B1356" t="s">
        <v>3060</v>
      </c>
      <c r="C1356" t="s">
        <v>2548</v>
      </c>
      <c r="D1356" t="s">
        <v>86</v>
      </c>
      <c r="E1356" t="s">
        <v>87</v>
      </c>
      <c r="F1356" t="s">
        <v>3061</v>
      </c>
      <c r="G1356">
        <v>5872</v>
      </c>
      <c r="H1356" t="s">
        <v>3062</v>
      </c>
      <c r="I1356" t="s">
        <v>2550</v>
      </c>
      <c r="K1356">
        <v>2505183</v>
      </c>
      <c r="L1356">
        <v>1160915</v>
      </c>
      <c r="M1356">
        <v>1058</v>
      </c>
      <c r="N1356" t="s">
        <v>3063</v>
      </c>
    </row>
    <row r="1357" spans="1:14" x14ac:dyDescent="0.25">
      <c r="A1357">
        <v>8505940</v>
      </c>
      <c r="B1357" t="s">
        <v>3064</v>
      </c>
      <c r="C1357" t="s">
        <v>2548</v>
      </c>
      <c r="D1357" t="s">
        <v>86</v>
      </c>
      <c r="E1357" t="s">
        <v>87</v>
      </c>
      <c r="F1357" t="s">
        <v>3061</v>
      </c>
      <c r="G1357">
        <v>5872</v>
      </c>
      <c r="H1357" t="s">
        <v>3062</v>
      </c>
      <c r="I1357" t="s">
        <v>2550</v>
      </c>
      <c r="K1357">
        <v>2505377</v>
      </c>
      <c r="L1357">
        <v>1161421</v>
      </c>
      <c r="M1357">
        <v>1088</v>
      </c>
      <c r="N1357" t="s">
        <v>3065</v>
      </c>
    </row>
    <row r="1358" spans="1:14" x14ac:dyDescent="0.25">
      <c r="A1358">
        <v>8507212</v>
      </c>
      <c r="B1358" t="s">
        <v>3066</v>
      </c>
      <c r="C1358" t="s">
        <v>338</v>
      </c>
      <c r="D1358" t="s">
        <v>86</v>
      </c>
      <c r="E1358" t="s">
        <v>87</v>
      </c>
      <c r="F1358" t="s">
        <v>3061</v>
      </c>
      <c r="G1358">
        <v>5872</v>
      </c>
      <c r="H1358" t="s">
        <v>3067</v>
      </c>
      <c r="I1358" t="s">
        <v>340</v>
      </c>
      <c r="K1358">
        <v>2509086</v>
      </c>
      <c r="L1358">
        <v>1164261</v>
      </c>
      <c r="M1358">
        <v>1007</v>
      </c>
      <c r="N1358" t="s">
        <v>3068</v>
      </c>
    </row>
    <row r="1359" spans="1:14" x14ac:dyDescent="0.25">
      <c r="A1359">
        <v>8507197</v>
      </c>
      <c r="B1359" t="s">
        <v>3069</v>
      </c>
      <c r="C1359" t="s">
        <v>338</v>
      </c>
      <c r="D1359" t="s">
        <v>86</v>
      </c>
      <c r="E1359" t="s">
        <v>87</v>
      </c>
      <c r="F1359" t="s">
        <v>3061</v>
      </c>
      <c r="G1359">
        <v>5872</v>
      </c>
      <c r="H1359" t="s">
        <v>3067</v>
      </c>
      <c r="I1359" t="s">
        <v>340</v>
      </c>
      <c r="K1359">
        <v>2508097</v>
      </c>
      <c r="L1359">
        <v>1163298</v>
      </c>
      <c r="M1359">
        <v>1012</v>
      </c>
      <c r="N1359" t="s">
        <v>3070</v>
      </c>
    </row>
    <row r="1360" spans="1:14" x14ac:dyDescent="0.25">
      <c r="A1360">
        <v>8595463</v>
      </c>
      <c r="B1360" t="s">
        <v>3071</v>
      </c>
      <c r="C1360" t="s">
        <v>2548</v>
      </c>
      <c r="D1360" t="s">
        <v>86</v>
      </c>
      <c r="E1360" t="s">
        <v>87</v>
      </c>
      <c r="F1360" t="s">
        <v>3061</v>
      </c>
      <c r="G1360">
        <v>5872</v>
      </c>
      <c r="H1360" t="s">
        <v>3062</v>
      </c>
      <c r="I1360" t="s">
        <v>2550</v>
      </c>
      <c r="K1360">
        <v>2504251.9101900002</v>
      </c>
      <c r="L1360">
        <v>1158588.8603000001</v>
      </c>
      <c r="M1360">
        <v>1039</v>
      </c>
      <c r="N1360" t="s">
        <v>3072</v>
      </c>
    </row>
    <row r="1361" spans="1:14" x14ac:dyDescent="0.25">
      <c r="A1361">
        <v>8583878</v>
      </c>
      <c r="B1361" t="s">
        <v>3073</v>
      </c>
      <c r="C1361" t="s">
        <v>94</v>
      </c>
      <c r="D1361" t="s">
        <v>86</v>
      </c>
      <c r="E1361" t="s">
        <v>87</v>
      </c>
      <c r="F1361" t="s">
        <v>3061</v>
      </c>
      <c r="G1361">
        <v>5872</v>
      </c>
      <c r="H1361" t="s">
        <v>3062</v>
      </c>
      <c r="I1361" t="s">
        <v>96</v>
      </c>
      <c r="K1361">
        <v>2508778</v>
      </c>
      <c r="L1361">
        <v>1157160</v>
      </c>
      <c r="M1361">
        <v>1345</v>
      </c>
      <c r="N1361" t="s">
        <v>3074</v>
      </c>
    </row>
    <row r="1362" spans="1:14" x14ac:dyDescent="0.25">
      <c r="A1362">
        <v>8501155</v>
      </c>
      <c r="B1362" t="s">
        <v>3075</v>
      </c>
      <c r="C1362" t="s">
        <v>338</v>
      </c>
      <c r="D1362" t="s">
        <v>112</v>
      </c>
      <c r="E1362" t="s">
        <v>87</v>
      </c>
      <c r="F1362" t="s">
        <v>3061</v>
      </c>
      <c r="G1362">
        <v>5872</v>
      </c>
      <c r="H1362" t="s">
        <v>3067</v>
      </c>
      <c r="I1362" t="s">
        <v>372</v>
      </c>
      <c r="K1362">
        <v>2508986.9654000001</v>
      </c>
      <c r="L1362">
        <v>1164380.4961999999</v>
      </c>
      <c r="M1362">
        <v>1026.2</v>
      </c>
      <c r="N1362" t="s">
        <v>3076</v>
      </c>
    </row>
    <row r="1363" spans="1:14" x14ac:dyDescent="0.25">
      <c r="A1363">
        <v>8579144</v>
      </c>
      <c r="B1363" t="s">
        <v>3077</v>
      </c>
      <c r="C1363" t="s">
        <v>2548</v>
      </c>
      <c r="D1363" t="s">
        <v>86</v>
      </c>
      <c r="E1363" t="s">
        <v>87</v>
      </c>
      <c r="F1363" t="s">
        <v>3061</v>
      </c>
      <c r="G1363">
        <v>5872</v>
      </c>
      <c r="H1363" t="s">
        <v>3078</v>
      </c>
      <c r="I1363" t="s">
        <v>2550</v>
      </c>
      <c r="K1363">
        <v>2507988.0133400001</v>
      </c>
      <c r="L1363">
        <v>1161794.93634</v>
      </c>
      <c r="M1363">
        <v>1009</v>
      </c>
      <c r="N1363" t="s">
        <v>3079</v>
      </c>
    </row>
    <row r="1364" spans="1:14" x14ac:dyDescent="0.25">
      <c r="A1364">
        <v>8579145</v>
      </c>
      <c r="B1364" t="s">
        <v>3080</v>
      </c>
      <c r="C1364" t="s">
        <v>2548</v>
      </c>
      <c r="D1364" t="s">
        <v>86</v>
      </c>
      <c r="E1364" t="s">
        <v>87</v>
      </c>
      <c r="F1364" t="s">
        <v>3061</v>
      </c>
      <c r="G1364">
        <v>5872</v>
      </c>
      <c r="H1364" t="s">
        <v>3078</v>
      </c>
      <c r="I1364" t="s">
        <v>2550</v>
      </c>
      <c r="K1364">
        <v>2508613.5966500002</v>
      </c>
      <c r="L1364">
        <v>1162326.77095</v>
      </c>
      <c r="M1364">
        <v>1016</v>
      </c>
      <c r="N1364" t="s">
        <v>3081</v>
      </c>
    </row>
    <row r="1365" spans="1:14" x14ac:dyDescent="0.25">
      <c r="A1365">
        <v>8530783</v>
      </c>
      <c r="B1365" t="s">
        <v>3082</v>
      </c>
      <c r="C1365" t="s">
        <v>338</v>
      </c>
      <c r="D1365" t="s">
        <v>112</v>
      </c>
      <c r="E1365" t="s">
        <v>87</v>
      </c>
      <c r="F1365" t="s">
        <v>3061</v>
      </c>
      <c r="G1365">
        <v>5872</v>
      </c>
      <c r="H1365" t="s">
        <v>3067</v>
      </c>
      <c r="I1365" t="s">
        <v>372</v>
      </c>
      <c r="K1365">
        <v>2506790.9638</v>
      </c>
      <c r="L1365">
        <v>1161635.1039</v>
      </c>
      <c r="M1365">
        <v>1015</v>
      </c>
      <c r="N1365" t="s">
        <v>3083</v>
      </c>
    </row>
    <row r="1366" spans="1:14" x14ac:dyDescent="0.25">
      <c r="A1366">
        <v>8506063</v>
      </c>
      <c r="B1366" t="s">
        <v>3084</v>
      </c>
      <c r="C1366" t="s">
        <v>2548</v>
      </c>
      <c r="D1366" t="s">
        <v>86</v>
      </c>
      <c r="E1366" t="s">
        <v>87</v>
      </c>
      <c r="F1366" t="s">
        <v>3061</v>
      </c>
      <c r="G1366">
        <v>5872</v>
      </c>
      <c r="H1366" t="s">
        <v>3067</v>
      </c>
      <c r="I1366" t="s">
        <v>2550</v>
      </c>
      <c r="K1366">
        <v>2506677</v>
      </c>
      <c r="L1366">
        <v>1161714</v>
      </c>
      <c r="M1366">
        <v>1020</v>
      </c>
      <c r="N1366" t="s">
        <v>3085</v>
      </c>
    </row>
    <row r="1367" spans="1:14" x14ac:dyDescent="0.25">
      <c r="A1367">
        <v>8506059</v>
      </c>
      <c r="B1367" t="s">
        <v>3086</v>
      </c>
      <c r="C1367" t="s">
        <v>2548</v>
      </c>
      <c r="D1367" t="s">
        <v>86</v>
      </c>
      <c r="E1367" t="s">
        <v>87</v>
      </c>
      <c r="F1367" t="s">
        <v>3061</v>
      </c>
      <c r="G1367">
        <v>5872</v>
      </c>
      <c r="H1367" t="s">
        <v>3087</v>
      </c>
      <c r="I1367" t="s">
        <v>2550</v>
      </c>
      <c r="K1367">
        <v>2507195</v>
      </c>
      <c r="L1367">
        <v>1163122</v>
      </c>
      <c r="M1367">
        <v>1071</v>
      </c>
      <c r="N1367" t="s">
        <v>3088</v>
      </c>
    </row>
    <row r="1368" spans="1:14" x14ac:dyDescent="0.25">
      <c r="A1368">
        <v>8505936</v>
      </c>
      <c r="B1368" t="s">
        <v>3089</v>
      </c>
      <c r="C1368" t="s">
        <v>2548</v>
      </c>
      <c r="D1368" t="s">
        <v>86</v>
      </c>
      <c r="E1368" t="s">
        <v>87</v>
      </c>
      <c r="F1368" t="s">
        <v>3061</v>
      </c>
      <c r="G1368">
        <v>5872</v>
      </c>
      <c r="H1368" t="s">
        <v>3062</v>
      </c>
      <c r="I1368" t="s">
        <v>2550</v>
      </c>
      <c r="K1368">
        <v>2505704</v>
      </c>
      <c r="L1368">
        <v>1160510</v>
      </c>
      <c r="M1368">
        <v>1025</v>
      </c>
      <c r="N1368" t="s">
        <v>3090</v>
      </c>
    </row>
    <row r="1369" spans="1:14" x14ac:dyDescent="0.25">
      <c r="A1369">
        <v>8530622</v>
      </c>
      <c r="B1369" t="s">
        <v>3091</v>
      </c>
      <c r="C1369" t="s">
        <v>2542</v>
      </c>
      <c r="D1369" t="s">
        <v>302</v>
      </c>
      <c r="E1369" t="s">
        <v>87</v>
      </c>
      <c r="F1369" t="s">
        <v>3061</v>
      </c>
      <c r="G1369">
        <v>5872</v>
      </c>
      <c r="H1369" t="s">
        <v>3067</v>
      </c>
      <c r="I1369" t="s">
        <v>2545</v>
      </c>
      <c r="K1369">
        <v>2509096</v>
      </c>
      <c r="L1369">
        <v>1164195</v>
      </c>
      <c r="M1369">
        <v>1004</v>
      </c>
      <c r="N1369" t="s">
        <v>3092</v>
      </c>
    </row>
    <row r="1370" spans="1:14" x14ac:dyDescent="0.25">
      <c r="A1370">
        <v>8501158</v>
      </c>
      <c r="B1370" t="s">
        <v>3093</v>
      </c>
      <c r="C1370" t="s">
        <v>338</v>
      </c>
      <c r="E1370" t="s">
        <v>87</v>
      </c>
      <c r="F1370" t="s">
        <v>3061</v>
      </c>
      <c r="G1370">
        <v>5872</v>
      </c>
      <c r="H1370" t="s">
        <v>3067</v>
      </c>
      <c r="I1370" t="s">
        <v>372</v>
      </c>
      <c r="J1370" t="s">
        <v>130</v>
      </c>
      <c r="K1370">
        <v>2506516.9613999999</v>
      </c>
      <c r="L1370">
        <v>1161447.2254000001</v>
      </c>
      <c r="M1370">
        <v>1017</v>
      </c>
      <c r="N1370" t="s">
        <v>3094</v>
      </c>
    </row>
    <row r="1371" spans="1:14" x14ac:dyDescent="0.25">
      <c r="A1371">
        <v>8505942</v>
      </c>
      <c r="B1371" t="s">
        <v>3095</v>
      </c>
      <c r="C1371" t="s">
        <v>2548</v>
      </c>
      <c r="D1371" t="s">
        <v>86</v>
      </c>
      <c r="E1371" t="s">
        <v>87</v>
      </c>
      <c r="F1371" t="s">
        <v>3061</v>
      </c>
      <c r="G1371">
        <v>5872</v>
      </c>
      <c r="H1371" t="s">
        <v>3067</v>
      </c>
      <c r="I1371" t="s">
        <v>2550</v>
      </c>
      <c r="K1371">
        <v>2505755</v>
      </c>
      <c r="L1371">
        <v>1161874</v>
      </c>
      <c r="M1371">
        <v>1096</v>
      </c>
      <c r="N1371" t="s">
        <v>3096</v>
      </c>
    </row>
    <row r="1372" spans="1:14" x14ac:dyDescent="0.25">
      <c r="A1372">
        <v>8505946</v>
      </c>
      <c r="B1372" t="s">
        <v>3097</v>
      </c>
      <c r="C1372" t="s">
        <v>2548</v>
      </c>
      <c r="D1372" t="s">
        <v>86</v>
      </c>
      <c r="E1372" t="s">
        <v>87</v>
      </c>
      <c r="F1372" t="s">
        <v>3061</v>
      </c>
      <c r="G1372">
        <v>5872</v>
      </c>
      <c r="H1372" t="s">
        <v>3067</v>
      </c>
      <c r="I1372" t="s">
        <v>2550</v>
      </c>
      <c r="K1372">
        <v>2506629</v>
      </c>
      <c r="L1372">
        <v>1162487</v>
      </c>
      <c r="M1372">
        <v>1071</v>
      </c>
      <c r="N1372" t="s">
        <v>3098</v>
      </c>
    </row>
    <row r="1373" spans="1:14" x14ac:dyDescent="0.25">
      <c r="A1373">
        <v>8570024</v>
      </c>
      <c r="B1373" t="s">
        <v>3099</v>
      </c>
      <c r="C1373" t="s">
        <v>94</v>
      </c>
      <c r="D1373" t="s">
        <v>86</v>
      </c>
      <c r="E1373" t="s">
        <v>87</v>
      </c>
      <c r="F1373" t="s">
        <v>3061</v>
      </c>
      <c r="G1373">
        <v>5872</v>
      </c>
      <c r="H1373" t="s">
        <v>3062</v>
      </c>
      <c r="I1373" t="s">
        <v>96</v>
      </c>
      <c r="K1373">
        <v>2506103</v>
      </c>
      <c r="L1373">
        <v>1160087</v>
      </c>
      <c r="M1373">
        <v>1020</v>
      </c>
      <c r="N1373" t="s">
        <v>3100</v>
      </c>
    </row>
    <row r="1374" spans="1:14" x14ac:dyDescent="0.25">
      <c r="A1374">
        <v>8595467</v>
      </c>
      <c r="B1374" t="s">
        <v>3101</v>
      </c>
      <c r="C1374" t="s">
        <v>2548</v>
      </c>
      <c r="D1374" t="s">
        <v>86</v>
      </c>
      <c r="E1374" t="s">
        <v>87</v>
      </c>
      <c r="F1374" t="s">
        <v>3061</v>
      </c>
      <c r="G1374">
        <v>5872</v>
      </c>
      <c r="H1374" t="s">
        <v>3078</v>
      </c>
      <c r="I1374" t="s">
        <v>2550</v>
      </c>
      <c r="K1374">
        <v>2507556.8211300001</v>
      </c>
      <c r="L1374">
        <v>1161196.98278</v>
      </c>
      <c r="M1374">
        <v>1031</v>
      </c>
      <c r="N1374" t="s">
        <v>3102</v>
      </c>
    </row>
    <row r="1375" spans="1:14" x14ac:dyDescent="0.25">
      <c r="A1375">
        <v>8595468</v>
      </c>
      <c r="B1375" t="s">
        <v>3103</v>
      </c>
      <c r="C1375" t="s">
        <v>2548</v>
      </c>
      <c r="D1375" t="s">
        <v>86</v>
      </c>
      <c r="E1375" t="s">
        <v>87</v>
      </c>
      <c r="F1375" t="s">
        <v>3061</v>
      </c>
      <c r="G1375">
        <v>5872</v>
      </c>
      <c r="H1375" t="s">
        <v>3067</v>
      </c>
      <c r="I1375" t="s">
        <v>2550</v>
      </c>
      <c r="K1375">
        <v>2507892</v>
      </c>
      <c r="L1375">
        <v>1162984</v>
      </c>
      <c r="M1375">
        <v>1015</v>
      </c>
      <c r="N1375" t="s">
        <v>3104</v>
      </c>
    </row>
    <row r="1376" spans="1:14" x14ac:dyDescent="0.25">
      <c r="A1376">
        <v>8511499</v>
      </c>
      <c r="B1376" t="s">
        <v>3105</v>
      </c>
      <c r="C1376" t="s">
        <v>2548</v>
      </c>
      <c r="D1376" t="s">
        <v>86</v>
      </c>
      <c r="E1376" t="s">
        <v>87</v>
      </c>
      <c r="F1376" t="s">
        <v>3061</v>
      </c>
      <c r="G1376">
        <v>5872</v>
      </c>
      <c r="H1376" t="s">
        <v>3067</v>
      </c>
      <c r="I1376" t="s">
        <v>2550</v>
      </c>
      <c r="K1376">
        <v>2507057.23398</v>
      </c>
      <c r="L1376">
        <v>1162095.96276</v>
      </c>
      <c r="M1376">
        <v>1012.4</v>
      </c>
      <c r="N1376" t="s">
        <v>3106</v>
      </c>
    </row>
    <row r="1377" spans="1:14" x14ac:dyDescent="0.25">
      <c r="A1377">
        <v>8579148</v>
      </c>
      <c r="B1377" t="s">
        <v>3107</v>
      </c>
      <c r="C1377" t="s">
        <v>2548</v>
      </c>
      <c r="D1377" t="s">
        <v>86</v>
      </c>
      <c r="E1377" t="s">
        <v>87</v>
      </c>
      <c r="F1377" t="s">
        <v>3061</v>
      </c>
      <c r="G1377">
        <v>5872</v>
      </c>
      <c r="H1377" t="s">
        <v>3067</v>
      </c>
      <c r="I1377" t="s">
        <v>2550</v>
      </c>
      <c r="K1377">
        <v>2506809</v>
      </c>
      <c r="L1377">
        <v>1161937</v>
      </c>
      <c r="M1377">
        <v>1024</v>
      </c>
      <c r="N1377" t="s">
        <v>3108</v>
      </c>
    </row>
    <row r="1378" spans="1:14" x14ac:dyDescent="0.25">
      <c r="A1378">
        <v>8579146</v>
      </c>
      <c r="B1378" t="s">
        <v>3109</v>
      </c>
      <c r="C1378" t="s">
        <v>2548</v>
      </c>
      <c r="D1378" t="s">
        <v>86</v>
      </c>
      <c r="E1378" t="s">
        <v>87</v>
      </c>
      <c r="F1378" t="s">
        <v>3061</v>
      </c>
      <c r="G1378">
        <v>5872</v>
      </c>
      <c r="H1378" t="s">
        <v>3067</v>
      </c>
      <c r="I1378" t="s">
        <v>2550</v>
      </c>
      <c r="K1378">
        <v>2507497.36949</v>
      </c>
      <c r="L1378">
        <v>1162342.4993799999</v>
      </c>
      <c r="M1378">
        <v>1013</v>
      </c>
      <c r="N1378" t="s">
        <v>3110</v>
      </c>
    </row>
    <row r="1379" spans="1:14" x14ac:dyDescent="0.25">
      <c r="A1379">
        <v>8511443</v>
      </c>
      <c r="B1379" t="s">
        <v>3111</v>
      </c>
      <c r="C1379" t="s">
        <v>338</v>
      </c>
      <c r="D1379" t="s">
        <v>86</v>
      </c>
      <c r="E1379" t="s">
        <v>87</v>
      </c>
      <c r="F1379" t="s">
        <v>3061</v>
      </c>
      <c r="G1379">
        <v>5872</v>
      </c>
      <c r="H1379" t="s">
        <v>3067</v>
      </c>
      <c r="I1379" t="s">
        <v>340</v>
      </c>
      <c r="K1379">
        <v>2507954.5107</v>
      </c>
      <c r="L1379">
        <v>1163245.91771</v>
      </c>
      <c r="M1379">
        <v>1017</v>
      </c>
      <c r="N1379" t="s">
        <v>3112</v>
      </c>
    </row>
    <row r="1380" spans="1:14" x14ac:dyDescent="0.25">
      <c r="A1380">
        <v>8501159</v>
      </c>
      <c r="B1380" t="s">
        <v>3062</v>
      </c>
      <c r="C1380" t="s">
        <v>338</v>
      </c>
      <c r="D1380" t="s">
        <v>112</v>
      </c>
      <c r="E1380" t="s">
        <v>87</v>
      </c>
      <c r="F1380" t="s">
        <v>3061</v>
      </c>
      <c r="G1380">
        <v>5872</v>
      </c>
      <c r="H1380" t="s">
        <v>3062</v>
      </c>
      <c r="I1380" t="s">
        <v>372</v>
      </c>
      <c r="K1380">
        <v>2506138.0543</v>
      </c>
      <c r="L1380">
        <v>1160098.0263</v>
      </c>
      <c r="M1380">
        <v>1021</v>
      </c>
      <c r="N1380" t="s">
        <v>3113</v>
      </c>
    </row>
    <row r="1381" spans="1:14" x14ac:dyDescent="0.25">
      <c r="A1381">
        <v>8595464</v>
      </c>
      <c r="B1381" t="s">
        <v>3114</v>
      </c>
      <c r="C1381" t="s">
        <v>2548</v>
      </c>
      <c r="D1381" t="s">
        <v>86</v>
      </c>
      <c r="E1381" t="s">
        <v>87</v>
      </c>
      <c r="F1381" t="s">
        <v>3061</v>
      </c>
      <c r="G1381">
        <v>5872</v>
      </c>
      <c r="H1381" t="s">
        <v>3062</v>
      </c>
      <c r="I1381" t="s">
        <v>2550</v>
      </c>
      <c r="K1381">
        <v>2507041</v>
      </c>
      <c r="L1381">
        <v>1160677</v>
      </c>
      <c r="M1381">
        <v>1030</v>
      </c>
      <c r="N1381" t="s">
        <v>3115</v>
      </c>
    </row>
    <row r="1382" spans="1:14" x14ac:dyDescent="0.25">
      <c r="A1382">
        <v>8501157</v>
      </c>
      <c r="B1382" t="s">
        <v>3116</v>
      </c>
      <c r="C1382" t="s">
        <v>338</v>
      </c>
      <c r="D1382" t="s">
        <v>112</v>
      </c>
      <c r="E1382" t="s">
        <v>87</v>
      </c>
      <c r="F1382" t="s">
        <v>3061</v>
      </c>
      <c r="G1382">
        <v>5872</v>
      </c>
      <c r="H1382" t="s">
        <v>3067</v>
      </c>
      <c r="I1382" t="s">
        <v>372</v>
      </c>
      <c r="K1382">
        <v>2507512.4441</v>
      </c>
      <c r="L1382">
        <v>1162327.7655</v>
      </c>
      <c r="M1382">
        <v>1013</v>
      </c>
      <c r="N1382" t="s">
        <v>3117</v>
      </c>
    </row>
    <row r="1383" spans="1:14" x14ac:dyDescent="0.25">
      <c r="A1383">
        <v>8501156</v>
      </c>
      <c r="B1383" t="s">
        <v>3118</v>
      </c>
      <c r="C1383" t="s">
        <v>338</v>
      </c>
      <c r="D1383" t="s">
        <v>112</v>
      </c>
      <c r="E1383" t="s">
        <v>87</v>
      </c>
      <c r="F1383" t="s">
        <v>3061</v>
      </c>
      <c r="G1383">
        <v>5872</v>
      </c>
      <c r="H1383" t="s">
        <v>3067</v>
      </c>
      <c r="I1383" t="s">
        <v>372</v>
      </c>
      <c r="K1383">
        <v>2508109.0421000002</v>
      </c>
      <c r="L1383">
        <v>1163276.4428999999</v>
      </c>
      <c r="M1383">
        <v>1011.2</v>
      </c>
      <c r="N1383" t="s">
        <v>3119</v>
      </c>
    </row>
    <row r="1384" spans="1:14" x14ac:dyDescent="0.25">
      <c r="A1384">
        <v>8506061</v>
      </c>
      <c r="B1384" t="s">
        <v>3120</v>
      </c>
      <c r="C1384" t="s">
        <v>2548</v>
      </c>
      <c r="D1384" t="s">
        <v>86</v>
      </c>
      <c r="E1384" t="s">
        <v>87</v>
      </c>
      <c r="F1384" t="s">
        <v>3061</v>
      </c>
      <c r="G1384">
        <v>5872</v>
      </c>
      <c r="H1384" t="s">
        <v>3087</v>
      </c>
      <c r="I1384" t="s">
        <v>2550</v>
      </c>
      <c r="K1384">
        <v>2507612</v>
      </c>
      <c r="L1384">
        <v>1163745</v>
      </c>
      <c r="M1384">
        <v>1051</v>
      </c>
      <c r="N1384" t="s">
        <v>3121</v>
      </c>
    </row>
    <row r="1385" spans="1:14" x14ac:dyDescent="0.25">
      <c r="A1385">
        <v>8505944</v>
      </c>
      <c r="B1385" t="s">
        <v>3122</v>
      </c>
      <c r="C1385" t="s">
        <v>2548</v>
      </c>
      <c r="D1385" t="s">
        <v>86</v>
      </c>
      <c r="E1385" t="s">
        <v>87</v>
      </c>
      <c r="F1385" t="s">
        <v>3061</v>
      </c>
      <c r="G1385">
        <v>5872</v>
      </c>
      <c r="H1385" t="s">
        <v>3067</v>
      </c>
      <c r="I1385" t="s">
        <v>2550</v>
      </c>
      <c r="K1385">
        <v>2506253</v>
      </c>
      <c r="L1385">
        <v>1162103</v>
      </c>
      <c r="M1385">
        <v>1076</v>
      </c>
      <c r="N1385" t="s">
        <v>3123</v>
      </c>
    </row>
    <row r="1386" spans="1:14" x14ac:dyDescent="0.25">
      <c r="A1386">
        <v>8595466</v>
      </c>
      <c r="B1386" t="s">
        <v>3124</v>
      </c>
      <c r="C1386" t="s">
        <v>2548</v>
      </c>
      <c r="D1386" t="s">
        <v>86</v>
      </c>
      <c r="E1386" t="s">
        <v>87</v>
      </c>
      <c r="F1386" t="s">
        <v>3061</v>
      </c>
      <c r="G1386">
        <v>5872</v>
      </c>
      <c r="H1386" t="s">
        <v>3062</v>
      </c>
      <c r="I1386" t="s">
        <v>2550</v>
      </c>
      <c r="K1386">
        <v>2505551.4666499998</v>
      </c>
      <c r="L1386">
        <v>1159411.3449200001</v>
      </c>
      <c r="M1386">
        <v>1054</v>
      </c>
      <c r="N1386" t="s">
        <v>3125</v>
      </c>
    </row>
    <row r="1387" spans="1:14" x14ac:dyDescent="0.25">
      <c r="A1387">
        <v>8595462</v>
      </c>
      <c r="B1387" t="s">
        <v>3126</v>
      </c>
      <c r="C1387" t="s">
        <v>2548</v>
      </c>
      <c r="D1387" t="s">
        <v>86</v>
      </c>
      <c r="E1387" t="s">
        <v>87</v>
      </c>
      <c r="F1387" t="s">
        <v>3061</v>
      </c>
      <c r="G1387">
        <v>5872</v>
      </c>
      <c r="H1387" t="s">
        <v>3062</v>
      </c>
      <c r="I1387" t="s">
        <v>2550</v>
      </c>
      <c r="K1387">
        <v>2506125</v>
      </c>
      <c r="L1387">
        <v>1159895</v>
      </c>
      <c r="M1387">
        <v>1021</v>
      </c>
      <c r="N1387" t="s">
        <v>3127</v>
      </c>
    </row>
    <row r="1388" spans="1:14" x14ac:dyDescent="0.25">
      <c r="A1388">
        <v>8595469</v>
      </c>
      <c r="B1388" t="s">
        <v>3128</v>
      </c>
      <c r="C1388" t="s">
        <v>2548</v>
      </c>
      <c r="D1388" t="s">
        <v>86</v>
      </c>
      <c r="E1388" t="s">
        <v>87</v>
      </c>
      <c r="F1388" t="s">
        <v>3061</v>
      </c>
      <c r="G1388">
        <v>5872</v>
      </c>
      <c r="H1388" t="s">
        <v>3067</v>
      </c>
      <c r="I1388" t="s">
        <v>2550</v>
      </c>
      <c r="K1388">
        <v>2507545.0884699998</v>
      </c>
      <c r="L1388">
        <v>1162625.1359300001</v>
      </c>
      <c r="M1388">
        <v>1020</v>
      </c>
      <c r="N1388" t="s">
        <v>3129</v>
      </c>
    </row>
    <row r="1389" spans="1:14" x14ac:dyDescent="0.25">
      <c r="A1389">
        <v>8570023</v>
      </c>
      <c r="B1389" t="s">
        <v>3130</v>
      </c>
      <c r="C1389" t="s">
        <v>94</v>
      </c>
      <c r="D1389" t="s">
        <v>86</v>
      </c>
      <c r="E1389" t="s">
        <v>87</v>
      </c>
      <c r="F1389" t="s">
        <v>3061</v>
      </c>
      <c r="G1389">
        <v>5872</v>
      </c>
      <c r="H1389" t="s">
        <v>3062</v>
      </c>
      <c r="I1389" t="s">
        <v>96</v>
      </c>
      <c r="K1389">
        <v>2505923</v>
      </c>
      <c r="L1389">
        <v>1159672</v>
      </c>
      <c r="M1389">
        <v>1035</v>
      </c>
      <c r="N1389" t="s">
        <v>3131</v>
      </c>
    </row>
    <row r="1390" spans="1:14" x14ac:dyDescent="0.25">
      <c r="A1390">
        <v>8501151</v>
      </c>
      <c r="B1390" t="s">
        <v>3132</v>
      </c>
      <c r="C1390" t="s">
        <v>338</v>
      </c>
      <c r="D1390" t="s">
        <v>112</v>
      </c>
      <c r="E1390" t="s">
        <v>87</v>
      </c>
      <c r="F1390" t="s">
        <v>3133</v>
      </c>
      <c r="G1390">
        <v>5873</v>
      </c>
      <c r="H1390" t="s">
        <v>3132</v>
      </c>
      <c r="I1390" t="s">
        <v>372</v>
      </c>
      <c r="K1390">
        <v>2514164.5158000002</v>
      </c>
      <c r="L1390">
        <v>1168733.2041</v>
      </c>
      <c r="M1390">
        <v>1024.5999999999999</v>
      </c>
      <c r="N1390" t="s">
        <v>3134</v>
      </c>
    </row>
    <row r="1391" spans="1:14" x14ac:dyDescent="0.25">
      <c r="A1391">
        <v>8501152</v>
      </c>
      <c r="B1391" t="s">
        <v>3135</v>
      </c>
      <c r="C1391" t="s">
        <v>338</v>
      </c>
      <c r="D1391" t="s">
        <v>112</v>
      </c>
      <c r="E1391" t="s">
        <v>87</v>
      </c>
      <c r="F1391" t="s">
        <v>3133</v>
      </c>
      <c r="G1391">
        <v>5873</v>
      </c>
      <c r="H1391" t="s">
        <v>3135</v>
      </c>
      <c r="I1391" t="s">
        <v>372</v>
      </c>
      <c r="K1391">
        <v>2513310.8848999999</v>
      </c>
      <c r="L1391">
        <v>1168098.6074000001</v>
      </c>
      <c r="M1391">
        <v>1045</v>
      </c>
      <c r="N1391" t="s">
        <v>3136</v>
      </c>
    </row>
    <row r="1392" spans="1:14" x14ac:dyDescent="0.25">
      <c r="A1392">
        <v>8511302</v>
      </c>
      <c r="B1392" t="s">
        <v>3137</v>
      </c>
      <c r="C1392" t="s">
        <v>2542</v>
      </c>
      <c r="D1392" t="s">
        <v>302</v>
      </c>
      <c r="E1392" t="s">
        <v>87</v>
      </c>
      <c r="F1392" t="s">
        <v>3133</v>
      </c>
      <c r="G1392">
        <v>5873</v>
      </c>
      <c r="H1392" t="s">
        <v>3133</v>
      </c>
      <c r="I1392" t="s">
        <v>2545</v>
      </c>
      <c r="K1392">
        <v>2511653.9554300001</v>
      </c>
      <c r="L1392">
        <v>1166605.6392900001</v>
      </c>
      <c r="M1392">
        <v>1004.5</v>
      </c>
      <c r="N1392" t="s">
        <v>3138</v>
      </c>
    </row>
    <row r="1393" spans="1:14" x14ac:dyDescent="0.25">
      <c r="A1393">
        <v>8507216</v>
      </c>
      <c r="B1393" t="s">
        <v>3139</v>
      </c>
      <c r="C1393" t="s">
        <v>338</v>
      </c>
      <c r="D1393" t="s">
        <v>86</v>
      </c>
      <c r="E1393" t="s">
        <v>87</v>
      </c>
      <c r="F1393" t="s">
        <v>3133</v>
      </c>
      <c r="G1393">
        <v>5873</v>
      </c>
      <c r="H1393" t="s">
        <v>3133</v>
      </c>
      <c r="I1393" t="s">
        <v>340</v>
      </c>
      <c r="K1393">
        <v>2511575</v>
      </c>
      <c r="L1393">
        <v>1166864</v>
      </c>
      <c r="M1393">
        <v>1049</v>
      </c>
      <c r="N1393" t="s">
        <v>3140</v>
      </c>
    </row>
    <row r="1394" spans="1:14" x14ac:dyDescent="0.25">
      <c r="A1394">
        <v>8501153</v>
      </c>
      <c r="B1394" t="s">
        <v>3133</v>
      </c>
      <c r="C1394" t="s">
        <v>338</v>
      </c>
      <c r="D1394" t="s">
        <v>112</v>
      </c>
      <c r="E1394" t="s">
        <v>87</v>
      </c>
      <c r="F1394" t="s">
        <v>3133</v>
      </c>
      <c r="G1394">
        <v>5873</v>
      </c>
      <c r="H1394" t="s">
        <v>3133</v>
      </c>
      <c r="I1394" t="s">
        <v>372</v>
      </c>
      <c r="K1394">
        <v>2511561.9032999999</v>
      </c>
      <c r="L1394">
        <v>1166837.1296000001</v>
      </c>
      <c r="M1394">
        <v>1050</v>
      </c>
      <c r="N1394" t="s">
        <v>3141</v>
      </c>
    </row>
    <row r="1395" spans="1:14" x14ac:dyDescent="0.25">
      <c r="A1395">
        <v>8501154</v>
      </c>
      <c r="B1395" t="s">
        <v>3142</v>
      </c>
      <c r="C1395" t="s">
        <v>338</v>
      </c>
      <c r="D1395" t="s">
        <v>112</v>
      </c>
      <c r="E1395" t="s">
        <v>87</v>
      </c>
      <c r="F1395" t="s">
        <v>3133</v>
      </c>
      <c r="G1395">
        <v>5873</v>
      </c>
      <c r="H1395" t="s">
        <v>3133</v>
      </c>
      <c r="I1395" t="s">
        <v>372</v>
      </c>
      <c r="K1395">
        <v>2509773.3706</v>
      </c>
      <c r="L1395">
        <v>1165205.4616</v>
      </c>
      <c r="M1395">
        <v>1036</v>
      </c>
      <c r="N1395" t="s">
        <v>3143</v>
      </c>
    </row>
    <row r="1396" spans="1:14" x14ac:dyDescent="0.25">
      <c r="A1396">
        <v>8510930</v>
      </c>
      <c r="B1396" t="s">
        <v>3144</v>
      </c>
      <c r="C1396" t="s">
        <v>338</v>
      </c>
      <c r="D1396" t="s">
        <v>86</v>
      </c>
      <c r="E1396" t="s">
        <v>87</v>
      </c>
      <c r="F1396" t="s">
        <v>3133</v>
      </c>
      <c r="G1396">
        <v>5873</v>
      </c>
      <c r="H1396" t="s">
        <v>3133</v>
      </c>
      <c r="I1396" t="s">
        <v>340</v>
      </c>
      <c r="K1396">
        <v>2511372.4041200001</v>
      </c>
      <c r="L1396">
        <v>1166845.6074900001</v>
      </c>
      <c r="M1396">
        <v>1035.8</v>
      </c>
      <c r="N1396" t="s">
        <v>3145</v>
      </c>
    </row>
    <row r="1397" spans="1:14" x14ac:dyDescent="0.25">
      <c r="A1397">
        <v>8507218</v>
      </c>
      <c r="B1397" t="s">
        <v>3146</v>
      </c>
      <c r="C1397" t="s">
        <v>338</v>
      </c>
      <c r="D1397" t="s">
        <v>86</v>
      </c>
      <c r="E1397" t="s">
        <v>87</v>
      </c>
      <c r="F1397" t="s">
        <v>3133</v>
      </c>
      <c r="G1397">
        <v>5873</v>
      </c>
      <c r="H1397" t="s">
        <v>3135</v>
      </c>
      <c r="I1397" t="s">
        <v>340</v>
      </c>
      <c r="K1397">
        <v>2512889.0219000001</v>
      </c>
      <c r="L1397">
        <v>1168278.72067</v>
      </c>
      <c r="M1397">
        <v>1038.7</v>
      </c>
      <c r="N1397" t="s">
        <v>3147</v>
      </c>
    </row>
    <row r="1398" spans="1:14" x14ac:dyDescent="0.25">
      <c r="A1398">
        <v>8507214</v>
      </c>
      <c r="B1398" t="s">
        <v>3148</v>
      </c>
      <c r="C1398" t="s">
        <v>338</v>
      </c>
      <c r="D1398" t="s">
        <v>86</v>
      </c>
      <c r="E1398" t="s">
        <v>87</v>
      </c>
      <c r="F1398" t="s">
        <v>3133</v>
      </c>
      <c r="G1398">
        <v>5873</v>
      </c>
      <c r="H1398" t="s">
        <v>3133</v>
      </c>
      <c r="I1398" t="s">
        <v>340</v>
      </c>
      <c r="K1398">
        <v>2509690.3177700001</v>
      </c>
      <c r="L1398">
        <v>1165028.05333</v>
      </c>
      <c r="M1398">
        <v>1008.6</v>
      </c>
      <c r="N1398" t="s">
        <v>3149</v>
      </c>
    </row>
    <row r="1399" spans="1:14" x14ac:dyDescent="0.25">
      <c r="A1399">
        <v>8507220</v>
      </c>
      <c r="B1399" t="s">
        <v>3150</v>
      </c>
      <c r="C1399" t="s">
        <v>338</v>
      </c>
      <c r="D1399" t="s">
        <v>86</v>
      </c>
      <c r="E1399" t="s">
        <v>87</v>
      </c>
      <c r="F1399" t="s">
        <v>3133</v>
      </c>
      <c r="G1399">
        <v>5873</v>
      </c>
      <c r="H1399" t="s">
        <v>3132</v>
      </c>
      <c r="I1399" t="s">
        <v>340</v>
      </c>
      <c r="K1399">
        <v>2514086.3678199998</v>
      </c>
      <c r="L1399">
        <v>1168889.40059</v>
      </c>
      <c r="M1399">
        <v>1008.2</v>
      </c>
      <c r="N1399" t="s">
        <v>3151</v>
      </c>
    </row>
    <row r="1400" spans="1:14" x14ac:dyDescent="0.25">
      <c r="A1400">
        <v>8587853</v>
      </c>
      <c r="B1400" t="s">
        <v>3152</v>
      </c>
      <c r="C1400" t="s">
        <v>242</v>
      </c>
      <c r="D1400" t="s">
        <v>86</v>
      </c>
      <c r="E1400" t="s">
        <v>87</v>
      </c>
      <c r="F1400" t="s">
        <v>53</v>
      </c>
      <c r="G1400">
        <v>5587</v>
      </c>
      <c r="H1400" t="s">
        <v>53</v>
      </c>
      <c r="I1400" t="s">
        <v>243</v>
      </c>
      <c r="K1400">
        <v>2538305</v>
      </c>
      <c r="L1400">
        <v>1156124</v>
      </c>
      <c r="M1400">
        <v>685</v>
      </c>
      <c r="N1400" t="s">
        <v>3153</v>
      </c>
    </row>
    <row r="1401" spans="1:14" x14ac:dyDescent="0.25">
      <c r="A1401">
        <v>8579235</v>
      </c>
      <c r="B1401" t="s">
        <v>3154</v>
      </c>
      <c r="C1401" t="s">
        <v>242</v>
      </c>
      <c r="D1401" t="s">
        <v>86</v>
      </c>
      <c r="E1401" t="s">
        <v>87</v>
      </c>
      <c r="F1401" t="s">
        <v>53</v>
      </c>
      <c r="G1401">
        <v>5587</v>
      </c>
      <c r="H1401" t="s">
        <v>53</v>
      </c>
      <c r="I1401" t="s">
        <v>243</v>
      </c>
      <c r="K1401">
        <v>2538450</v>
      </c>
      <c r="L1401">
        <v>1156789</v>
      </c>
      <c r="M1401">
        <v>702</v>
      </c>
      <c r="N1401" t="s">
        <v>3155</v>
      </c>
    </row>
    <row r="1402" spans="1:14" x14ac:dyDescent="0.25">
      <c r="A1402">
        <v>8592141</v>
      </c>
      <c r="B1402" t="s">
        <v>3156</v>
      </c>
      <c r="C1402" t="s">
        <v>242</v>
      </c>
      <c r="D1402" t="s">
        <v>86</v>
      </c>
      <c r="E1402" t="s">
        <v>87</v>
      </c>
      <c r="F1402" t="s">
        <v>53</v>
      </c>
      <c r="G1402">
        <v>5587</v>
      </c>
      <c r="H1402" t="s">
        <v>53</v>
      </c>
      <c r="I1402" t="s">
        <v>243</v>
      </c>
      <c r="K1402">
        <v>2538307</v>
      </c>
      <c r="L1402">
        <v>1157528</v>
      </c>
      <c r="M1402">
        <v>708</v>
      </c>
      <c r="N1402" t="s">
        <v>3157</v>
      </c>
    </row>
    <row r="1403" spans="1:14" x14ac:dyDescent="0.25">
      <c r="A1403">
        <v>8593249</v>
      </c>
      <c r="B1403" t="s">
        <v>3158</v>
      </c>
      <c r="C1403" t="s">
        <v>242</v>
      </c>
      <c r="D1403" t="s">
        <v>86</v>
      </c>
      <c r="E1403" t="s">
        <v>87</v>
      </c>
      <c r="F1403" t="s">
        <v>53</v>
      </c>
      <c r="G1403">
        <v>5587</v>
      </c>
      <c r="H1403" t="s">
        <v>53</v>
      </c>
      <c r="I1403" t="s">
        <v>243</v>
      </c>
      <c r="K1403">
        <v>2538184.5478400001</v>
      </c>
      <c r="L1403">
        <v>1155002.6423200001</v>
      </c>
      <c r="M1403">
        <v>626</v>
      </c>
      <c r="N1403" t="s">
        <v>3159</v>
      </c>
    </row>
    <row r="1404" spans="1:14" x14ac:dyDescent="0.25">
      <c r="A1404">
        <v>8593845</v>
      </c>
      <c r="B1404" t="s">
        <v>3160</v>
      </c>
      <c r="C1404" t="s">
        <v>242</v>
      </c>
      <c r="D1404" t="s">
        <v>86</v>
      </c>
      <c r="E1404" t="s">
        <v>87</v>
      </c>
      <c r="F1404" t="s">
        <v>53</v>
      </c>
      <c r="G1404">
        <v>5587</v>
      </c>
      <c r="H1404" t="s">
        <v>53</v>
      </c>
      <c r="I1404" t="s">
        <v>243</v>
      </c>
      <c r="K1404">
        <v>2538409</v>
      </c>
      <c r="L1404">
        <v>1156497</v>
      </c>
      <c r="M1404">
        <v>695</v>
      </c>
      <c r="N1404" t="s">
        <v>3161</v>
      </c>
    </row>
    <row r="1405" spans="1:14" x14ac:dyDescent="0.25">
      <c r="A1405">
        <v>8592139</v>
      </c>
      <c r="B1405" t="s">
        <v>3162</v>
      </c>
      <c r="C1405" t="s">
        <v>242</v>
      </c>
      <c r="D1405" t="s">
        <v>86</v>
      </c>
      <c r="E1405" t="s">
        <v>87</v>
      </c>
      <c r="F1405" t="s">
        <v>53</v>
      </c>
      <c r="G1405">
        <v>5587</v>
      </c>
      <c r="H1405" t="s">
        <v>53</v>
      </c>
      <c r="I1405" t="s">
        <v>243</v>
      </c>
      <c r="K1405">
        <v>2538283</v>
      </c>
      <c r="L1405">
        <v>1158564</v>
      </c>
      <c r="M1405">
        <v>699</v>
      </c>
      <c r="N1405" t="s">
        <v>3163</v>
      </c>
    </row>
    <row r="1406" spans="1:14" x14ac:dyDescent="0.25">
      <c r="A1406">
        <v>8592140</v>
      </c>
      <c r="B1406" t="s">
        <v>3164</v>
      </c>
      <c r="C1406" t="s">
        <v>242</v>
      </c>
      <c r="D1406" t="s">
        <v>86</v>
      </c>
      <c r="E1406" t="s">
        <v>87</v>
      </c>
      <c r="F1406" t="s">
        <v>53</v>
      </c>
      <c r="G1406">
        <v>5587</v>
      </c>
      <c r="H1406" t="s">
        <v>53</v>
      </c>
      <c r="I1406" t="s">
        <v>243</v>
      </c>
      <c r="K1406">
        <v>2538107</v>
      </c>
      <c r="L1406">
        <v>1155728</v>
      </c>
      <c r="M1406">
        <v>663</v>
      </c>
      <c r="N1406" t="s">
        <v>3165</v>
      </c>
    </row>
    <row r="1407" spans="1:14" x14ac:dyDescent="0.25">
      <c r="A1407">
        <v>8595005</v>
      </c>
      <c r="B1407" t="s">
        <v>3166</v>
      </c>
      <c r="C1407" t="s">
        <v>242</v>
      </c>
      <c r="D1407" t="s">
        <v>86</v>
      </c>
      <c r="E1407" t="s">
        <v>87</v>
      </c>
      <c r="F1407" t="s">
        <v>53</v>
      </c>
      <c r="G1407">
        <v>5587</v>
      </c>
      <c r="H1407" t="s">
        <v>53</v>
      </c>
      <c r="I1407" t="s">
        <v>243</v>
      </c>
      <c r="K1407">
        <v>2537723</v>
      </c>
      <c r="L1407">
        <v>1154897</v>
      </c>
      <c r="M1407">
        <v>592</v>
      </c>
      <c r="N1407" t="s">
        <v>3167</v>
      </c>
    </row>
    <row r="1408" spans="1:14" x14ac:dyDescent="0.25">
      <c r="A1408">
        <v>8511584</v>
      </c>
      <c r="B1408" t="s">
        <v>3168</v>
      </c>
      <c r="C1408" t="s">
        <v>242</v>
      </c>
      <c r="D1408" t="s">
        <v>86</v>
      </c>
      <c r="E1408" t="s">
        <v>87</v>
      </c>
      <c r="F1408" t="s">
        <v>53</v>
      </c>
      <c r="G1408">
        <v>5587</v>
      </c>
      <c r="H1408" t="s">
        <v>53</v>
      </c>
      <c r="I1408" t="s">
        <v>243</v>
      </c>
      <c r="K1408">
        <v>2539597.9056699998</v>
      </c>
      <c r="L1408">
        <v>1157433.65274</v>
      </c>
      <c r="M1408">
        <v>791</v>
      </c>
      <c r="N1408" t="s">
        <v>3169</v>
      </c>
    </row>
    <row r="1409" spans="1:14" x14ac:dyDescent="0.25">
      <c r="A1409">
        <v>8592143</v>
      </c>
      <c r="B1409" t="s">
        <v>3170</v>
      </c>
      <c r="C1409" t="s">
        <v>242</v>
      </c>
      <c r="D1409" t="s">
        <v>86</v>
      </c>
      <c r="E1409" t="s">
        <v>87</v>
      </c>
      <c r="F1409" t="s">
        <v>53</v>
      </c>
      <c r="G1409">
        <v>5587</v>
      </c>
      <c r="H1409" t="s">
        <v>53</v>
      </c>
      <c r="I1409" t="s">
        <v>243</v>
      </c>
      <c r="K1409">
        <v>2538121</v>
      </c>
      <c r="L1409">
        <v>1155324</v>
      </c>
      <c r="M1409">
        <v>642</v>
      </c>
      <c r="N1409" t="s">
        <v>3171</v>
      </c>
    </row>
    <row r="1410" spans="1:14" x14ac:dyDescent="0.25">
      <c r="A1410">
        <v>8592142</v>
      </c>
      <c r="B1410" t="s">
        <v>3172</v>
      </c>
      <c r="C1410" t="s">
        <v>242</v>
      </c>
      <c r="D1410" t="s">
        <v>86</v>
      </c>
      <c r="E1410" t="s">
        <v>87</v>
      </c>
      <c r="F1410" t="s">
        <v>53</v>
      </c>
      <c r="G1410">
        <v>5587</v>
      </c>
      <c r="H1410" t="s">
        <v>53</v>
      </c>
      <c r="I1410" t="s">
        <v>243</v>
      </c>
      <c r="K1410">
        <v>2538314</v>
      </c>
      <c r="L1410">
        <v>1158063</v>
      </c>
      <c r="M1410">
        <v>713</v>
      </c>
      <c r="N1410" t="s">
        <v>3173</v>
      </c>
    </row>
    <row r="1411" spans="1:14" x14ac:dyDescent="0.25">
      <c r="A1411">
        <v>8511245</v>
      </c>
      <c r="B1411" t="s">
        <v>3174</v>
      </c>
      <c r="C1411" t="s">
        <v>242</v>
      </c>
      <c r="D1411" t="s">
        <v>86</v>
      </c>
      <c r="E1411" t="s">
        <v>87</v>
      </c>
      <c r="F1411" t="s">
        <v>53</v>
      </c>
      <c r="G1411">
        <v>5587</v>
      </c>
      <c r="H1411" t="s">
        <v>53</v>
      </c>
      <c r="I1411" t="s">
        <v>243</v>
      </c>
      <c r="K1411">
        <v>2537975.47321</v>
      </c>
      <c r="L1411">
        <v>1155100.10369</v>
      </c>
      <c r="M1411">
        <v>611.4</v>
      </c>
      <c r="N1411" t="s">
        <v>3175</v>
      </c>
    </row>
    <row r="1412" spans="1:14" x14ac:dyDescent="0.25">
      <c r="A1412">
        <v>8504177</v>
      </c>
      <c r="B1412" t="s">
        <v>3176</v>
      </c>
      <c r="C1412" t="s">
        <v>242</v>
      </c>
      <c r="D1412" t="s">
        <v>86</v>
      </c>
      <c r="E1412" t="s">
        <v>87</v>
      </c>
      <c r="F1412" t="s">
        <v>53</v>
      </c>
      <c r="G1412">
        <v>5587</v>
      </c>
      <c r="H1412" t="s">
        <v>53</v>
      </c>
      <c r="I1412" t="s">
        <v>243</v>
      </c>
      <c r="K1412">
        <v>2538190</v>
      </c>
      <c r="L1412">
        <v>1157177</v>
      </c>
      <c r="M1412">
        <v>695</v>
      </c>
      <c r="N1412" t="s">
        <v>3177</v>
      </c>
    </row>
    <row r="1413" spans="1:14" x14ac:dyDescent="0.25">
      <c r="A1413">
        <v>8570016</v>
      </c>
      <c r="B1413" t="s">
        <v>3178</v>
      </c>
      <c r="C1413" t="s">
        <v>94</v>
      </c>
      <c r="D1413" t="s">
        <v>86</v>
      </c>
      <c r="E1413" t="s">
        <v>87</v>
      </c>
      <c r="F1413" t="s">
        <v>3179</v>
      </c>
      <c r="G1413">
        <v>5731</v>
      </c>
      <c r="H1413" t="s">
        <v>3179</v>
      </c>
      <c r="I1413" t="s">
        <v>96</v>
      </c>
      <c r="K1413">
        <v>2508020</v>
      </c>
      <c r="L1413">
        <v>1148282</v>
      </c>
      <c r="M1413">
        <v>795</v>
      </c>
      <c r="N1413" t="s">
        <v>3180</v>
      </c>
    </row>
    <row r="1414" spans="1:14" x14ac:dyDescent="0.25">
      <c r="A1414">
        <v>8501856</v>
      </c>
      <c r="B1414" t="s">
        <v>3181</v>
      </c>
      <c r="C1414" t="s">
        <v>94</v>
      </c>
      <c r="D1414" t="s">
        <v>86</v>
      </c>
      <c r="E1414" t="s">
        <v>87</v>
      </c>
      <c r="F1414" t="s">
        <v>3179</v>
      </c>
      <c r="G1414">
        <v>5731</v>
      </c>
      <c r="H1414" t="s">
        <v>3179</v>
      </c>
      <c r="I1414" t="s">
        <v>96</v>
      </c>
      <c r="K1414">
        <v>2507750</v>
      </c>
      <c r="L1414">
        <v>1148071</v>
      </c>
      <c r="M1414">
        <v>814</v>
      </c>
      <c r="N1414" t="s">
        <v>3182</v>
      </c>
    </row>
    <row r="1415" spans="1:14" x14ac:dyDescent="0.25">
      <c r="A1415">
        <v>8579100</v>
      </c>
      <c r="B1415" t="s">
        <v>3183</v>
      </c>
      <c r="C1415" t="s">
        <v>338</v>
      </c>
      <c r="D1415" t="s">
        <v>86</v>
      </c>
      <c r="E1415" t="s">
        <v>87</v>
      </c>
      <c r="F1415" t="s">
        <v>3184</v>
      </c>
      <c r="G1415">
        <v>5750</v>
      </c>
      <c r="H1415" t="s">
        <v>3184</v>
      </c>
      <c r="I1415" t="s">
        <v>340</v>
      </c>
      <c r="K1415">
        <v>2526723</v>
      </c>
      <c r="L1415">
        <v>1176132.0009999999</v>
      </c>
      <c r="M1415">
        <v>676</v>
      </c>
      <c r="N1415" t="s">
        <v>3185</v>
      </c>
    </row>
    <row r="1416" spans="1:14" x14ac:dyDescent="0.25">
      <c r="A1416">
        <v>8501483</v>
      </c>
      <c r="B1416" t="s">
        <v>3186</v>
      </c>
      <c r="C1416" t="s">
        <v>111</v>
      </c>
      <c r="D1416" t="s">
        <v>112</v>
      </c>
      <c r="E1416" t="s">
        <v>87</v>
      </c>
      <c r="F1416" t="s">
        <v>3187</v>
      </c>
      <c r="G1416">
        <v>5407</v>
      </c>
      <c r="H1416" t="s">
        <v>3187</v>
      </c>
      <c r="I1416" t="s">
        <v>113</v>
      </c>
      <c r="K1416">
        <v>2566726.4380000001</v>
      </c>
      <c r="L1416">
        <v>1132776.8999999999</v>
      </c>
      <c r="M1416">
        <v>1448</v>
      </c>
      <c r="N1416" t="s">
        <v>3188</v>
      </c>
    </row>
    <row r="1417" spans="1:14" x14ac:dyDescent="0.25">
      <c r="A1417">
        <v>8531383</v>
      </c>
      <c r="B1417" t="s">
        <v>3189</v>
      </c>
      <c r="C1417" t="s">
        <v>3190</v>
      </c>
      <c r="D1417" t="s">
        <v>692</v>
      </c>
      <c r="E1417" t="s">
        <v>87</v>
      </c>
      <c r="F1417" t="s">
        <v>3187</v>
      </c>
      <c r="G1417">
        <v>5407</v>
      </c>
      <c r="H1417" t="s">
        <v>3187</v>
      </c>
      <c r="I1417" t="s">
        <v>3191</v>
      </c>
      <c r="J1417" t="s">
        <v>3192</v>
      </c>
      <c r="K1417">
        <v>2568499</v>
      </c>
      <c r="L1417">
        <v>1135892</v>
      </c>
      <c r="M1417">
        <v>1700</v>
      </c>
      <c r="N1417" t="s">
        <v>3193</v>
      </c>
    </row>
    <row r="1418" spans="1:14" x14ac:dyDescent="0.25">
      <c r="A1418">
        <v>8531386</v>
      </c>
      <c r="B1418" t="s">
        <v>3194</v>
      </c>
      <c r="C1418" t="s">
        <v>3190</v>
      </c>
      <c r="D1418" t="s">
        <v>692</v>
      </c>
      <c r="E1418" t="s">
        <v>87</v>
      </c>
      <c r="F1418" t="s">
        <v>3187</v>
      </c>
      <c r="G1418">
        <v>5407</v>
      </c>
      <c r="H1418" t="s">
        <v>3187</v>
      </c>
      <c r="I1418" t="s">
        <v>3191</v>
      </c>
      <c r="J1418" t="s">
        <v>3195</v>
      </c>
      <c r="K1418">
        <v>2566497</v>
      </c>
      <c r="L1418">
        <v>1134829</v>
      </c>
      <c r="M1418">
        <v>1890</v>
      </c>
      <c r="N1418" t="s">
        <v>3196</v>
      </c>
    </row>
    <row r="1419" spans="1:14" x14ac:dyDescent="0.25">
      <c r="A1419">
        <v>8595100</v>
      </c>
      <c r="B1419" t="s">
        <v>3197</v>
      </c>
      <c r="C1419" t="s">
        <v>3198</v>
      </c>
      <c r="D1419" t="s">
        <v>86</v>
      </c>
      <c r="E1419" t="s">
        <v>87</v>
      </c>
      <c r="F1419" t="s">
        <v>3187</v>
      </c>
      <c r="G1419">
        <v>5407</v>
      </c>
      <c r="H1419" t="s">
        <v>3187</v>
      </c>
      <c r="I1419" t="s">
        <v>3199</v>
      </c>
      <c r="K1419">
        <v>2566890</v>
      </c>
      <c r="L1419">
        <v>1132180</v>
      </c>
      <c r="M1419">
        <v>1261</v>
      </c>
      <c r="N1419" t="s">
        <v>3200</v>
      </c>
    </row>
    <row r="1420" spans="1:14" x14ac:dyDescent="0.25">
      <c r="A1420">
        <v>8595107</v>
      </c>
      <c r="B1420" t="s">
        <v>3201</v>
      </c>
      <c r="C1420" t="s">
        <v>3198</v>
      </c>
      <c r="D1420" t="s">
        <v>86</v>
      </c>
      <c r="E1420" t="s">
        <v>87</v>
      </c>
      <c r="F1420" t="s">
        <v>3187</v>
      </c>
      <c r="G1420">
        <v>5407</v>
      </c>
      <c r="H1420" t="s">
        <v>3187</v>
      </c>
      <c r="I1420" t="s">
        <v>3199</v>
      </c>
      <c r="K1420">
        <v>2566555</v>
      </c>
      <c r="L1420">
        <v>1132375</v>
      </c>
      <c r="M1420">
        <v>1383</v>
      </c>
      <c r="N1420" t="s">
        <v>3202</v>
      </c>
    </row>
    <row r="1421" spans="1:14" x14ac:dyDescent="0.25">
      <c r="A1421">
        <v>8531379</v>
      </c>
      <c r="B1421" t="s">
        <v>3203</v>
      </c>
      <c r="C1421" t="s">
        <v>3190</v>
      </c>
      <c r="D1421" t="s">
        <v>692</v>
      </c>
      <c r="E1421" t="s">
        <v>87</v>
      </c>
      <c r="F1421" t="s">
        <v>3187</v>
      </c>
      <c r="G1421">
        <v>5407</v>
      </c>
      <c r="H1421" t="s">
        <v>3187</v>
      </c>
      <c r="I1421" t="s">
        <v>3191</v>
      </c>
      <c r="J1421" t="s">
        <v>3204</v>
      </c>
      <c r="K1421">
        <v>2567402</v>
      </c>
      <c r="L1421">
        <v>1135059</v>
      </c>
      <c r="M1421">
        <v>1844</v>
      </c>
      <c r="N1421" t="s">
        <v>3205</v>
      </c>
    </row>
    <row r="1422" spans="1:14" x14ac:dyDescent="0.25">
      <c r="A1422">
        <v>8501481</v>
      </c>
      <c r="B1422" t="s">
        <v>3206</v>
      </c>
      <c r="C1422" t="s">
        <v>111</v>
      </c>
      <c r="D1422" t="s">
        <v>112</v>
      </c>
      <c r="E1422" t="s">
        <v>87</v>
      </c>
      <c r="F1422" t="s">
        <v>3187</v>
      </c>
      <c r="G1422">
        <v>5407</v>
      </c>
      <c r="H1422" t="s">
        <v>3187</v>
      </c>
      <c r="I1422" t="s">
        <v>113</v>
      </c>
      <c r="K1422">
        <v>2566693.318</v>
      </c>
      <c r="L1422">
        <v>1132077.844</v>
      </c>
      <c r="M1422">
        <v>1269.2</v>
      </c>
      <c r="N1422" t="s">
        <v>3207</v>
      </c>
    </row>
    <row r="1423" spans="1:14" x14ac:dyDescent="0.25">
      <c r="A1423">
        <v>8501480</v>
      </c>
      <c r="B1423" t="s">
        <v>3208</v>
      </c>
      <c r="C1423" t="s">
        <v>111</v>
      </c>
      <c r="D1423" t="s">
        <v>112</v>
      </c>
      <c r="E1423" t="s">
        <v>87</v>
      </c>
      <c r="F1423" t="s">
        <v>3187</v>
      </c>
      <c r="G1423">
        <v>5407</v>
      </c>
      <c r="H1423" t="s">
        <v>3187</v>
      </c>
      <c r="I1423" t="s">
        <v>113</v>
      </c>
      <c r="K1423">
        <v>2566287.0950000002</v>
      </c>
      <c r="L1423">
        <v>1130757.2180000001</v>
      </c>
      <c r="M1423">
        <v>917.1</v>
      </c>
      <c r="N1423" t="s">
        <v>3209</v>
      </c>
    </row>
    <row r="1424" spans="1:14" x14ac:dyDescent="0.25">
      <c r="A1424">
        <v>8501330</v>
      </c>
      <c r="B1424" t="s">
        <v>3210</v>
      </c>
      <c r="C1424" t="s">
        <v>101</v>
      </c>
      <c r="D1424" t="s">
        <v>86</v>
      </c>
      <c r="E1424" t="s">
        <v>87</v>
      </c>
      <c r="F1424" t="s">
        <v>3187</v>
      </c>
      <c r="G1424">
        <v>5407</v>
      </c>
      <c r="H1424" t="s">
        <v>3187</v>
      </c>
      <c r="I1424" t="s">
        <v>103</v>
      </c>
      <c r="K1424">
        <v>2567275</v>
      </c>
      <c r="L1424">
        <v>1132590</v>
      </c>
      <c r="M1424">
        <v>1290</v>
      </c>
      <c r="N1424" t="s">
        <v>3211</v>
      </c>
    </row>
    <row r="1425" spans="1:14" x14ac:dyDescent="0.25">
      <c r="A1425">
        <v>8510892</v>
      </c>
      <c r="B1425" t="s">
        <v>3212</v>
      </c>
      <c r="C1425" t="s">
        <v>3198</v>
      </c>
      <c r="D1425" t="s">
        <v>86</v>
      </c>
      <c r="E1425" t="s">
        <v>87</v>
      </c>
      <c r="F1425" t="s">
        <v>3187</v>
      </c>
      <c r="G1425">
        <v>5407</v>
      </c>
      <c r="H1425" t="s">
        <v>3187</v>
      </c>
      <c r="I1425" t="s">
        <v>3199</v>
      </c>
      <c r="K1425">
        <v>2566990.9500000002</v>
      </c>
      <c r="L1425">
        <v>1132658.83</v>
      </c>
      <c r="M1425">
        <v>1367.8</v>
      </c>
      <c r="N1425" t="s">
        <v>3213</v>
      </c>
    </row>
    <row r="1426" spans="1:14" x14ac:dyDescent="0.25">
      <c r="A1426">
        <v>8511181</v>
      </c>
      <c r="B1426" t="s">
        <v>3214</v>
      </c>
      <c r="C1426" t="s">
        <v>3198</v>
      </c>
      <c r="D1426" t="s">
        <v>86</v>
      </c>
      <c r="E1426" t="s">
        <v>87</v>
      </c>
      <c r="F1426" t="s">
        <v>3187</v>
      </c>
      <c r="G1426">
        <v>5407</v>
      </c>
      <c r="H1426" t="s">
        <v>3187</v>
      </c>
      <c r="I1426" t="s">
        <v>3199</v>
      </c>
      <c r="K1426">
        <v>2566896.29</v>
      </c>
      <c r="L1426">
        <v>1132380.3999999999</v>
      </c>
      <c r="M1426">
        <v>1318.5</v>
      </c>
      <c r="N1426" t="s">
        <v>3215</v>
      </c>
    </row>
    <row r="1427" spans="1:14" x14ac:dyDescent="0.25">
      <c r="A1427">
        <v>8595101</v>
      </c>
      <c r="B1427" t="s">
        <v>3216</v>
      </c>
      <c r="C1427" t="s">
        <v>3198</v>
      </c>
      <c r="D1427" t="s">
        <v>86</v>
      </c>
      <c r="E1427" t="s">
        <v>87</v>
      </c>
      <c r="F1427" t="s">
        <v>3187</v>
      </c>
      <c r="G1427">
        <v>5407</v>
      </c>
      <c r="H1427" t="s">
        <v>3187</v>
      </c>
      <c r="I1427" t="s">
        <v>3199</v>
      </c>
      <c r="K1427">
        <v>2567135</v>
      </c>
      <c r="L1427">
        <v>1132285</v>
      </c>
      <c r="M1427">
        <v>1245</v>
      </c>
      <c r="N1427" t="s">
        <v>3217</v>
      </c>
    </row>
    <row r="1428" spans="1:14" x14ac:dyDescent="0.25">
      <c r="A1428">
        <v>8595103</v>
      </c>
      <c r="B1428" t="s">
        <v>3218</v>
      </c>
      <c r="C1428" t="s">
        <v>3198</v>
      </c>
      <c r="D1428" t="s">
        <v>86</v>
      </c>
      <c r="E1428" t="s">
        <v>87</v>
      </c>
      <c r="F1428" t="s">
        <v>3187</v>
      </c>
      <c r="G1428">
        <v>5407</v>
      </c>
      <c r="H1428" t="s">
        <v>3187</v>
      </c>
      <c r="I1428" t="s">
        <v>3199</v>
      </c>
      <c r="K1428">
        <v>2568150</v>
      </c>
      <c r="L1428">
        <v>1133815</v>
      </c>
      <c r="M1428">
        <v>1351</v>
      </c>
      <c r="N1428" t="s">
        <v>3219</v>
      </c>
    </row>
    <row r="1429" spans="1:14" x14ac:dyDescent="0.25">
      <c r="A1429">
        <v>8595106</v>
      </c>
      <c r="B1429" t="s">
        <v>3220</v>
      </c>
      <c r="C1429" t="s">
        <v>3198</v>
      </c>
      <c r="D1429" t="s">
        <v>86</v>
      </c>
      <c r="E1429" t="s">
        <v>87</v>
      </c>
      <c r="F1429" t="s">
        <v>3187</v>
      </c>
      <c r="G1429">
        <v>5407</v>
      </c>
      <c r="H1429" t="s">
        <v>3187</v>
      </c>
      <c r="I1429" t="s">
        <v>3199</v>
      </c>
      <c r="K1429">
        <v>2566365</v>
      </c>
      <c r="L1429">
        <v>1132210</v>
      </c>
      <c r="M1429">
        <v>1358</v>
      </c>
      <c r="N1429" t="s">
        <v>3221</v>
      </c>
    </row>
    <row r="1430" spans="1:14" x14ac:dyDescent="0.25">
      <c r="A1430">
        <v>8595105</v>
      </c>
      <c r="B1430" t="s">
        <v>3222</v>
      </c>
      <c r="C1430" t="s">
        <v>3198</v>
      </c>
      <c r="D1430" t="s">
        <v>86</v>
      </c>
      <c r="E1430" t="s">
        <v>87</v>
      </c>
      <c r="F1430" t="s">
        <v>3187</v>
      </c>
      <c r="G1430">
        <v>5407</v>
      </c>
      <c r="H1430" t="s">
        <v>3187</v>
      </c>
      <c r="I1430" t="s">
        <v>3199</v>
      </c>
      <c r="K1430">
        <v>2566775</v>
      </c>
      <c r="L1430">
        <v>1132335</v>
      </c>
      <c r="M1430">
        <v>1329</v>
      </c>
      <c r="N1430" t="s">
        <v>3223</v>
      </c>
    </row>
    <row r="1431" spans="1:14" x14ac:dyDescent="0.25">
      <c r="A1431">
        <v>8570629</v>
      </c>
      <c r="B1431" t="s">
        <v>3224</v>
      </c>
      <c r="C1431" t="s">
        <v>101</v>
      </c>
      <c r="D1431" t="s">
        <v>86</v>
      </c>
      <c r="E1431" t="s">
        <v>87</v>
      </c>
      <c r="F1431" t="s">
        <v>3187</v>
      </c>
      <c r="G1431">
        <v>5407</v>
      </c>
      <c r="H1431" t="s">
        <v>3187</v>
      </c>
      <c r="I1431" t="s">
        <v>103</v>
      </c>
      <c r="K1431">
        <v>2568285</v>
      </c>
      <c r="L1431">
        <v>1132840</v>
      </c>
      <c r="M1431">
        <v>1231</v>
      </c>
      <c r="N1431" t="s">
        <v>3225</v>
      </c>
    </row>
    <row r="1432" spans="1:14" x14ac:dyDescent="0.25">
      <c r="A1432">
        <v>8501482</v>
      </c>
      <c r="B1432" t="s">
        <v>3226</v>
      </c>
      <c r="C1432" t="s">
        <v>111</v>
      </c>
      <c r="D1432" t="s">
        <v>112</v>
      </c>
      <c r="E1432" t="s">
        <v>87</v>
      </c>
      <c r="F1432" t="s">
        <v>3187</v>
      </c>
      <c r="G1432">
        <v>5407</v>
      </c>
      <c r="H1432" t="s">
        <v>3187</v>
      </c>
      <c r="I1432" t="s">
        <v>113</v>
      </c>
      <c r="K1432">
        <v>2566874.338</v>
      </c>
      <c r="L1432">
        <v>1132652.69</v>
      </c>
      <c r="M1432">
        <v>1389</v>
      </c>
      <c r="N1432" t="s">
        <v>3227</v>
      </c>
    </row>
    <row r="1433" spans="1:14" x14ac:dyDescent="0.25">
      <c r="A1433">
        <v>8570631</v>
      </c>
      <c r="B1433" t="s">
        <v>3228</v>
      </c>
      <c r="C1433" t="s">
        <v>101</v>
      </c>
      <c r="D1433" t="s">
        <v>86</v>
      </c>
      <c r="E1433" t="s">
        <v>87</v>
      </c>
      <c r="F1433" t="s">
        <v>3187</v>
      </c>
      <c r="G1433">
        <v>5407</v>
      </c>
      <c r="H1433" t="s">
        <v>3187</v>
      </c>
      <c r="I1433" t="s">
        <v>103</v>
      </c>
      <c r="K1433">
        <v>2567564</v>
      </c>
      <c r="L1433">
        <v>1132874</v>
      </c>
      <c r="M1433">
        <v>1312</v>
      </c>
      <c r="N1433" t="s">
        <v>3229</v>
      </c>
    </row>
    <row r="1434" spans="1:14" x14ac:dyDescent="0.25">
      <c r="A1434">
        <v>8595102</v>
      </c>
      <c r="B1434" t="s">
        <v>3230</v>
      </c>
      <c r="C1434" t="s">
        <v>3198</v>
      </c>
      <c r="D1434" t="s">
        <v>86</v>
      </c>
      <c r="E1434" t="s">
        <v>87</v>
      </c>
      <c r="F1434" t="s">
        <v>3187</v>
      </c>
      <c r="G1434">
        <v>5407</v>
      </c>
      <c r="H1434" t="s">
        <v>3187</v>
      </c>
      <c r="I1434" t="s">
        <v>3199</v>
      </c>
      <c r="K1434">
        <v>2567895</v>
      </c>
      <c r="L1434">
        <v>1133700</v>
      </c>
      <c r="M1434">
        <v>1373</v>
      </c>
      <c r="N1434" t="s">
        <v>3231</v>
      </c>
    </row>
    <row r="1435" spans="1:14" x14ac:dyDescent="0.25">
      <c r="A1435">
        <v>8595104</v>
      </c>
      <c r="B1435" t="s">
        <v>3232</v>
      </c>
      <c r="C1435" t="s">
        <v>3198</v>
      </c>
      <c r="D1435" t="s">
        <v>86</v>
      </c>
      <c r="E1435" t="s">
        <v>87</v>
      </c>
      <c r="F1435" t="s">
        <v>3187</v>
      </c>
      <c r="G1435">
        <v>5407</v>
      </c>
      <c r="H1435" t="s">
        <v>3187</v>
      </c>
      <c r="I1435" t="s">
        <v>3199</v>
      </c>
      <c r="K1435">
        <v>2567895</v>
      </c>
      <c r="L1435">
        <v>1133445</v>
      </c>
      <c r="M1435">
        <v>1322</v>
      </c>
      <c r="N1435" t="s">
        <v>3233</v>
      </c>
    </row>
    <row r="1436" spans="1:14" x14ac:dyDescent="0.25">
      <c r="A1436">
        <v>8595110</v>
      </c>
      <c r="B1436" t="s">
        <v>3234</v>
      </c>
      <c r="C1436" t="s">
        <v>3198</v>
      </c>
      <c r="D1436" t="s">
        <v>86</v>
      </c>
      <c r="E1436" t="s">
        <v>87</v>
      </c>
      <c r="F1436" t="s">
        <v>3187</v>
      </c>
      <c r="G1436">
        <v>5407</v>
      </c>
      <c r="H1436" t="s">
        <v>3187</v>
      </c>
      <c r="I1436" t="s">
        <v>3199</v>
      </c>
      <c r="K1436">
        <v>2567188.5851099999</v>
      </c>
      <c r="L1436">
        <v>1132741.0468900001</v>
      </c>
      <c r="M1436">
        <v>1368</v>
      </c>
      <c r="N1436" t="s">
        <v>3235</v>
      </c>
    </row>
    <row r="1437" spans="1:14" x14ac:dyDescent="0.25">
      <c r="A1437">
        <v>8570630</v>
      </c>
      <c r="B1437" t="s">
        <v>3236</v>
      </c>
      <c r="C1437" t="s">
        <v>101</v>
      </c>
      <c r="D1437" t="s">
        <v>86</v>
      </c>
      <c r="E1437" t="s">
        <v>87</v>
      </c>
      <c r="F1437" t="s">
        <v>3187</v>
      </c>
      <c r="G1437">
        <v>5407</v>
      </c>
      <c r="H1437" t="s">
        <v>3187</v>
      </c>
      <c r="I1437" t="s">
        <v>103</v>
      </c>
      <c r="K1437">
        <v>2567332</v>
      </c>
      <c r="L1437">
        <v>1132415</v>
      </c>
      <c r="M1437">
        <v>1258</v>
      </c>
      <c r="N1437" t="s">
        <v>3237</v>
      </c>
    </row>
    <row r="1438" spans="1:14" x14ac:dyDescent="0.25">
      <c r="A1438">
        <v>8531375</v>
      </c>
      <c r="B1438" t="s">
        <v>3238</v>
      </c>
      <c r="C1438" t="s">
        <v>3190</v>
      </c>
      <c r="D1438" t="s">
        <v>692</v>
      </c>
      <c r="E1438" t="s">
        <v>87</v>
      </c>
      <c r="F1438" t="s">
        <v>3187</v>
      </c>
      <c r="G1438">
        <v>5407</v>
      </c>
      <c r="H1438" t="s">
        <v>3187</v>
      </c>
      <c r="I1438" t="s">
        <v>3191</v>
      </c>
      <c r="J1438" t="s">
        <v>3239</v>
      </c>
      <c r="K1438">
        <v>2567644</v>
      </c>
      <c r="L1438">
        <v>1133811</v>
      </c>
      <c r="M1438">
        <v>1461</v>
      </c>
      <c r="N1438" t="s">
        <v>3240</v>
      </c>
    </row>
    <row r="1439" spans="1:14" x14ac:dyDescent="0.25">
      <c r="A1439">
        <v>8531378</v>
      </c>
      <c r="B1439" t="s">
        <v>3241</v>
      </c>
      <c r="C1439" t="s">
        <v>3190</v>
      </c>
      <c r="D1439" t="s">
        <v>692</v>
      </c>
      <c r="E1439" t="s">
        <v>87</v>
      </c>
      <c r="F1439" t="s">
        <v>3187</v>
      </c>
      <c r="G1439">
        <v>5407</v>
      </c>
      <c r="H1439" t="s">
        <v>3187</v>
      </c>
      <c r="I1439" t="s">
        <v>3191</v>
      </c>
      <c r="J1439" t="s">
        <v>3242</v>
      </c>
      <c r="K1439">
        <v>2568319</v>
      </c>
      <c r="L1439">
        <v>1135459</v>
      </c>
      <c r="M1439">
        <v>1578</v>
      </c>
      <c r="N1439" t="s">
        <v>3243</v>
      </c>
    </row>
    <row r="1440" spans="1:14" x14ac:dyDescent="0.25">
      <c r="A1440">
        <v>8531377</v>
      </c>
      <c r="B1440" t="s">
        <v>3244</v>
      </c>
      <c r="C1440" t="s">
        <v>3190</v>
      </c>
      <c r="D1440" t="s">
        <v>692</v>
      </c>
      <c r="E1440" t="s">
        <v>87</v>
      </c>
      <c r="F1440" t="s">
        <v>3187</v>
      </c>
      <c r="G1440">
        <v>5407</v>
      </c>
      <c r="H1440" t="s">
        <v>3187</v>
      </c>
      <c r="I1440" t="s">
        <v>3191</v>
      </c>
      <c r="J1440" t="s">
        <v>3245</v>
      </c>
      <c r="K1440">
        <v>2566122</v>
      </c>
      <c r="L1440">
        <v>1135740</v>
      </c>
      <c r="M1440">
        <v>2194</v>
      </c>
      <c r="N1440" t="s">
        <v>3246</v>
      </c>
    </row>
    <row r="1441" spans="1:14" x14ac:dyDescent="0.25">
      <c r="A1441">
        <v>8531381</v>
      </c>
      <c r="B1441" t="s">
        <v>3247</v>
      </c>
      <c r="C1441" t="s">
        <v>3190</v>
      </c>
      <c r="D1441" t="s">
        <v>692</v>
      </c>
      <c r="E1441" t="s">
        <v>87</v>
      </c>
      <c r="F1441" t="s">
        <v>3187</v>
      </c>
      <c r="G1441">
        <v>5407</v>
      </c>
      <c r="H1441" t="s">
        <v>3187</v>
      </c>
      <c r="I1441" t="s">
        <v>3191</v>
      </c>
      <c r="J1441" t="s">
        <v>3248</v>
      </c>
      <c r="K1441">
        <v>2568527</v>
      </c>
      <c r="L1441">
        <v>1135839</v>
      </c>
      <c r="M1441">
        <v>1693</v>
      </c>
      <c r="N1441" t="s">
        <v>3249</v>
      </c>
    </row>
    <row r="1442" spans="1:14" x14ac:dyDescent="0.25">
      <c r="A1442">
        <v>8510893</v>
      </c>
      <c r="B1442" t="s">
        <v>3250</v>
      </c>
      <c r="C1442" t="s">
        <v>3198</v>
      </c>
      <c r="D1442" t="s">
        <v>86</v>
      </c>
      <c r="E1442" t="s">
        <v>87</v>
      </c>
      <c r="F1442" t="s">
        <v>3187</v>
      </c>
      <c r="G1442">
        <v>5407</v>
      </c>
      <c r="H1442" t="s">
        <v>3187</v>
      </c>
      <c r="I1442" t="s">
        <v>3199</v>
      </c>
      <c r="K1442">
        <v>2567872.75</v>
      </c>
      <c r="L1442">
        <v>1132356.1399999999</v>
      </c>
      <c r="M1442">
        <v>1240.7</v>
      </c>
      <c r="N1442" t="s">
        <v>3251</v>
      </c>
    </row>
    <row r="1443" spans="1:14" x14ac:dyDescent="0.25">
      <c r="A1443">
        <v>8501725</v>
      </c>
      <c r="B1443" t="s">
        <v>3252</v>
      </c>
      <c r="C1443" t="s">
        <v>111</v>
      </c>
      <c r="D1443" t="s">
        <v>112</v>
      </c>
      <c r="E1443" t="s">
        <v>87</v>
      </c>
      <c r="F1443" t="s">
        <v>3187</v>
      </c>
      <c r="G1443">
        <v>5407</v>
      </c>
      <c r="H1443" t="s">
        <v>3187</v>
      </c>
      <c r="I1443" t="s">
        <v>113</v>
      </c>
      <c r="K1443">
        <v>2566763.9360000002</v>
      </c>
      <c r="L1443">
        <v>1132317.574</v>
      </c>
      <c r="M1443">
        <v>1327.7</v>
      </c>
      <c r="N1443" t="s">
        <v>3253</v>
      </c>
    </row>
    <row r="1444" spans="1:14" x14ac:dyDescent="0.25">
      <c r="A1444">
        <v>8501974</v>
      </c>
      <c r="B1444" t="s">
        <v>3254</v>
      </c>
      <c r="C1444" t="s">
        <v>101</v>
      </c>
      <c r="D1444" t="s">
        <v>86</v>
      </c>
      <c r="E1444" t="s">
        <v>87</v>
      </c>
      <c r="F1444" t="s">
        <v>3187</v>
      </c>
      <c r="G1444">
        <v>5407</v>
      </c>
      <c r="H1444" t="s">
        <v>3187</v>
      </c>
      <c r="I1444" t="s">
        <v>103</v>
      </c>
      <c r="K1444">
        <v>2566920</v>
      </c>
      <c r="L1444">
        <v>1132685</v>
      </c>
      <c r="M1444">
        <v>1391</v>
      </c>
      <c r="N1444" t="s">
        <v>3255</v>
      </c>
    </row>
    <row r="1445" spans="1:14" x14ac:dyDescent="0.25">
      <c r="A1445">
        <v>8530942</v>
      </c>
      <c r="B1445" t="s">
        <v>3256</v>
      </c>
      <c r="C1445" t="s">
        <v>3190</v>
      </c>
      <c r="D1445" t="s">
        <v>692</v>
      </c>
      <c r="E1445" t="s">
        <v>87</v>
      </c>
      <c r="F1445" t="s">
        <v>3187</v>
      </c>
      <c r="G1445">
        <v>5407</v>
      </c>
      <c r="H1445" t="s">
        <v>3187</v>
      </c>
      <c r="I1445" t="s">
        <v>3191</v>
      </c>
      <c r="J1445" t="s">
        <v>3257</v>
      </c>
      <c r="K1445">
        <v>2566391</v>
      </c>
      <c r="L1445">
        <v>1134396</v>
      </c>
      <c r="M1445">
        <v>2031</v>
      </c>
      <c r="N1445" t="s">
        <v>3258</v>
      </c>
    </row>
    <row r="1446" spans="1:14" x14ac:dyDescent="0.25">
      <c r="A1446">
        <v>8531374</v>
      </c>
      <c r="B1446" t="s">
        <v>3259</v>
      </c>
      <c r="C1446" t="s">
        <v>3190</v>
      </c>
      <c r="D1446" t="s">
        <v>692</v>
      </c>
      <c r="E1446" t="s">
        <v>87</v>
      </c>
      <c r="F1446" t="s">
        <v>3187</v>
      </c>
      <c r="G1446">
        <v>5407</v>
      </c>
      <c r="H1446" t="s">
        <v>3187</v>
      </c>
      <c r="I1446" t="s">
        <v>3191</v>
      </c>
      <c r="J1446" t="s">
        <v>3260</v>
      </c>
      <c r="K1446">
        <v>2566903</v>
      </c>
      <c r="L1446">
        <v>1134956</v>
      </c>
      <c r="M1446">
        <v>1906</v>
      </c>
      <c r="N1446" t="s">
        <v>3261</v>
      </c>
    </row>
    <row r="1447" spans="1:14" x14ac:dyDescent="0.25">
      <c r="A1447">
        <v>8531373</v>
      </c>
      <c r="B1447" t="s">
        <v>3262</v>
      </c>
      <c r="C1447" t="s">
        <v>3190</v>
      </c>
      <c r="E1447" t="s">
        <v>87</v>
      </c>
      <c r="F1447" t="s">
        <v>3187</v>
      </c>
      <c r="G1447">
        <v>5407</v>
      </c>
      <c r="H1447" t="s">
        <v>3187</v>
      </c>
      <c r="I1447" t="s">
        <v>3191</v>
      </c>
      <c r="J1447" t="s">
        <v>3263</v>
      </c>
      <c r="K1447">
        <v>2567589</v>
      </c>
      <c r="L1447">
        <v>1133019</v>
      </c>
      <c r="M1447">
        <v>1329</v>
      </c>
      <c r="N1447" t="s">
        <v>3264</v>
      </c>
    </row>
    <row r="1448" spans="1:14" x14ac:dyDescent="0.25">
      <c r="A1448">
        <v>8531376</v>
      </c>
      <c r="B1448" t="s">
        <v>3265</v>
      </c>
      <c r="C1448" t="s">
        <v>3190</v>
      </c>
      <c r="D1448" t="s">
        <v>692</v>
      </c>
      <c r="E1448" t="s">
        <v>87</v>
      </c>
      <c r="F1448" t="s">
        <v>3187</v>
      </c>
      <c r="G1448">
        <v>5407</v>
      </c>
      <c r="H1448" t="s">
        <v>3187</v>
      </c>
      <c r="I1448" t="s">
        <v>3191</v>
      </c>
      <c r="J1448" t="s">
        <v>3266</v>
      </c>
      <c r="K1448">
        <v>2566538</v>
      </c>
      <c r="L1448">
        <v>1134892</v>
      </c>
      <c r="M1448">
        <v>1895</v>
      </c>
      <c r="N1448" t="s">
        <v>3267</v>
      </c>
    </row>
    <row r="1449" spans="1:14" x14ac:dyDescent="0.25">
      <c r="A1449">
        <v>8531380</v>
      </c>
      <c r="B1449" t="s">
        <v>3268</v>
      </c>
      <c r="C1449" t="s">
        <v>3190</v>
      </c>
      <c r="D1449" t="s">
        <v>692</v>
      </c>
      <c r="E1449" t="s">
        <v>87</v>
      </c>
      <c r="F1449" t="s">
        <v>3187</v>
      </c>
      <c r="G1449">
        <v>5407</v>
      </c>
      <c r="H1449" t="s">
        <v>3187</v>
      </c>
      <c r="I1449" t="s">
        <v>3191</v>
      </c>
      <c r="J1449" t="s">
        <v>3269</v>
      </c>
      <c r="K1449">
        <v>2568332</v>
      </c>
      <c r="L1449">
        <v>1135472</v>
      </c>
      <c r="M1449">
        <v>1580</v>
      </c>
      <c r="N1449" t="s">
        <v>3270</v>
      </c>
    </row>
    <row r="1450" spans="1:14" x14ac:dyDescent="0.25">
      <c r="A1450">
        <v>8531385</v>
      </c>
      <c r="B1450" t="s">
        <v>3271</v>
      </c>
      <c r="C1450" t="s">
        <v>3190</v>
      </c>
      <c r="D1450" t="s">
        <v>692</v>
      </c>
      <c r="E1450" t="s">
        <v>87</v>
      </c>
      <c r="F1450" t="s">
        <v>3187</v>
      </c>
      <c r="G1450">
        <v>5407</v>
      </c>
      <c r="H1450" t="s">
        <v>3187</v>
      </c>
      <c r="I1450" t="s">
        <v>3191</v>
      </c>
      <c r="J1450" t="s">
        <v>3272</v>
      </c>
      <c r="K1450">
        <v>2568888</v>
      </c>
      <c r="L1450">
        <v>1136359</v>
      </c>
      <c r="M1450">
        <v>1652</v>
      </c>
      <c r="N1450" t="s">
        <v>3273</v>
      </c>
    </row>
    <row r="1451" spans="1:14" x14ac:dyDescent="0.25">
      <c r="A1451">
        <v>8595109</v>
      </c>
      <c r="B1451" t="s">
        <v>3274</v>
      </c>
      <c r="C1451" t="s">
        <v>3198</v>
      </c>
      <c r="D1451" t="s">
        <v>86</v>
      </c>
      <c r="E1451" t="s">
        <v>87</v>
      </c>
      <c r="F1451" t="s">
        <v>3187</v>
      </c>
      <c r="G1451">
        <v>5407</v>
      </c>
      <c r="H1451" t="s">
        <v>3187</v>
      </c>
      <c r="I1451" t="s">
        <v>3199</v>
      </c>
      <c r="K1451">
        <v>2566625</v>
      </c>
      <c r="L1451">
        <v>1132640</v>
      </c>
      <c r="M1451">
        <v>1433</v>
      </c>
      <c r="N1451" t="s">
        <v>3275</v>
      </c>
    </row>
    <row r="1452" spans="1:14" x14ac:dyDescent="0.25">
      <c r="A1452">
        <v>8501199</v>
      </c>
      <c r="B1452" t="s">
        <v>3276</v>
      </c>
      <c r="C1452" t="s">
        <v>111</v>
      </c>
      <c r="D1452" t="s">
        <v>112</v>
      </c>
      <c r="E1452" t="s">
        <v>87</v>
      </c>
      <c r="F1452" t="s">
        <v>3187</v>
      </c>
      <c r="G1452">
        <v>5407</v>
      </c>
      <c r="H1452" t="s">
        <v>3187</v>
      </c>
      <c r="I1452" t="s">
        <v>113</v>
      </c>
      <c r="K1452">
        <v>2566336.531</v>
      </c>
      <c r="L1452">
        <v>1131197.162</v>
      </c>
      <c r="M1452">
        <v>1022.2</v>
      </c>
      <c r="N1452" t="s">
        <v>3277</v>
      </c>
    </row>
    <row r="1453" spans="1:14" x14ac:dyDescent="0.25">
      <c r="A1453">
        <v>8501486</v>
      </c>
      <c r="B1453" t="s">
        <v>3278</v>
      </c>
      <c r="C1453" t="s">
        <v>3190</v>
      </c>
      <c r="D1453" t="s">
        <v>1036</v>
      </c>
      <c r="E1453" t="s">
        <v>87</v>
      </c>
      <c r="F1453" t="s">
        <v>3187</v>
      </c>
      <c r="G1453">
        <v>5407</v>
      </c>
      <c r="H1453" t="s">
        <v>3187</v>
      </c>
      <c r="I1453" t="s">
        <v>3191</v>
      </c>
      <c r="J1453" t="s">
        <v>3279</v>
      </c>
      <c r="K1453">
        <v>2566462</v>
      </c>
      <c r="L1453">
        <v>1134333</v>
      </c>
      <c r="M1453">
        <v>2033</v>
      </c>
      <c r="N1453" t="s">
        <v>3280</v>
      </c>
    </row>
    <row r="1454" spans="1:14" x14ac:dyDescent="0.25">
      <c r="A1454">
        <v>8501467</v>
      </c>
      <c r="B1454" t="s">
        <v>3281</v>
      </c>
      <c r="C1454" t="s">
        <v>3190</v>
      </c>
      <c r="D1454" t="s">
        <v>1036</v>
      </c>
      <c r="E1454" t="s">
        <v>87</v>
      </c>
      <c r="F1454" t="s">
        <v>3187</v>
      </c>
      <c r="G1454">
        <v>5407</v>
      </c>
      <c r="H1454" t="s">
        <v>3187</v>
      </c>
      <c r="I1454" t="s">
        <v>3191</v>
      </c>
      <c r="J1454" t="s">
        <v>3282</v>
      </c>
      <c r="K1454">
        <v>2567574</v>
      </c>
      <c r="L1454">
        <v>1132994</v>
      </c>
      <c r="M1454">
        <v>1310</v>
      </c>
      <c r="N1454" t="s">
        <v>3283</v>
      </c>
    </row>
    <row r="1455" spans="1:14" x14ac:dyDescent="0.25">
      <c r="A1455">
        <v>8595098</v>
      </c>
      <c r="B1455" t="s">
        <v>3284</v>
      </c>
      <c r="C1455" t="s">
        <v>3198</v>
      </c>
      <c r="D1455" t="s">
        <v>86</v>
      </c>
      <c r="E1455" t="s">
        <v>87</v>
      </c>
      <c r="F1455" t="s">
        <v>3187</v>
      </c>
      <c r="G1455">
        <v>5407</v>
      </c>
      <c r="H1455" t="s">
        <v>3187</v>
      </c>
      <c r="I1455" t="s">
        <v>3199</v>
      </c>
      <c r="K1455">
        <v>2567740</v>
      </c>
      <c r="L1455">
        <v>1132325</v>
      </c>
      <c r="M1455">
        <v>1245</v>
      </c>
      <c r="N1455" t="s">
        <v>3285</v>
      </c>
    </row>
    <row r="1456" spans="1:14" x14ac:dyDescent="0.25">
      <c r="A1456">
        <v>8505236</v>
      </c>
      <c r="B1456" t="s">
        <v>3286</v>
      </c>
      <c r="C1456" t="s">
        <v>3190</v>
      </c>
      <c r="E1456" t="s">
        <v>87</v>
      </c>
      <c r="F1456" t="s">
        <v>3187</v>
      </c>
      <c r="G1456">
        <v>5407</v>
      </c>
      <c r="H1456" t="s">
        <v>3187</v>
      </c>
      <c r="I1456" t="s">
        <v>3191</v>
      </c>
      <c r="J1456" t="s">
        <v>3287</v>
      </c>
      <c r="K1456">
        <v>2566935</v>
      </c>
      <c r="L1456">
        <v>1134978</v>
      </c>
      <c r="M1456">
        <v>1909</v>
      </c>
      <c r="N1456" t="s">
        <v>3288</v>
      </c>
    </row>
    <row r="1457" spans="1:14" x14ac:dyDescent="0.25">
      <c r="A1457">
        <v>8557099</v>
      </c>
      <c r="B1457" t="s">
        <v>3289</v>
      </c>
      <c r="C1457" t="s">
        <v>101</v>
      </c>
      <c r="D1457" t="s">
        <v>86</v>
      </c>
      <c r="E1457" t="s">
        <v>87</v>
      </c>
      <c r="F1457" t="s">
        <v>3187</v>
      </c>
      <c r="G1457">
        <v>5407</v>
      </c>
      <c r="H1457" t="s">
        <v>3187</v>
      </c>
      <c r="I1457" t="s">
        <v>103</v>
      </c>
      <c r="K1457">
        <v>2567612</v>
      </c>
      <c r="L1457">
        <v>1132258</v>
      </c>
      <c r="M1457">
        <v>1250</v>
      </c>
      <c r="N1457" t="s">
        <v>3290</v>
      </c>
    </row>
    <row r="1458" spans="1:14" x14ac:dyDescent="0.25">
      <c r="A1458">
        <v>8579099</v>
      </c>
      <c r="B1458" t="s">
        <v>3291</v>
      </c>
      <c r="C1458" t="s">
        <v>338</v>
      </c>
      <c r="D1458" t="s">
        <v>86</v>
      </c>
      <c r="E1458" t="s">
        <v>87</v>
      </c>
      <c r="F1458" t="s">
        <v>3292</v>
      </c>
      <c r="G1458">
        <v>5755</v>
      </c>
      <c r="H1458" t="s">
        <v>3292</v>
      </c>
      <c r="I1458" t="s">
        <v>340</v>
      </c>
      <c r="K1458">
        <v>2524922.4695899999</v>
      </c>
      <c r="L1458">
        <v>1177001.15414</v>
      </c>
      <c r="M1458">
        <v>761</v>
      </c>
      <c r="N1458" t="s">
        <v>3293</v>
      </c>
    </row>
    <row r="1459" spans="1:14" x14ac:dyDescent="0.25">
      <c r="A1459">
        <v>8579097</v>
      </c>
      <c r="B1459" t="s">
        <v>3294</v>
      </c>
      <c r="C1459" t="s">
        <v>338</v>
      </c>
      <c r="D1459" t="s">
        <v>86</v>
      </c>
      <c r="E1459" t="s">
        <v>87</v>
      </c>
      <c r="F1459" t="s">
        <v>3292</v>
      </c>
      <c r="G1459">
        <v>5755</v>
      </c>
      <c r="H1459" t="s">
        <v>3292</v>
      </c>
      <c r="I1459" t="s">
        <v>340</v>
      </c>
      <c r="K1459">
        <v>2523485.9868600001</v>
      </c>
      <c r="L1459">
        <v>1176508.05256</v>
      </c>
      <c r="M1459">
        <v>798</v>
      </c>
      <c r="N1459" t="s">
        <v>3295</v>
      </c>
    </row>
    <row r="1460" spans="1:14" x14ac:dyDescent="0.25">
      <c r="A1460">
        <v>8579098</v>
      </c>
      <c r="B1460" t="s">
        <v>3296</v>
      </c>
      <c r="C1460" t="s">
        <v>338</v>
      </c>
      <c r="D1460" t="s">
        <v>86</v>
      </c>
      <c r="E1460" t="s">
        <v>87</v>
      </c>
      <c r="F1460" t="s">
        <v>3292</v>
      </c>
      <c r="G1460">
        <v>5755</v>
      </c>
      <c r="H1460" t="s">
        <v>3292</v>
      </c>
      <c r="I1460" t="s">
        <v>340</v>
      </c>
      <c r="K1460">
        <v>2523925.1913200002</v>
      </c>
      <c r="L1460">
        <v>1176434.00596</v>
      </c>
      <c r="M1460">
        <v>790</v>
      </c>
      <c r="N1460" t="s">
        <v>3297</v>
      </c>
    </row>
    <row r="1461" spans="1:14" x14ac:dyDescent="0.25">
      <c r="A1461">
        <v>8501089</v>
      </c>
      <c r="B1461" t="s">
        <v>3298</v>
      </c>
      <c r="C1461" t="s">
        <v>353</v>
      </c>
      <c r="D1461" t="s">
        <v>112</v>
      </c>
      <c r="E1461" t="s">
        <v>87</v>
      </c>
      <c r="F1461" t="s">
        <v>3299</v>
      </c>
      <c r="G1461">
        <v>5486</v>
      </c>
      <c r="H1461" t="s">
        <v>3298</v>
      </c>
      <c r="I1461" t="s">
        <v>354</v>
      </c>
      <c r="K1461">
        <v>2520614.1230000001</v>
      </c>
      <c r="L1461">
        <v>1162659.2139999999</v>
      </c>
      <c r="M1461">
        <v>662.9</v>
      </c>
      <c r="N1461" t="s">
        <v>3300</v>
      </c>
    </row>
    <row r="1462" spans="1:14" x14ac:dyDescent="0.25">
      <c r="A1462">
        <v>8595661</v>
      </c>
      <c r="B1462" t="s">
        <v>3301</v>
      </c>
      <c r="C1462" t="s">
        <v>85</v>
      </c>
      <c r="D1462" t="s">
        <v>86</v>
      </c>
      <c r="E1462" t="s">
        <v>87</v>
      </c>
      <c r="F1462" t="s">
        <v>3299</v>
      </c>
      <c r="G1462">
        <v>5486</v>
      </c>
      <c r="H1462" t="s">
        <v>3299</v>
      </c>
      <c r="I1462" t="s">
        <v>89</v>
      </c>
      <c r="K1462">
        <v>2521451.96802</v>
      </c>
      <c r="L1462">
        <v>1163772.8611000001</v>
      </c>
      <c r="M1462">
        <v>663.5</v>
      </c>
      <c r="N1462" t="s">
        <v>3302</v>
      </c>
    </row>
    <row r="1463" spans="1:14" x14ac:dyDescent="0.25">
      <c r="A1463">
        <v>8595649</v>
      </c>
      <c r="B1463" t="s">
        <v>3303</v>
      </c>
      <c r="C1463" t="s">
        <v>85</v>
      </c>
      <c r="D1463" t="s">
        <v>86</v>
      </c>
      <c r="E1463" t="s">
        <v>87</v>
      </c>
      <c r="F1463" t="s">
        <v>3299</v>
      </c>
      <c r="G1463">
        <v>5486</v>
      </c>
      <c r="H1463" t="s">
        <v>3299</v>
      </c>
      <c r="I1463" t="s">
        <v>89</v>
      </c>
      <c r="K1463">
        <v>2521314</v>
      </c>
      <c r="L1463">
        <v>1163403</v>
      </c>
      <c r="M1463">
        <v>662</v>
      </c>
      <c r="N1463" t="s">
        <v>3304</v>
      </c>
    </row>
    <row r="1464" spans="1:14" x14ac:dyDescent="0.25">
      <c r="A1464">
        <v>8510999</v>
      </c>
      <c r="B1464" t="s">
        <v>3305</v>
      </c>
      <c r="C1464" t="s">
        <v>85</v>
      </c>
      <c r="D1464" t="s">
        <v>86</v>
      </c>
      <c r="E1464" t="s">
        <v>87</v>
      </c>
      <c r="F1464" t="s">
        <v>3299</v>
      </c>
      <c r="G1464">
        <v>5486</v>
      </c>
      <c r="H1464" t="s">
        <v>3298</v>
      </c>
      <c r="I1464" t="s">
        <v>89</v>
      </c>
      <c r="K1464">
        <v>2520609.1349200001</v>
      </c>
      <c r="L1464">
        <v>1162669.9788500001</v>
      </c>
      <c r="M1464">
        <v>663</v>
      </c>
      <c r="N1464" t="s">
        <v>3306</v>
      </c>
    </row>
    <row r="1465" spans="1:14" x14ac:dyDescent="0.25">
      <c r="A1465">
        <v>8570157</v>
      </c>
      <c r="B1465" t="s">
        <v>3307</v>
      </c>
      <c r="C1465" t="s">
        <v>85</v>
      </c>
      <c r="D1465" t="s">
        <v>86</v>
      </c>
      <c r="E1465" t="s">
        <v>87</v>
      </c>
      <c r="F1465" t="s">
        <v>3299</v>
      </c>
      <c r="G1465">
        <v>5486</v>
      </c>
      <c r="H1465" t="s">
        <v>3308</v>
      </c>
      <c r="I1465" t="s">
        <v>89</v>
      </c>
      <c r="K1465">
        <v>2520813.1339799999</v>
      </c>
      <c r="L1465">
        <v>1165609.2016499999</v>
      </c>
      <c r="M1465">
        <v>808.8</v>
      </c>
      <c r="N1465" t="s">
        <v>3309</v>
      </c>
    </row>
    <row r="1466" spans="1:14" x14ac:dyDescent="0.25">
      <c r="A1466">
        <v>8570156</v>
      </c>
      <c r="B1466" t="s">
        <v>3310</v>
      </c>
      <c r="C1466" t="s">
        <v>85</v>
      </c>
      <c r="D1466" t="s">
        <v>86</v>
      </c>
      <c r="E1466" t="s">
        <v>87</v>
      </c>
      <c r="F1466" t="s">
        <v>3299</v>
      </c>
      <c r="G1466">
        <v>5486</v>
      </c>
      <c r="H1466" t="s">
        <v>3308</v>
      </c>
      <c r="I1466" t="s">
        <v>89</v>
      </c>
      <c r="K1466">
        <v>2520689</v>
      </c>
      <c r="L1466">
        <v>1165858</v>
      </c>
      <c r="M1466">
        <v>836</v>
      </c>
      <c r="N1466" t="s">
        <v>3311</v>
      </c>
    </row>
    <row r="1467" spans="1:14" x14ac:dyDescent="0.25">
      <c r="A1467">
        <v>8501099</v>
      </c>
      <c r="B1467" t="s">
        <v>3299</v>
      </c>
      <c r="C1467" t="s">
        <v>353</v>
      </c>
      <c r="D1467" t="s">
        <v>112</v>
      </c>
      <c r="E1467" t="s">
        <v>87</v>
      </c>
      <c r="F1467" t="s">
        <v>3299</v>
      </c>
      <c r="G1467">
        <v>5486</v>
      </c>
      <c r="H1467" t="s">
        <v>3299</v>
      </c>
      <c r="I1467" t="s">
        <v>354</v>
      </c>
      <c r="K1467">
        <v>2521299.6850000001</v>
      </c>
      <c r="L1467">
        <v>1163407.2890000001</v>
      </c>
      <c r="M1467">
        <v>662.6</v>
      </c>
      <c r="N1467" t="s">
        <v>3312</v>
      </c>
    </row>
    <row r="1468" spans="1:14" x14ac:dyDescent="0.25">
      <c r="A1468">
        <v>8501048</v>
      </c>
      <c r="B1468" t="s">
        <v>3313</v>
      </c>
      <c r="C1468" t="s">
        <v>132</v>
      </c>
      <c r="D1468" t="s">
        <v>112</v>
      </c>
      <c r="E1468" t="s">
        <v>87</v>
      </c>
      <c r="F1468" t="s">
        <v>54</v>
      </c>
      <c r="G1468">
        <v>5638</v>
      </c>
      <c r="H1468" t="s">
        <v>54</v>
      </c>
      <c r="I1468" t="s">
        <v>133</v>
      </c>
      <c r="K1468">
        <v>2529476.9079999998</v>
      </c>
      <c r="L1468">
        <v>1152840.352</v>
      </c>
      <c r="M1468">
        <v>386.70699999999999</v>
      </c>
      <c r="N1468" t="s">
        <v>3314</v>
      </c>
    </row>
    <row r="1469" spans="1:14" x14ac:dyDescent="0.25">
      <c r="A1469">
        <v>8515337</v>
      </c>
      <c r="B1469" t="s">
        <v>3315</v>
      </c>
      <c r="C1469" t="s">
        <v>132</v>
      </c>
      <c r="E1469" t="s">
        <v>87</v>
      </c>
      <c r="F1469" t="s">
        <v>54</v>
      </c>
      <c r="G1469">
        <v>5638</v>
      </c>
      <c r="H1469" t="s">
        <v>54</v>
      </c>
      <c r="I1469" t="s">
        <v>133</v>
      </c>
      <c r="J1469" t="s">
        <v>130</v>
      </c>
      <c r="K1469">
        <v>2529846.9559999998</v>
      </c>
      <c r="L1469">
        <v>1153022.02</v>
      </c>
      <c r="M1469">
        <v>391.05</v>
      </c>
      <c r="N1469" t="s">
        <v>3316</v>
      </c>
    </row>
    <row r="1470" spans="1:14" x14ac:dyDescent="0.25">
      <c r="A1470">
        <v>8515640</v>
      </c>
      <c r="B1470" t="s">
        <v>3317</v>
      </c>
      <c r="C1470" t="s">
        <v>132</v>
      </c>
      <c r="E1470" t="s">
        <v>87</v>
      </c>
      <c r="F1470" t="s">
        <v>54</v>
      </c>
      <c r="G1470">
        <v>5638</v>
      </c>
      <c r="H1470" t="s">
        <v>54</v>
      </c>
      <c r="I1470" t="s">
        <v>133</v>
      </c>
      <c r="J1470" t="s">
        <v>130</v>
      </c>
      <c r="K1470">
        <v>2530137.6889999998</v>
      </c>
      <c r="L1470">
        <v>1153121.378</v>
      </c>
      <c r="M1470">
        <v>392.11200000000002</v>
      </c>
      <c r="N1470" t="s">
        <v>3318</v>
      </c>
    </row>
    <row r="1471" spans="1:14" x14ac:dyDescent="0.25">
      <c r="A1471">
        <v>8517214</v>
      </c>
      <c r="B1471" t="s">
        <v>3319</v>
      </c>
      <c r="C1471" t="s">
        <v>132</v>
      </c>
      <c r="E1471" t="s">
        <v>87</v>
      </c>
      <c r="F1471" t="s">
        <v>54</v>
      </c>
      <c r="G1471">
        <v>5638</v>
      </c>
      <c r="H1471" t="s">
        <v>54</v>
      </c>
      <c r="I1471" t="s">
        <v>133</v>
      </c>
      <c r="J1471" t="s">
        <v>625</v>
      </c>
      <c r="K1471">
        <v>2530081</v>
      </c>
      <c r="L1471">
        <v>1152873</v>
      </c>
      <c r="M1471">
        <v>394</v>
      </c>
      <c r="N1471" t="s">
        <v>3320</v>
      </c>
    </row>
    <row r="1472" spans="1:14" x14ac:dyDescent="0.25">
      <c r="A1472">
        <v>8518429</v>
      </c>
      <c r="B1472" t="s">
        <v>3321</v>
      </c>
      <c r="C1472" t="s">
        <v>132</v>
      </c>
      <c r="E1472" t="s">
        <v>87</v>
      </c>
      <c r="F1472" t="s">
        <v>54</v>
      </c>
      <c r="G1472">
        <v>5638</v>
      </c>
      <c r="H1472" t="s">
        <v>54</v>
      </c>
      <c r="I1472" t="s">
        <v>133</v>
      </c>
      <c r="J1472" t="s">
        <v>130</v>
      </c>
      <c r="K1472">
        <v>2530028.9920000001</v>
      </c>
      <c r="L1472">
        <v>1152934.5619999999</v>
      </c>
      <c r="M1472">
        <v>392</v>
      </c>
      <c r="N1472" t="s">
        <v>3322</v>
      </c>
    </row>
    <row r="1473" spans="1:14" x14ac:dyDescent="0.25">
      <c r="A1473">
        <v>8592249</v>
      </c>
      <c r="B1473" t="s">
        <v>3323</v>
      </c>
      <c r="C1473" t="s">
        <v>85</v>
      </c>
      <c r="D1473" t="s">
        <v>86</v>
      </c>
      <c r="E1473" t="s">
        <v>87</v>
      </c>
      <c r="F1473" t="s">
        <v>54</v>
      </c>
      <c r="G1473">
        <v>5638</v>
      </c>
      <c r="H1473" t="s">
        <v>54</v>
      </c>
      <c r="I1473" t="s">
        <v>89</v>
      </c>
      <c r="K1473">
        <v>2529959.4580000001</v>
      </c>
      <c r="L1473">
        <v>1153227.00749</v>
      </c>
      <c r="M1473">
        <v>395</v>
      </c>
      <c r="N1473" t="s">
        <v>3324</v>
      </c>
    </row>
    <row r="1474" spans="1:14" x14ac:dyDescent="0.25">
      <c r="A1474">
        <v>8592250</v>
      </c>
      <c r="B1474" t="s">
        <v>3325</v>
      </c>
      <c r="C1474" t="s">
        <v>85</v>
      </c>
      <c r="D1474" t="s">
        <v>86</v>
      </c>
      <c r="E1474" t="s">
        <v>87</v>
      </c>
      <c r="F1474" t="s">
        <v>54</v>
      </c>
      <c r="G1474">
        <v>5638</v>
      </c>
      <c r="H1474" t="s">
        <v>54</v>
      </c>
      <c r="I1474" t="s">
        <v>89</v>
      </c>
      <c r="K1474">
        <v>2529572</v>
      </c>
      <c r="L1474">
        <v>1153213</v>
      </c>
      <c r="M1474">
        <v>410</v>
      </c>
      <c r="N1474" t="s">
        <v>3326</v>
      </c>
    </row>
    <row r="1475" spans="1:14" x14ac:dyDescent="0.25">
      <c r="A1475">
        <v>8511344</v>
      </c>
      <c r="B1475" t="s">
        <v>3327</v>
      </c>
      <c r="C1475" t="s">
        <v>85</v>
      </c>
      <c r="D1475" t="s">
        <v>86</v>
      </c>
      <c r="E1475" t="s">
        <v>87</v>
      </c>
      <c r="F1475" t="s">
        <v>54</v>
      </c>
      <c r="G1475">
        <v>5638</v>
      </c>
      <c r="H1475" t="s">
        <v>54</v>
      </c>
      <c r="I1475" t="s">
        <v>89</v>
      </c>
      <c r="K1475">
        <v>2529438.7194400001</v>
      </c>
      <c r="L1475">
        <v>1152899.15485</v>
      </c>
      <c r="M1475">
        <v>387</v>
      </c>
      <c r="N1475" t="s">
        <v>3328</v>
      </c>
    </row>
    <row r="1476" spans="1:14" x14ac:dyDescent="0.25">
      <c r="A1476">
        <v>8595220</v>
      </c>
      <c r="B1476" t="s">
        <v>3329</v>
      </c>
      <c r="C1476" t="s">
        <v>85</v>
      </c>
      <c r="D1476" t="s">
        <v>86</v>
      </c>
      <c r="E1476" t="s">
        <v>87</v>
      </c>
      <c r="F1476" t="s">
        <v>54</v>
      </c>
      <c r="G1476">
        <v>5638</v>
      </c>
      <c r="H1476" t="s">
        <v>54</v>
      </c>
      <c r="I1476" t="s">
        <v>89</v>
      </c>
      <c r="K1476">
        <v>2529640.5150100002</v>
      </c>
      <c r="L1476">
        <v>1153013.18921</v>
      </c>
      <c r="M1476">
        <v>393.3</v>
      </c>
      <c r="N1476" t="s">
        <v>3330</v>
      </c>
    </row>
    <row r="1477" spans="1:14" x14ac:dyDescent="0.25">
      <c r="A1477">
        <v>8501150</v>
      </c>
      <c r="B1477" t="s">
        <v>3331</v>
      </c>
      <c r="C1477" t="s">
        <v>132</v>
      </c>
      <c r="E1477" t="s">
        <v>87</v>
      </c>
      <c r="F1477" t="s">
        <v>54</v>
      </c>
      <c r="G1477">
        <v>5638</v>
      </c>
      <c r="H1477" t="s">
        <v>54</v>
      </c>
      <c r="I1477" t="s">
        <v>133</v>
      </c>
      <c r="J1477" t="s">
        <v>130</v>
      </c>
      <c r="K1477">
        <v>2530259.4010000001</v>
      </c>
      <c r="L1477">
        <v>1153073.1229999999</v>
      </c>
      <c r="M1477">
        <v>392.35</v>
      </c>
      <c r="N1477" t="s">
        <v>3332</v>
      </c>
    </row>
    <row r="1478" spans="1:14" x14ac:dyDescent="0.25">
      <c r="A1478">
        <v>8515336</v>
      </c>
      <c r="B1478" t="s">
        <v>3333</v>
      </c>
      <c r="C1478" t="s">
        <v>132</v>
      </c>
      <c r="E1478" t="s">
        <v>87</v>
      </c>
      <c r="F1478" t="s">
        <v>54</v>
      </c>
      <c r="G1478">
        <v>5638</v>
      </c>
      <c r="H1478" t="s">
        <v>54</v>
      </c>
      <c r="I1478" t="s">
        <v>133</v>
      </c>
      <c r="J1478" t="s">
        <v>130</v>
      </c>
      <c r="K1478">
        <v>2529590.36</v>
      </c>
      <c r="L1478">
        <v>1152892.0330000001</v>
      </c>
      <c r="M1478">
        <v>388</v>
      </c>
      <c r="N1478" t="s">
        <v>3334</v>
      </c>
    </row>
    <row r="1479" spans="1:14" x14ac:dyDescent="0.25">
      <c r="A1479">
        <v>8592254</v>
      </c>
      <c r="B1479" t="s">
        <v>3335</v>
      </c>
      <c r="C1479" t="s">
        <v>85</v>
      </c>
      <c r="D1479" t="s">
        <v>86</v>
      </c>
      <c r="E1479" t="s">
        <v>87</v>
      </c>
      <c r="F1479" t="s">
        <v>54</v>
      </c>
      <c r="G1479">
        <v>5638</v>
      </c>
      <c r="H1479" t="s">
        <v>54</v>
      </c>
      <c r="I1479" t="s">
        <v>89</v>
      </c>
      <c r="K1479">
        <v>2529262</v>
      </c>
      <c r="L1479">
        <v>1153429</v>
      </c>
      <c r="M1479">
        <v>440</v>
      </c>
      <c r="N1479" t="s">
        <v>3336</v>
      </c>
    </row>
    <row r="1480" spans="1:14" x14ac:dyDescent="0.25">
      <c r="A1480">
        <v>8592253</v>
      </c>
      <c r="B1480" t="s">
        <v>3337</v>
      </c>
      <c r="C1480" t="s">
        <v>85</v>
      </c>
      <c r="D1480" t="s">
        <v>86</v>
      </c>
      <c r="E1480" t="s">
        <v>87</v>
      </c>
      <c r="F1480" t="s">
        <v>54</v>
      </c>
      <c r="G1480">
        <v>5638</v>
      </c>
      <c r="H1480" t="s">
        <v>54</v>
      </c>
      <c r="I1480" t="s">
        <v>89</v>
      </c>
      <c r="K1480">
        <v>2529166.3663900001</v>
      </c>
      <c r="L1480">
        <v>1152805.9302399999</v>
      </c>
      <c r="M1480">
        <v>385.6</v>
      </c>
      <c r="N1480" t="s">
        <v>3338</v>
      </c>
    </row>
    <row r="1481" spans="1:14" x14ac:dyDescent="0.25">
      <c r="A1481">
        <v>8592251</v>
      </c>
      <c r="B1481" t="s">
        <v>3339</v>
      </c>
      <c r="C1481" t="s">
        <v>85</v>
      </c>
      <c r="D1481" t="s">
        <v>86</v>
      </c>
      <c r="E1481" t="s">
        <v>87</v>
      </c>
      <c r="F1481" t="s">
        <v>54</v>
      </c>
      <c r="G1481">
        <v>5638</v>
      </c>
      <c r="H1481" t="s">
        <v>54</v>
      </c>
      <c r="I1481" t="s">
        <v>89</v>
      </c>
      <c r="K1481">
        <v>2528967</v>
      </c>
      <c r="L1481">
        <v>1152724</v>
      </c>
      <c r="M1481">
        <v>387</v>
      </c>
      <c r="N1481" t="s">
        <v>3340</v>
      </c>
    </row>
    <row r="1482" spans="1:14" x14ac:dyDescent="0.25">
      <c r="A1482">
        <v>8595219</v>
      </c>
      <c r="B1482" t="s">
        <v>3341</v>
      </c>
      <c r="C1482" t="s">
        <v>85</v>
      </c>
      <c r="D1482" t="s">
        <v>86</v>
      </c>
      <c r="E1482" t="s">
        <v>87</v>
      </c>
      <c r="F1482" t="s">
        <v>54</v>
      </c>
      <c r="G1482">
        <v>5638</v>
      </c>
      <c r="H1482" t="s">
        <v>54</v>
      </c>
      <c r="I1482" t="s">
        <v>89</v>
      </c>
      <c r="K1482">
        <v>2529507.3131499998</v>
      </c>
      <c r="L1482">
        <v>1153105.1785299999</v>
      </c>
      <c r="M1482">
        <v>408</v>
      </c>
      <c r="N1482" t="s">
        <v>3342</v>
      </c>
    </row>
    <row r="1483" spans="1:14" x14ac:dyDescent="0.25">
      <c r="A1483">
        <v>8515342</v>
      </c>
      <c r="B1483" t="s">
        <v>3343</v>
      </c>
      <c r="C1483" t="s">
        <v>132</v>
      </c>
      <c r="E1483" t="s">
        <v>87</v>
      </c>
      <c r="F1483" t="s">
        <v>54</v>
      </c>
      <c r="G1483">
        <v>5638</v>
      </c>
      <c r="H1483" t="s">
        <v>54</v>
      </c>
      <c r="I1483" t="s">
        <v>133</v>
      </c>
      <c r="J1483" t="s">
        <v>130</v>
      </c>
      <c r="K1483">
        <v>2529608.62</v>
      </c>
      <c r="L1483">
        <v>1152608.8899999999</v>
      </c>
      <c r="M1483">
        <v>389.51499999999999</v>
      </c>
      <c r="N1483" t="s">
        <v>3344</v>
      </c>
    </row>
    <row r="1484" spans="1:14" x14ac:dyDescent="0.25">
      <c r="A1484">
        <v>8518430</v>
      </c>
      <c r="B1484" t="s">
        <v>3345</v>
      </c>
      <c r="C1484" t="s">
        <v>132</v>
      </c>
      <c r="E1484" t="s">
        <v>87</v>
      </c>
      <c r="F1484" t="s">
        <v>54</v>
      </c>
      <c r="G1484">
        <v>5638</v>
      </c>
      <c r="H1484" t="s">
        <v>54</v>
      </c>
      <c r="I1484" t="s">
        <v>133</v>
      </c>
      <c r="J1484" t="s">
        <v>130</v>
      </c>
      <c r="K1484">
        <v>2529787.25</v>
      </c>
      <c r="L1484">
        <v>1152950.23</v>
      </c>
      <c r="M1484">
        <v>391.96</v>
      </c>
      <c r="N1484" t="s">
        <v>3346</v>
      </c>
    </row>
    <row r="1485" spans="1:14" x14ac:dyDescent="0.25">
      <c r="A1485">
        <v>8592255</v>
      </c>
      <c r="B1485" t="s">
        <v>3347</v>
      </c>
      <c r="C1485" t="s">
        <v>85</v>
      </c>
      <c r="D1485" t="s">
        <v>86</v>
      </c>
      <c r="E1485" t="s">
        <v>87</v>
      </c>
      <c r="F1485" t="s">
        <v>54</v>
      </c>
      <c r="G1485">
        <v>5638</v>
      </c>
      <c r="H1485" t="s">
        <v>54</v>
      </c>
      <c r="I1485" t="s">
        <v>89</v>
      </c>
      <c r="K1485">
        <v>2530254</v>
      </c>
      <c r="L1485">
        <v>1153378</v>
      </c>
      <c r="M1485">
        <v>397</v>
      </c>
      <c r="N1485" t="s">
        <v>3348</v>
      </c>
    </row>
    <row r="1486" spans="1:14" x14ac:dyDescent="0.25">
      <c r="A1486">
        <v>8595218</v>
      </c>
      <c r="B1486" t="s">
        <v>3349</v>
      </c>
      <c r="C1486" t="s">
        <v>85</v>
      </c>
      <c r="D1486" t="s">
        <v>86</v>
      </c>
      <c r="E1486" t="s">
        <v>87</v>
      </c>
      <c r="F1486" t="s">
        <v>54</v>
      </c>
      <c r="G1486">
        <v>5638</v>
      </c>
      <c r="H1486" t="s">
        <v>54</v>
      </c>
      <c r="I1486" t="s">
        <v>89</v>
      </c>
      <c r="K1486">
        <v>2529592</v>
      </c>
      <c r="L1486">
        <v>1152847</v>
      </c>
      <c r="M1486">
        <v>382</v>
      </c>
      <c r="N1486" t="s">
        <v>3350</v>
      </c>
    </row>
    <row r="1487" spans="1:14" x14ac:dyDescent="0.25">
      <c r="A1487">
        <v>8501853</v>
      </c>
      <c r="B1487" t="s">
        <v>3351</v>
      </c>
      <c r="C1487" t="s">
        <v>94</v>
      </c>
      <c r="D1487" t="s">
        <v>86</v>
      </c>
      <c r="E1487" t="s">
        <v>87</v>
      </c>
      <c r="F1487" t="s">
        <v>3352</v>
      </c>
      <c r="G1487">
        <v>5429</v>
      </c>
      <c r="H1487" t="s">
        <v>3352</v>
      </c>
      <c r="I1487" t="s">
        <v>96</v>
      </c>
      <c r="K1487">
        <v>2509401</v>
      </c>
      <c r="L1487">
        <v>1149893</v>
      </c>
      <c r="M1487">
        <v>888</v>
      </c>
      <c r="N1487" t="s">
        <v>3353</v>
      </c>
    </row>
    <row r="1488" spans="1:14" x14ac:dyDescent="0.25">
      <c r="A1488">
        <v>8504263</v>
      </c>
      <c r="B1488" t="s">
        <v>3354</v>
      </c>
      <c r="C1488" t="s">
        <v>94</v>
      </c>
      <c r="D1488" t="s">
        <v>86</v>
      </c>
      <c r="E1488" t="s">
        <v>87</v>
      </c>
      <c r="F1488" t="s">
        <v>3355</v>
      </c>
      <c r="G1488">
        <v>5674</v>
      </c>
      <c r="H1488" t="s">
        <v>3355</v>
      </c>
      <c r="I1488" t="s">
        <v>96</v>
      </c>
      <c r="K1488">
        <v>2556427</v>
      </c>
      <c r="L1488">
        <v>1172092</v>
      </c>
      <c r="M1488">
        <v>707</v>
      </c>
      <c r="N1488" t="s">
        <v>3356</v>
      </c>
    </row>
    <row r="1489" spans="1:14" x14ac:dyDescent="0.25">
      <c r="A1489">
        <v>8504694</v>
      </c>
      <c r="B1489" t="s">
        <v>3357</v>
      </c>
      <c r="C1489" t="s">
        <v>94</v>
      </c>
      <c r="D1489" t="s">
        <v>86</v>
      </c>
      <c r="E1489" t="s">
        <v>87</v>
      </c>
      <c r="F1489" t="s">
        <v>3355</v>
      </c>
      <c r="G1489">
        <v>5674</v>
      </c>
      <c r="H1489" t="s">
        <v>3355</v>
      </c>
      <c r="I1489" t="s">
        <v>96</v>
      </c>
      <c r="K1489">
        <v>2556050</v>
      </c>
      <c r="L1489">
        <v>1171345</v>
      </c>
      <c r="M1489">
        <v>712</v>
      </c>
      <c r="N1489" t="s">
        <v>3358</v>
      </c>
    </row>
    <row r="1490" spans="1:14" x14ac:dyDescent="0.25">
      <c r="A1490">
        <v>8577647</v>
      </c>
      <c r="B1490" t="s">
        <v>3359</v>
      </c>
      <c r="C1490" t="s">
        <v>94</v>
      </c>
      <c r="D1490" t="s">
        <v>86</v>
      </c>
      <c r="E1490" t="s">
        <v>87</v>
      </c>
      <c r="F1490" t="s">
        <v>3360</v>
      </c>
      <c r="G1490">
        <v>5675</v>
      </c>
      <c r="H1490" t="s">
        <v>3361</v>
      </c>
      <c r="I1490" t="s">
        <v>96</v>
      </c>
      <c r="K1490">
        <v>2555147</v>
      </c>
      <c r="L1490">
        <v>1169586</v>
      </c>
      <c r="M1490">
        <v>754</v>
      </c>
      <c r="N1490" t="s">
        <v>3362</v>
      </c>
    </row>
    <row r="1491" spans="1:14" x14ac:dyDescent="0.25">
      <c r="A1491">
        <v>8583110</v>
      </c>
      <c r="B1491" t="s">
        <v>3363</v>
      </c>
      <c r="C1491" t="s">
        <v>94</v>
      </c>
      <c r="D1491" t="s">
        <v>86</v>
      </c>
      <c r="E1491" t="s">
        <v>87</v>
      </c>
      <c r="F1491" t="s">
        <v>3360</v>
      </c>
      <c r="G1491">
        <v>5675</v>
      </c>
      <c r="H1491" t="s">
        <v>3360</v>
      </c>
      <c r="I1491" t="s">
        <v>96</v>
      </c>
      <c r="K1491">
        <v>2554382</v>
      </c>
      <c r="L1491">
        <v>1173141</v>
      </c>
      <c r="M1491">
        <v>493</v>
      </c>
      <c r="N1491" t="s">
        <v>3364</v>
      </c>
    </row>
    <row r="1492" spans="1:14" x14ac:dyDescent="0.25">
      <c r="A1492">
        <v>8570362</v>
      </c>
      <c r="B1492" t="s">
        <v>3365</v>
      </c>
      <c r="C1492" t="s">
        <v>94</v>
      </c>
      <c r="D1492" t="s">
        <v>86</v>
      </c>
      <c r="E1492" t="s">
        <v>87</v>
      </c>
      <c r="F1492" t="s">
        <v>3360</v>
      </c>
      <c r="G1492">
        <v>5675</v>
      </c>
      <c r="H1492" t="s">
        <v>3366</v>
      </c>
      <c r="I1492" t="s">
        <v>96</v>
      </c>
      <c r="K1492">
        <v>2551780</v>
      </c>
      <c r="L1492">
        <v>1172747</v>
      </c>
      <c r="M1492">
        <v>636</v>
      </c>
      <c r="N1492" t="s">
        <v>3367</v>
      </c>
    </row>
    <row r="1493" spans="1:14" x14ac:dyDescent="0.25">
      <c r="A1493">
        <v>8570361</v>
      </c>
      <c r="B1493" t="s">
        <v>3368</v>
      </c>
      <c r="C1493" t="s">
        <v>94</v>
      </c>
      <c r="D1493" t="s">
        <v>86</v>
      </c>
      <c r="E1493" t="s">
        <v>87</v>
      </c>
      <c r="F1493" t="s">
        <v>3360</v>
      </c>
      <c r="G1493">
        <v>5675</v>
      </c>
      <c r="H1493" t="s">
        <v>3366</v>
      </c>
      <c r="I1493" t="s">
        <v>96</v>
      </c>
      <c r="K1493">
        <v>2551781</v>
      </c>
      <c r="L1493">
        <v>1172310</v>
      </c>
      <c r="M1493">
        <v>608</v>
      </c>
      <c r="N1493" t="s">
        <v>3369</v>
      </c>
    </row>
    <row r="1494" spans="1:14" x14ac:dyDescent="0.25">
      <c r="A1494">
        <v>8504696</v>
      </c>
      <c r="B1494" t="s">
        <v>3370</v>
      </c>
      <c r="C1494" t="s">
        <v>94</v>
      </c>
      <c r="D1494" t="s">
        <v>86</v>
      </c>
      <c r="E1494" t="s">
        <v>87</v>
      </c>
      <c r="F1494" t="s">
        <v>3360</v>
      </c>
      <c r="G1494">
        <v>5675</v>
      </c>
      <c r="H1494" t="s">
        <v>3361</v>
      </c>
      <c r="I1494" t="s">
        <v>96</v>
      </c>
      <c r="K1494">
        <v>2555194</v>
      </c>
      <c r="L1494">
        <v>1169130</v>
      </c>
      <c r="M1494">
        <v>767</v>
      </c>
      <c r="N1494" t="s">
        <v>3371</v>
      </c>
    </row>
    <row r="1495" spans="1:14" x14ac:dyDescent="0.25">
      <c r="A1495">
        <v>8510108</v>
      </c>
      <c r="B1495" t="s">
        <v>3372</v>
      </c>
      <c r="C1495" t="s">
        <v>94</v>
      </c>
      <c r="D1495" t="s">
        <v>86</v>
      </c>
      <c r="E1495" t="s">
        <v>87</v>
      </c>
      <c r="F1495" t="s">
        <v>3360</v>
      </c>
      <c r="G1495">
        <v>5675</v>
      </c>
      <c r="H1495" t="s">
        <v>3360</v>
      </c>
      <c r="I1495" t="s">
        <v>96</v>
      </c>
      <c r="K1495">
        <v>2553880</v>
      </c>
      <c r="L1495">
        <v>1172743</v>
      </c>
      <c r="M1495">
        <v>502</v>
      </c>
      <c r="N1495" t="s">
        <v>3373</v>
      </c>
    </row>
    <row r="1496" spans="1:14" x14ac:dyDescent="0.25">
      <c r="A1496">
        <v>8504121</v>
      </c>
      <c r="B1496" t="s">
        <v>3360</v>
      </c>
      <c r="C1496" t="s">
        <v>132</v>
      </c>
      <c r="D1496" t="s">
        <v>112</v>
      </c>
      <c r="E1496" t="s">
        <v>87</v>
      </c>
      <c r="F1496" t="s">
        <v>3360</v>
      </c>
      <c r="G1496">
        <v>5675</v>
      </c>
      <c r="H1496" t="s">
        <v>3360</v>
      </c>
      <c r="I1496" t="s">
        <v>133</v>
      </c>
      <c r="K1496">
        <v>2554386.5410000002</v>
      </c>
      <c r="L1496">
        <v>1173125.4469999999</v>
      </c>
      <c r="M1496">
        <v>493.16</v>
      </c>
      <c r="N1496" t="s">
        <v>3374</v>
      </c>
    </row>
    <row r="1497" spans="1:14" x14ac:dyDescent="0.25">
      <c r="A1497">
        <v>8504695</v>
      </c>
      <c r="B1497" t="s">
        <v>3375</v>
      </c>
      <c r="C1497" t="s">
        <v>94</v>
      </c>
      <c r="D1497" t="s">
        <v>86</v>
      </c>
      <c r="E1497" t="s">
        <v>87</v>
      </c>
      <c r="F1497" t="s">
        <v>3360</v>
      </c>
      <c r="G1497">
        <v>5675</v>
      </c>
      <c r="H1497" t="s">
        <v>3376</v>
      </c>
      <c r="I1497" t="s">
        <v>96</v>
      </c>
      <c r="K1497">
        <v>2554882</v>
      </c>
      <c r="L1497">
        <v>1170126</v>
      </c>
      <c r="M1497">
        <v>721</v>
      </c>
      <c r="N1497" t="s">
        <v>3377</v>
      </c>
    </row>
    <row r="1498" spans="1:14" x14ac:dyDescent="0.25">
      <c r="A1498">
        <v>8557079</v>
      </c>
      <c r="B1498" t="s">
        <v>3378</v>
      </c>
      <c r="C1498" t="s">
        <v>94</v>
      </c>
      <c r="D1498" t="s">
        <v>86</v>
      </c>
      <c r="E1498" t="s">
        <v>87</v>
      </c>
      <c r="F1498" t="s">
        <v>3360</v>
      </c>
      <c r="G1498">
        <v>5675</v>
      </c>
      <c r="H1498" t="s">
        <v>3360</v>
      </c>
      <c r="I1498" t="s">
        <v>96</v>
      </c>
      <c r="K1498">
        <v>2554141</v>
      </c>
      <c r="L1498">
        <v>1172770</v>
      </c>
      <c r="M1498">
        <v>492</v>
      </c>
      <c r="N1498" t="s">
        <v>3379</v>
      </c>
    </row>
    <row r="1499" spans="1:14" x14ac:dyDescent="0.25">
      <c r="A1499">
        <v>8570380</v>
      </c>
      <c r="B1499" t="s">
        <v>3380</v>
      </c>
      <c r="C1499" t="s">
        <v>94</v>
      </c>
      <c r="D1499" t="s">
        <v>86</v>
      </c>
      <c r="E1499" t="s">
        <v>87</v>
      </c>
      <c r="F1499" t="s">
        <v>3360</v>
      </c>
      <c r="G1499">
        <v>5675</v>
      </c>
      <c r="H1499" t="s">
        <v>3381</v>
      </c>
      <c r="I1499" t="s">
        <v>96</v>
      </c>
      <c r="K1499">
        <v>2554330</v>
      </c>
      <c r="L1499">
        <v>1175066</v>
      </c>
      <c r="M1499">
        <v>637</v>
      </c>
      <c r="N1499" t="s">
        <v>3382</v>
      </c>
    </row>
    <row r="1500" spans="1:14" x14ac:dyDescent="0.25">
      <c r="A1500">
        <v>8591864</v>
      </c>
      <c r="B1500" t="s">
        <v>3383</v>
      </c>
      <c r="C1500" t="s">
        <v>94</v>
      </c>
      <c r="D1500" t="s">
        <v>86</v>
      </c>
      <c r="E1500" t="s">
        <v>87</v>
      </c>
      <c r="F1500" t="s">
        <v>3360</v>
      </c>
      <c r="G1500">
        <v>5675</v>
      </c>
      <c r="H1500" t="s">
        <v>3360</v>
      </c>
      <c r="I1500" t="s">
        <v>96</v>
      </c>
      <c r="K1500">
        <v>2554109</v>
      </c>
      <c r="L1500">
        <v>1173139</v>
      </c>
      <c r="M1500">
        <v>500</v>
      </c>
      <c r="N1500" t="s">
        <v>3384</v>
      </c>
    </row>
    <row r="1501" spans="1:14" x14ac:dyDescent="0.25">
      <c r="A1501">
        <v>8583314</v>
      </c>
      <c r="B1501" t="s">
        <v>3385</v>
      </c>
      <c r="C1501" t="s">
        <v>94</v>
      </c>
      <c r="D1501" t="s">
        <v>86</v>
      </c>
      <c r="E1501" t="s">
        <v>87</v>
      </c>
      <c r="F1501" t="s">
        <v>3360</v>
      </c>
      <c r="G1501">
        <v>5675</v>
      </c>
      <c r="H1501" t="s">
        <v>3386</v>
      </c>
      <c r="I1501" t="s">
        <v>96</v>
      </c>
      <c r="K1501">
        <v>2552842</v>
      </c>
      <c r="L1501">
        <v>1175117</v>
      </c>
      <c r="M1501">
        <v>675</v>
      </c>
      <c r="N1501" t="s">
        <v>3387</v>
      </c>
    </row>
    <row r="1502" spans="1:14" x14ac:dyDescent="0.25">
      <c r="A1502">
        <v>8504698</v>
      </c>
      <c r="B1502" t="s">
        <v>3388</v>
      </c>
      <c r="C1502" t="s">
        <v>94</v>
      </c>
      <c r="D1502" t="s">
        <v>86</v>
      </c>
      <c r="E1502" t="s">
        <v>87</v>
      </c>
      <c r="F1502" t="s">
        <v>3360</v>
      </c>
      <c r="G1502">
        <v>5675</v>
      </c>
      <c r="H1502" t="s">
        <v>3388</v>
      </c>
      <c r="I1502" t="s">
        <v>96</v>
      </c>
      <c r="K1502">
        <v>2553791.0355000002</v>
      </c>
      <c r="L1502">
        <v>1169576.29394</v>
      </c>
      <c r="M1502">
        <v>701</v>
      </c>
      <c r="N1502" t="s">
        <v>3389</v>
      </c>
    </row>
    <row r="1503" spans="1:14" x14ac:dyDescent="0.25">
      <c r="A1503">
        <v>8500733</v>
      </c>
      <c r="B1503" t="s">
        <v>3390</v>
      </c>
      <c r="C1503" t="s">
        <v>94</v>
      </c>
      <c r="D1503" t="s">
        <v>86</v>
      </c>
      <c r="E1503" t="s">
        <v>87</v>
      </c>
      <c r="F1503" t="s">
        <v>3391</v>
      </c>
      <c r="G1503">
        <v>5858</v>
      </c>
      <c r="H1503" t="s">
        <v>3391</v>
      </c>
      <c r="I1503" t="s">
        <v>96</v>
      </c>
      <c r="K1503">
        <v>2510406</v>
      </c>
      <c r="L1503">
        <v>1144122</v>
      </c>
      <c r="M1503">
        <v>446</v>
      </c>
      <c r="N1503" t="s">
        <v>3392</v>
      </c>
    </row>
    <row r="1504" spans="1:14" x14ac:dyDescent="0.25">
      <c r="A1504">
        <v>8501277</v>
      </c>
      <c r="B1504" t="s">
        <v>3393</v>
      </c>
      <c r="C1504" t="s">
        <v>85</v>
      </c>
      <c r="D1504" t="s">
        <v>86</v>
      </c>
      <c r="E1504" t="s">
        <v>87</v>
      </c>
      <c r="F1504" t="s">
        <v>3394</v>
      </c>
      <c r="G1504">
        <v>5639</v>
      </c>
      <c r="H1504" t="s">
        <v>3395</v>
      </c>
      <c r="I1504" t="s">
        <v>89</v>
      </c>
      <c r="K1504">
        <v>2525424.2573899999</v>
      </c>
      <c r="L1504">
        <v>1150842.4534700001</v>
      </c>
      <c r="M1504">
        <v>423.7</v>
      </c>
      <c r="N1504" t="s">
        <v>3396</v>
      </c>
    </row>
    <row r="1505" spans="1:14" x14ac:dyDescent="0.25">
      <c r="A1505">
        <v>8583402</v>
      </c>
      <c r="B1505" t="s">
        <v>3397</v>
      </c>
      <c r="C1505" t="s">
        <v>94</v>
      </c>
      <c r="D1505" t="s">
        <v>86</v>
      </c>
      <c r="E1505" t="s">
        <v>87</v>
      </c>
      <c r="F1505" t="s">
        <v>3398</v>
      </c>
      <c r="G1505">
        <v>5487</v>
      </c>
      <c r="H1505" t="s">
        <v>3398</v>
      </c>
      <c r="I1505" t="s">
        <v>96</v>
      </c>
      <c r="K1505">
        <v>2530415</v>
      </c>
      <c r="L1505">
        <v>1165308</v>
      </c>
      <c r="M1505">
        <v>482</v>
      </c>
      <c r="N1505" t="s">
        <v>3399</v>
      </c>
    </row>
    <row r="1506" spans="1:14" x14ac:dyDescent="0.25">
      <c r="A1506">
        <v>8583403</v>
      </c>
      <c r="B1506" t="s">
        <v>3400</v>
      </c>
      <c r="C1506" t="s">
        <v>94</v>
      </c>
      <c r="D1506" t="s">
        <v>86</v>
      </c>
      <c r="E1506" t="s">
        <v>87</v>
      </c>
      <c r="F1506" t="s">
        <v>3398</v>
      </c>
      <c r="G1506">
        <v>5487</v>
      </c>
      <c r="H1506" t="s">
        <v>3398</v>
      </c>
      <c r="I1506" t="s">
        <v>96</v>
      </c>
      <c r="K1506">
        <v>2530043</v>
      </c>
      <c r="L1506">
        <v>1164778</v>
      </c>
      <c r="M1506">
        <v>492</v>
      </c>
      <c r="N1506" t="s">
        <v>3401</v>
      </c>
    </row>
    <row r="1507" spans="1:14" x14ac:dyDescent="0.25">
      <c r="A1507">
        <v>8511640</v>
      </c>
      <c r="B1507" t="s">
        <v>3402</v>
      </c>
      <c r="C1507" t="s">
        <v>85</v>
      </c>
      <c r="D1507" t="s">
        <v>86</v>
      </c>
      <c r="E1507" t="s">
        <v>87</v>
      </c>
      <c r="F1507" t="s">
        <v>3398</v>
      </c>
      <c r="G1507">
        <v>5487</v>
      </c>
      <c r="H1507" t="s">
        <v>3398</v>
      </c>
      <c r="I1507" t="s">
        <v>89</v>
      </c>
      <c r="K1507">
        <v>2530170.6461999998</v>
      </c>
      <c r="L1507">
        <v>1165034.9036699999</v>
      </c>
      <c r="M1507">
        <v>495.4</v>
      </c>
      <c r="N1507" t="s">
        <v>3403</v>
      </c>
    </row>
    <row r="1508" spans="1:14" x14ac:dyDescent="0.25">
      <c r="A1508">
        <v>8504654</v>
      </c>
      <c r="B1508" t="s">
        <v>3404</v>
      </c>
      <c r="C1508" t="s">
        <v>85</v>
      </c>
      <c r="D1508" t="s">
        <v>86</v>
      </c>
      <c r="E1508" t="s">
        <v>87</v>
      </c>
      <c r="F1508" t="s">
        <v>3405</v>
      </c>
      <c r="G1508">
        <v>5640</v>
      </c>
      <c r="H1508" t="s">
        <v>3405</v>
      </c>
      <c r="I1508" t="s">
        <v>89</v>
      </c>
      <c r="K1508">
        <v>2524054</v>
      </c>
      <c r="L1508">
        <v>1150810</v>
      </c>
      <c r="M1508">
        <v>459</v>
      </c>
      <c r="N1508" t="s">
        <v>3406</v>
      </c>
    </row>
    <row r="1509" spans="1:14" x14ac:dyDescent="0.25">
      <c r="A1509">
        <v>8595221</v>
      </c>
      <c r="B1509" t="s">
        <v>3407</v>
      </c>
      <c r="C1509" t="s">
        <v>85</v>
      </c>
      <c r="D1509" t="s">
        <v>86</v>
      </c>
      <c r="E1509" t="s">
        <v>87</v>
      </c>
      <c r="F1509" t="s">
        <v>3405</v>
      </c>
      <c r="G1509">
        <v>5640</v>
      </c>
      <c r="H1509" t="s">
        <v>3405</v>
      </c>
      <c r="I1509" t="s">
        <v>89</v>
      </c>
      <c r="K1509">
        <v>2524288</v>
      </c>
      <c r="L1509">
        <v>1150792</v>
      </c>
      <c r="M1509">
        <v>450</v>
      </c>
      <c r="N1509" t="s">
        <v>3408</v>
      </c>
    </row>
    <row r="1510" spans="1:14" x14ac:dyDescent="0.25">
      <c r="A1510">
        <v>8501318</v>
      </c>
      <c r="B1510" t="s">
        <v>3409</v>
      </c>
      <c r="C1510" t="s">
        <v>778</v>
      </c>
      <c r="D1510" t="s">
        <v>302</v>
      </c>
      <c r="E1510" t="s">
        <v>87</v>
      </c>
      <c r="F1510" t="s">
        <v>55</v>
      </c>
      <c r="G1510">
        <v>5606</v>
      </c>
      <c r="H1510" t="s">
        <v>55</v>
      </c>
      <c r="I1510" t="s">
        <v>780</v>
      </c>
      <c r="K1510">
        <v>2542072.2179999999</v>
      </c>
      <c r="L1510">
        <v>1150274.0802500001</v>
      </c>
      <c r="M1510">
        <v>373</v>
      </c>
      <c r="N1510" t="s">
        <v>3410</v>
      </c>
    </row>
    <row r="1511" spans="1:14" x14ac:dyDescent="0.25">
      <c r="A1511">
        <v>8504010</v>
      </c>
      <c r="B1511" t="s">
        <v>3411</v>
      </c>
      <c r="C1511" t="s">
        <v>132</v>
      </c>
      <c r="D1511" t="s">
        <v>112</v>
      </c>
      <c r="E1511" t="s">
        <v>87</v>
      </c>
      <c r="F1511" t="s">
        <v>55</v>
      </c>
      <c r="G1511">
        <v>5606</v>
      </c>
      <c r="H1511" t="s">
        <v>3411</v>
      </c>
      <c r="I1511" t="s">
        <v>133</v>
      </c>
      <c r="K1511">
        <v>2541648.895</v>
      </c>
      <c r="L1511">
        <v>1151592.4339999999</v>
      </c>
      <c r="M1511">
        <v>501.04199999999997</v>
      </c>
      <c r="N1511" t="s">
        <v>3412</v>
      </c>
    </row>
    <row r="1512" spans="1:14" x14ac:dyDescent="0.25">
      <c r="A1512">
        <v>8504836</v>
      </c>
      <c r="B1512" t="s">
        <v>3413</v>
      </c>
      <c r="C1512" t="s">
        <v>242</v>
      </c>
      <c r="D1512" t="s">
        <v>86</v>
      </c>
      <c r="E1512" t="s">
        <v>87</v>
      </c>
      <c r="F1512" t="s">
        <v>55</v>
      </c>
      <c r="G1512">
        <v>5606</v>
      </c>
      <c r="H1512" t="s">
        <v>3414</v>
      </c>
      <c r="I1512" t="s">
        <v>243</v>
      </c>
      <c r="K1512">
        <v>2543574.602</v>
      </c>
      <c r="L1512">
        <v>1152617.432</v>
      </c>
      <c r="M1512">
        <v>726</v>
      </c>
      <c r="N1512" t="s">
        <v>3415</v>
      </c>
    </row>
    <row r="1513" spans="1:14" x14ac:dyDescent="0.25">
      <c r="A1513">
        <v>8579260</v>
      </c>
      <c r="B1513" t="s">
        <v>3416</v>
      </c>
      <c r="C1513" t="s">
        <v>242</v>
      </c>
      <c r="D1513" t="s">
        <v>86</v>
      </c>
      <c r="E1513" t="s">
        <v>87</v>
      </c>
      <c r="F1513" t="s">
        <v>55</v>
      </c>
      <c r="G1513">
        <v>5606</v>
      </c>
      <c r="H1513" t="s">
        <v>3414</v>
      </c>
      <c r="I1513" t="s">
        <v>243</v>
      </c>
      <c r="K1513">
        <v>2543535</v>
      </c>
      <c r="L1513">
        <v>1152022</v>
      </c>
      <c r="M1513">
        <v>639</v>
      </c>
      <c r="N1513" t="s">
        <v>3417</v>
      </c>
    </row>
    <row r="1514" spans="1:14" x14ac:dyDescent="0.25">
      <c r="A1514">
        <v>8509475</v>
      </c>
      <c r="B1514" t="s">
        <v>3418</v>
      </c>
      <c r="C1514" t="s">
        <v>242</v>
      </c>
      <c r="D1514" t="s">
        <v>86</v>
      </c>
      <c r="E1514" t="s">
        <v>87</v>
      </c>
      <c r="F1514" t="s">
        <v>55</v>
      </c>
      <c r="G1514">
        <v>5606</v>
      </c>
      <c r="H1514" t="s">
        <v>3414</v>
      </c>
      <c r="I1514" t="s">
        <v>243</v>
      </c>
      <c r="K1514">
        <v>2542639.5</v>
      </c>
      <c r="L1514">
        <v>1152475.2</v>
      </c>
      <c r="M1514">
        <v>707.7</v>
      </c>
      <c r="N1514" t="s">
        <v>3419</v>
      </c>
    </row>
    <row r="1515" spans="1:14" x14ac:dyDescent="0.25">
      <c r="A1515">
        <v>8588451</v>
      </c>
      <c r="B1515" t="s">
        <v>3420</v>
      </c>
      <c r="C1515" t="s">
        <v>242</v>
      </c>
      <c r="D1515" t="s">
        <v>86</v>
      </c>
      <c r="E1515" t="s">
        <v>87</v>
      </c>
      <c r="F1515" t="s">
        <v>55</v>
      </c>
      <c r="G1515">
        <v>5606</v>
      </c>
      <c r="H1515" t="s">
        <v>3414</v>
      </c>
      <c r="I1515" t="s">
        <v>243</v>
      </c>
      <c r="K1515">
        <v>2543634</v>
      </c>
      <c r="L1515">
        <v>1151444</v>
      </c>
      <c r="M1515">
        <v>639</v>
      </c>
      <c r="N1515" t="s">
        <v>3421</v>
      </c>
    </row>
    <row r="1516" spans="1:14" x14ac:dyDescent="0.25">
      <c r="A1516">
        <v>8588452</v>
      </c>
      <c r="B1516" t="s">
        <v>3422</v>
      </c>
      <c r="C1516" t="s">
        <v>242</v>
      </c>
      <c r="D1516" t="s">
        <v>86</v>
      </c>
      <c r="E1516" t="s">
        <v>87</v>
      </c>
      <c r="F1516" t="s">
        <v>55</v>
      </c>
      <c r="G1516">
        <v>5606</v>
      </c>
      <c r="H1516" t="s">
        <v>3414</v>
      </c>
      <c r="I1516" t="s">
        <v>243</v>
      </c>
      <c r="K1516">
        <v>2543937</v>
      </c>
      <c r="L1516">
        <v>1151128</v>
      </c>
      <c r="M1516">
        <v>638</v>
      </c>
      <c r="N1516" t="s">
        <v>3423</v>
      </c>
    </row>
    <row r="1517" spans="1:14" x14ac:dyDescent="0.25">
      <c r="A1517">
        <v>8579259</v>
      </c>
      <c r="B1517" t="s">
        <v>3424</v>
      </c>
      <c r="C1517" t="s">
        <v>242</v>
      </c>
      <c r="D1517" t="s">
        <v>86</v>
      </c>
      <c r="E1517" t="s">
        <v>87</v>
      </c>
      <c r="F1517" t="s">
        <v>55</v>
      </c>
      <c r="G1517">
        <v>5606</v>
      </c>
      <c r="H1517" t="s">
        <v>3414</v>
      </c>
      <c r="I1517" t="s">
        <v>243</v>
      </c>
      <c r="K1517">
        <v>2542551.7330100001</v>
      </c>
      <c r="L1517">
        <v>1152101.8547499999</v>
      </c>
      <c r="M1517">
        <v>632</v>
      </c>
      <c r="N1517" t="s">
        <v>3425</v>
      </c>
    </row>
    <row r="1518" spans="1:14" x14ac:dyDescent="0.25">
      <c r="A1518">
        <v>8591976</v>
      </c>
      <c r="B1518" t="s">
        <v>3426</v>
      </c>
      <c r="C1518" t="s">
        <v>242</v>
      </c>
      <c r="D1518" t="s">
        <v>86</v>
      </c>
      <c r="E1518" t="s">
        <v>87</v>
      </c>
      <c r="F1518" t="s">
        <v>55</v>
      </c>
      <c r="G1518">
        <v>5606</v>
      </c>
      <c r="H1518" t="s">
        <v>3411</v>
      </c>
      <c r="I1518" t="s">
        <v>243</v>
      </c>
      <c r="K1518">
        <v>2541641</v>
      </c>
      <c r="L1518">
        <v>1151557</v>
      </c>
      <c r="M1518">
        <v>510</v>
      </c>
      <c r="N1518" t="s">
        <v>3427</v>
      </c>
    </row>
    <row r="1519" spans="1:14" x14ac:dyDescent="0.25">
      <c r="A1519">
        <v>8592156</v>
      </c>
      <c r="B1519" t="s">
        <v>3428</v>
      </c>
      <c r="C1519" t="s">
        <v>242</v>
      </c>
      <c r="D1519" t="s">
        <v>86</v>
      </c>
      <c r="E1519" t="s">
        <v>87</v>
      </c>
      <c r="F1519" t="s">
        <v>55</v>
      </c>
      <c r="G1519">
        <v>5606</v>
      </c>
      <c r="H1519" t="s">
        <v>55</v>
      </c>
      <c r="I1519" t="s">
        <v>243</v>
      </c>
      <c r="K1519">
        <v>2542078</v>
      </c>
      <c r="L1519">
        <v>1150336</v>
      </c>
      <c r="M1519">
        <v>374</v>
      </c>
      <c r="N1519" t="s">
        <v>3429</v>
      </c>
    </row>
    <row r="1520" spans="1:14" x14ac:dyDescent="0.25">
      <c r="A1520">
        <v>8592160</v>
      </c>
      <c r="B1520" t="s">
        <v>3430</v>
      </c>
      <c r="C1520" t="s">
        <v>242</v>
      </c>
      <c r="D1520" t="s">
        <v>86</v>
      </c>
      <c r="E1520" t="s">
        <v>87</v>
      </c>
      <c r="F1520" t="s">
        <v>55</v>
      </c>
      <c r="G1520">
        <v>5606</v>
      </c>
      <c r="H1520" t="s">
        <v>55</v>
      </c>
      <c r="I1520" t="s">
        <v>243</v>
      </c>
      <c r="K1520">
        <v>2542522</v>
      </c>
      <c r="L1520">
        <v>1150282</v>
      </c>
      <c r="M1520">
        <v>378</v>
      </c>
      <c r="N1520" t="s">
        <v>3431</v>
      </c>
    </row>
    <row r="1521" spans="1:14" x14ac:dyDescent="0.25">
      <c r="A1521">
        <v>8593863</v>
      </c>
      <c r="B1521" t="s">
        <v>3432</v>
      </c>
      <c r="C1521" t="s">
        <v>242</v>
      </c>
      <c r="D1521" t="s">
        <v>86</v>
      </c>
      <c r="E1521" t="s">
        <v>87</v>
      </c>
      <c r="F1521" t="s">
        <v>55</v>
      </c>
      <c r="G1521">
        <v>5606</v>
      </c>
      <c r="H1521" t="s">
        <v>3411</v>
      </c>
      <c r="I1521" t="s">
        <v>243</v>
      </c>
      <c r="J1521" t="s">
        <v>3433</v>
      </c>
      <c r="K1521">
        <v>2541888</v>
      </c>
      <c r="L1521">
        <v>1152073</v>
      </c>
      <c r="M1521">
        <v>580</v>
      </c>
      <c r="N1521" t="s">
        <v>3434</v>
      </c>
    </row>
    <row r="1522" spans="1:14" x14ac:dyDescent="0.25">
      <c r="A1522">
        <v>8588438</v>
      </c>
      <c r="B1522" t="s">
        <v>3435</v>
      </c>
      <c r="C1522" t="s">
        <v>242</v>
      </c>
      <c r="D1522" t="s">
        <v>86</v>
      </c>
      <c r="E1522" t="s">
        <v>87</v>
      </c>
      <c r="F1522" t="s">
        <v>55</v>
      </c>
      <c r="G1522">
        <v>5606</v>
      </c>
      <c r="H1522" t="s">
        <v>3414</v>
      </c>
      <c r="I1522" t="s">
        <v>243</v>
      </c>
      <c r="K1522">
        <v>2543380</v>
      </c>
      <c r="L1522">
        <v>1152174</v>
      </c>
      <c r="M1522">
        <v>639</v>
      </c>
      <c r="N1522" t="s">
        <v>3436</v>
      </c>
    </row>
    <row r="1523" spans="1:14" x14ac:dyDescent="0.25">
      <c r="A1523">
        <v>8593857</v>
      </c>
      <c r="B1523" t="s">
        <v>3437</v>
      </c>
      <c r="C1523" t="s">
        <v>242</v>
      </c>
      <c r="D1523" t="s">
        <v>86</v>
      </c>
      <c r="E1523" t="s">
        <v>87</v>
      </c>
      <c r="F1523" t="s">
        <v>55</v>
      </c>
      <c r="G1523">
        <v>5606</v>
      </c>
      <c r="H1523" t="s">
        <v>55</v>
      </c>
      <c r="I1523" t="s">
        <v>243</v>
      </c>
      <c r="J1523" t="s">
        <v>3433</v>
      </c>
      <c r="K1523">
        <v>2543726</v>
      </c>
      <c r="L1523">
        <v>1151109</v>
      </c>
      <c r="M1523">
        <v>602</v>
      </c>
      <c r="N1523" t="s">
        <v>3438</v>
      </c>
    </row>
    <row r="1524" spans="1:14" x14ac:dyDescent="0.25">
      <c r="A1524">
        <v>8592158</v>
      </c>
      <c r="B1524" t="s">
        <v>3439</v>
      </c>
      <c r="C1524" t="s">
        <v>242</v>
      </c>
      <c r="D1524" t="s">
        <v>86</v>
      </c>
      <c r="E1524" t="s">
        <v>87</v>
      </c>
      <c r="F1524" t="s">
        <v>55</v>
      </c>
      <c r="G1524">
        <v>5606</v>
      </c>
      <c r="H1524" t="s">
        <v>55</v>
      </c>
      <c r="I1524" t="s">
        <v>243</v>
      </c>
      <c r="K1524">
        <v>2542037</v>
      </c>
      <c r="L1524">
        <v>1150911</v>
      </c>
      <c r="M1524">
        <v>420</v>
      </c>
      <c r="N1524" t="s">
        <v>3440</v>
      </c>
    </row>
    <row r="1525" spans="1:14" x14ac:dyDescent="0.25">
      <c r="A1525">
        <v>8592145</v>
      </c>
      <c r="B1525" t="s">
        <v>3441</v>
      </c>
      <c r="C1525" t="s">
        <v>242</v>
      </c>
      <c r="D1525" t="s">
        <v>86</v>
      </c>
      <c r="E1525" t="s">
        <v>87</v>
      </c>
      <c r="F1525" t="s">
        <v>55</v>
      </c>
      <c r="G1525">
        <v>5606</v>
      </c>
      <c r="H1525" t="s">
        <v>55</v>
      </c>
      <c r="I1525" t="s">
        <v>243</v>
      </c>
      <c r="K1525">
        <v>2541911</v>
      </c>
      <c r="L1525">
        <v>1151183</v>
      </c>
      <c r="M1525">
        <v>454</v>
      </c>
      <c r="N1525" t="s">
        <v>3442</v>
      </c>
    </row>
    <row r="1526" spans="1:14" x14ac:dyDescent="0.25">
      <c r="A1526">
        <v>8592163</v>
      </c>
      <c r="B1526" t="s">
        <v>3443</v>
      </c>
      <c r="C1526" t="s">
        <v>242</v>
      </c>
      <c r="D1526" t="s">
        <v>86</v>
      </c>
      <c r="E1526" t="s">
        <v>87</v>
      </c>
      <c r="F1526" t="s">
        <v>55</v>
      </c>
      <c r="G1526">
        <v>5606</v>
      </c>
      <c r="H1526" t="s">
        <v>55</v>
      </c>
      <c r="I1526" t="s">
        <v>243</v>
      </c>
      <c r="J1526" t="s">
        <v>3444</v>
      </c>
      <c r="K1526">
        <v>2542157</v>
      </c>
      <c r="L1526">
        <v>1150626</v>
      </c>
      <c r="M1526">
        <v>393</v>
      </c>
      <c r="N1526" t="s">
        <v>3445</v>
      </c>
    </row>
    <row r="1527" spans="1:14" x14ac:dyDescent="0.25">
      <c r="A1527">
        <v>8592162</v>
      </c>
      <c r="B1527" t="s">
        <v>3446</v>
      </c>
      <c r="C1527" t="s">
        <v>242</v>
      </c>
      <c r="D1527" t="s">
        <v>86</v>
      </c>
      <c r="E1527" t="s">
        <v>87</v>
      </c>
      <c r="F1527" t="s">
        <v>55</v>
      </c>
      <c r="G1527">
        <v>5606</v>
      </c>
      <c r="H1527" t="s">
        <v>55</v>
      </c>
      <c r="I1527" t="s">
        <v>243</v>
      </c>
      <c r="K1527">
        <v>2542825</v>
      </c>
      <c r="L1527">
        <v>1150935</v>
      </c>
      <c r="M1527">
        <v>464</v>
      </c>
      <c r="N1527" t="s">
        <v>3447</v>
      </c>
    </row>
    <row r="1528" spans="1:14" x14ac:dyDescent="0.25">
      <c r="A1528">
        <v>8592155</v>
      </c>
      <c r="B1528" t="s">
        <v>3448</v>
      </c>
      <c r="C1528" t="s">
        <v>242</v>
      </c>
      <c r="D1528" t="s">
        <v>86</v>
      </c>
      <c r="E1528" t="s">
        <v>87</v>
      </c>
      <c r="F1528" t="s">
        <v>55</v>
      </c>
      <c r="G1528">
        <v>5606</v>
      </c>
      <c r="H1528" t="s">
        <v>55</v>
      </c>
      <c r="I1528" t="s">
        <v>243</v>
      </c>
      <c r="K1528">
        <v>2542845</v>
      </c>
      <c r="L1528">
        <v>1150204</v>
      </c>
      <c r="M1528">
        <v>380</v>
      </c>
      <c r="N1528" t="s">
        <v>3449</v>
      </c>
    </row>
    <row r="1529" spans="1:14" x14ac:dyDescent="0.25">
      <c r="A1529">
        <v>8592154</v>
      </c>
      <c r="B1529" t="s">
        <v>3450</v>
      </c>
      <c r="C1529" t="s">
        <v>242</v>
      </c>
      <c r="D1529" t="s">
        <v>86</v>
      </c>
      <c r="E1529" t="s">
        <v>87</v>
      </c>
      <c r="F1529" t="s">
        <v>55</v>
      </c>
      <c r="G1529">
        <v>5606</v>
      </c>
      <c r="H1529" t="s">
        <v>55</v>
      </c>
      <c r="I1529" t="s">
        <v>243</v>
      </c>
      <c r="K1529">
        <v>2542304</v>
      </c>
      <c r="L1529">
        <v>1150660</v>
      </c>
      <c r="M1529">
        <v>402</v>
      </c>
      <c r="N1529" t="s">
        <v>3451</v>
      </c>
    </row>
    <row r="1530" spans="1:14" x14ac:dyDescent="0.25">
      <c r="A1530">
        <v>8592153</v>
      </c>
      <c r="B1530" t="s">
        <v>3452</v>
      </c>
      <c r="C1530" t="s">
        <v>242</v>
      </c>
      <c r="D1530" t="s">
        <v>86</v>
      </c>
      <c r="E1530" t="s">
        <v>87</v>
      </c>
      <c r="F1530" t="s">
        <v>55</v>
      </c>
      <c r="G1530">
        <v>5606</v>
      </c>
      <c r="H1530" t="s">
        <v>55</v>
      </c>
      <c r="I1530" t="s">
        <v>243</v>
      </c>
      <c r="K1530">
        <v>2542980</v>
      </c>
      <c r="L1530">
        <v>1151383</v>
      </c>
      <c r="M1530">
        <v>492</v>
      </c>
      <c r="N1530" t="s">
        <v>3453</v>
      </c>
    </row>
    <row r="1531" spans="1:14" x14ac:dyDescent="0.25">
      <c r="A1531">
        <v>8592159</v>
      </c>
      <c r="B1531" t="s">
        <v>3454</v>
      </c>
      <c r="C1531" t="s">
        <v>242</v>
      </c>
      <c r="D1531" t="s">
        <v>86</v>
      </c>
      <c r="E1531" t="s">
        <v>87</v>
      </c>
      <c r="F1531" t="s">
        <v>55</v>
      </c>
      <c r="G1531">
        <v>5606</v>
      </c>
      <c r="H1531" t="s">
        <v>3411</v>
      </c>
      <c r="I1531" t="s">
        <v>243</v>
      </c>
      <c r="K1531">
        <v>2542512</v>
      </c>
      <c r="L1531">
        <v>1151588</v>
      </c>
      <c r="M1531">
        <v>541</v>
      </c>
      <c r="N1531" t="s">
        <v>3455</v>
      </c>
    </row>
    <row r="1532" spans="1:14" x14ac:dyDescent="0.25">
      <c r="A1532">
        <v>8592157</v>
      </c>
      <c r="B1532" t="s">
        <v>3456</v>
      </c>
      <c r="C1532" t="s">
        <v>242</v>
      </c>
      <c r="D1532" t="s">
        <v>86</v>
      </c>
      <c r="E1532" t="s">
        <v>87</v>
      </c>
      <c r="F1532" t="s">
        <v>55</v>
      </c>
      <c r="G1532">
        <v>5606</v>
      </c>
      <c r="H1532" t="s">
        <v>3411</v>
      </c>
      <c r="I1532" t="s">
        <v>243</v>
      </c>
      <c r="K1532">
        <v>2542172</v>
      </c>
      <c r="L1532">
        <v>1151540</v>
      </c>
      <c r="M1532">
        <v>533</v>
      </c>
      <c r="N1532" t="s">
        <v>3457</v>
      </c>
    </row>
    <row r="1533" spans="1:14" x14ac:dyDescent="0.25">
      <c r="A1533">
        <v>8592149</v>
      </c>
      <c r="B1533" t="s">
        <v>3458</v>
      </c>
      <c r="C1533" t="s">
        <v>242</v>
      </c>
      <c r="D1533" t="s">
        <v>86</v>
      </c>
      <c r="E1533" t="s">
        <v>87</v>
      </c>
      <c r="F1533" t="s">
        <v>55</v>
      </c>
      <c r="G1533">
        <v>5606</v>
      </c>
      <c r="H1533" t="s">
        <v>3411</v>
      </c>
      <c r="I1533" t="s">
        <v>243</v>
      </c>
      <c r="K1533">
        <v>2541788</v>
      </c>
      <c r="L1533">
        <v>1151646</v>
      </c>
      <c r="M1533">
        <v>530</v>
      </c>
      <c r="N1533" t="s">
        <v>3459</v>
      </c>
    </row>
    <row r="1534" spans="1:14" x14ac:dyDescent="0.25">
      <c r="A1534">
        <v>8593858</v>
      </c>
      <c r="B1534" t="s">
        <v>3460</v>
      </c>
      <c r="C1534" t="s">
        <v>242</v>
      </c>
      <c r="D1534" t="s">
        <v>86</v>
      </c>
      <c r="E1534" t="s">
        <v>87</v>
      </c>
      <c r="F1534" t="s">
        <v>55</v>
      </c>
      <c r="G1534">
        <v>5606</v>
      </c>
      <c r="H1534" t="s">
        <v>55</v>
      </c>
      <c r="I1534" t="s">
        <v>243</v>
      </c>
      <c r="J1534" t="s">
        <v>3433</v>
      </c>
      <c r="K1534">
        <v>2542382</v>
      </c>
      <c r="L1534">
        <v>1150570</v>
      </c>
      <c r="M1534">
        <v>390</v>
      </c>
      <c r="N1534" t="s">
        <v>3461</v>
      </c>
    </row>
    <row r="1535" spans="1:14" x14ac:dyDescent="0.25">
      <c r="A1535">
        <v>8593856</v>
      </c>
      <c r="B1535" t="s">
        <v>3462</v>
      </c>
      <c r="C1535" t="s">
        <v>242</v>
      </c>
      <c r="D1535" t="s">
        <v>86</v>
      </c>
      <c r="E1535" t="s">
        <v>87</v>
      </c>
      <c r="F1535" t="s">
        <v>55</v>
      </c>
      <c r="G1535">
        <v>5606</v>
      </c>
      <c r="H1535" t="s">
        <v>55</v>
      </c>
      <c r="I1535" t="s">
        <v>243</v>
      </c>
      <c r="J1535" t="s">
        <v>3433</v>
      </c>
      <c r="K1535">
        <v>2543076</v>
      </c>
      <c r="L1535">
        <v>1151210</v>
      </c>
      <c r="M1535">
        <v>567</v>
      </c>
      <c r="N1535" t="s">
        <v>3463</v>
      </c>
    </row>
    <row r="1536" spans="1:14" x14ac:dyDescent="0.25">
      <c r="A1536">
        <v>8593861</v>
      </c>
      <c r="B1536" t="s">
        <v>3464</v>
      </c>
      <c r="C1536" t="s">
        <v>242</v>
      </c>
      <c r="D1536" t="s">
        <v>86</v>
      </c>
      <c r="E1536" t="s">
        <v>87</v>
      </c>
      <c r="F1536" t="s">
        <v>55</v>
      </c>
      <c r="G1536">
        <v>5606</v>
      </c>
      <c r="H1536" t="s">
        <v>55</v>
      </c>
      <c r="I1536" t="s">
        <v>243</v>
      </c>
      <c r="J1536" t="s">
        <v>3465</v>
      </c>
      <c r="K1536">
        <v>2542553</v>
      </c>
      <c r="L1536">
        <v>1150550</v>
      </c>
      <c r="M1536">
        <v>402</v>
      </c>
      <c r="N1536" t="s">
        <v>3466</v>
      </c>
    </row>
    <row r="1537" spans="1:14" x14ac:dyDescent="0.25">
      <c r="A1537">
        <v>8519693</v>
      </c>
      <c r="B1537" t="s">
        <v>3467</v>
      </c>
      <c r="C1537" t="s">
        <v>132</v>
      </c>
      <c r="E1537" t="s">
        <v>87</v>
      </c>
      <c r="F1537" t="s">
        <v>55</v>
      </c>
      <c r="G1537">
        <v>5606</v>
      </c>
      <c r="H1537" t="s">
        <v>55</v>
      </c>
      <c r="I1537" t="s">
        <v>133</v>
      </c>
      <c r="J1537" t="s">
        <v>130</v>
      </c>
      <c r="K1537">
        <v>2541916.0008</v>
      </c>
      <c r="L1537">
        <v>1150784.5127000001</v>
      </c>
      <c r="M1537">
        <v>407.01100000000002</v>
      </c>
      <c r="N1537" t="s">
        <v>3468</v>
      </c>
    </row>
    <row r="1538" spans="1:14" x14ac:dyDescent="0.25">
      <c r="A1538">
        <v>8504003</v>
      </c>
      <c r="B1538" t="s">
        <v>3469</v>
      </c>
      <c r="C1538" t="s">
        <v>132</v>
      </c>
      <c r="D1538" t="s">
        <v>112</v>
      </c>
      <c r="E1538" t="s">
        <v>87</v>
      </c>
      <c r="F1538" t="s">
        <v>55</v>
      </c>
      <c r="G1538">
        <v>5606</v>
      </c>
      <c r="H1538" t="s">
        <v>55</v>
      </c>
      <c r="I1538" t="s">
        <v>133</v>
      </c>
      <c r="K1538">
        <v>2543256.8659999999</v>
      </c>
      <c r="L1538">
        <v>1151206.173</v>
      </c>
      <c r="M1538">
        <v>524.16999999999996</v>
      </c>
      <c r="N1538" t="s">
        <v>3470</v>
      </c>
    </row>
    <row r="1539" spans="1:14" x14ac:dyDescent="0.25">
      <c r="A1539">
        <v>8509297</v>
      </c>
      <c r="B1539" t="s">
        <v>3471</v>
      </c>
      <c r="C1539" t="s">
        <v>242</v>
      </c>
      <c r="D1539" t="s">
        <v>86</v>
      </c>
      <c r="E1539" t="s">
        <v>87</v>
      </c>
      <c r="F1539" t="s">
        <v>55</v>
      </c>
      <c r="G1539">
        <v>5606</v>
      </c>
      <c r="H1539" t="s">
        <v>55</v>
      </c>
      <c r="I1539" t="s">
        <v>243</v>
      </c>
      <c r="K1539">
        <v>2543322</v>
      </c>
      <c r="L1539">
        <v>1151474</v>
      </c>
      <c r="M1539">
        <v>567.4</v>
      </c>
      <c r="N1539" t="s">
        <v>3472</v>
      </c>
    </row>
    <row r="1540" spans="1:14" x14ac:dyDescent="0.25">
      <c r="A1540">
        <v>8504827</v>
      </c>
      <c r="B1540" t="s">
        <v>3473</v>
      </c>
      <c r="C1540" t="s">
        <v>242</v>
      </c>
      <c r="D1540" t="s">
        <v>86</v>
      </c>
      <c r="E1540" t="s">
        <v>87</v>
      </c>
      <c r="F1540" t="s">
        <v>55</v>
      </c>
      <c r="G1540">
        <v>5606</v>
      </c>
      <c r="H1540" t="s">
        <v>3414</v>
      </c>
      <c r="I1540" t="s">
        <v>243</v>
      </c>
      <c r="K1540">
        <v>2543373.6030000001</v>
      </c>
      <c r="L1540">
        <v>1152800.432</v>
      </c>
      <c r="M1540">
        <v>733</v>
      </c>
      <c r="N1540" t="s">
        <v>3474</v>
      </c>
    </row>
    <row r="1541" spans="1:14" x14ac:dyDescent="0.25">
      <c r="A1541">
        <v>8509478</v>
      </c>
      <c r="B1541" t="s">
        <v>3475</v>
      </c>
      <c r="C1541" t="s">
        <v>242</v>
      </c>
      <c r="D1541" t="s">
        <v>86</v>
      </c>
      <c r="E1541" t="s">
        <v>87</v>
      </c>
      <c r="F1541" t="s">
        <v>55</v>
      </c>
      <c r="G1541">
        <v>5606</v>
      </c>
      <c r="H1541" t="s">
        <v>3414</v>
      </c>
      <c r="I1541" t="s">
        <v>243</v>
      </c>
      <c r="K1541">
        <v>2542625.7999999998</v>
      </c>
      <c r="L1541">
        <v>1152247.8999999999</v>
      </c>
      <c r="M1541">
        <v>669</v>
      </c>
      <c r="N1541" t="s">
        <v>3476</v>
      </c>
    </row>
    <row r="1542" spans="1:14" x14ac:dyDescent="0.25">
      <c r="A1542">
        <v>8509476</v>
      </c>
      <c r="B1542" t="s">
        <v>3477</v>
      </c>
      <c r="C1542" t="s">
        <v>242</v>
      </c>
      <c r="D1542" t="s">
        <v>86</v>
      </c>
      <c r="E1542" t="s">
        <v>87</v>
      </c>
      <c r="F1542" t="s">
        <v>55</v>
      </c>
      <c r="G1542">
        <v>5606</v>
      </c>
      <c r="H1542" t="s">
        <v>3414</v>
      </c>
      <c r="I1542" t="s">
        <v>243</v>
      </c>
      <c r="K1542">
        <v>2542906.6</v>
      </c>
      <c r="L1542">
        <v>1152502.5</v>
      </c>
      <c r="M1542">
        <v>705</v>
      </c>
      <c r="N1542" t="s">
        <v>3478</v>
      </c>
    </row>
    <row r="1543" spans="1:14" x14ac:dyDescent="0.25">
      <c r="A1543">
        <v>8509477</v>
      </c>
      <c r="B1543" t="s">
        <v>3479</v>
      </c>
      <c r="C1543" t="s">
        <v>242</v>
      </c>
      <c r="D1543" t="s">
        <v>86</v>
      </c>
      <c r="E1543" t="s">
        <v>87</v>
      </c>
      <c r="F1543" t="s">
        <v>55</v>
      </c>
      <c r="G1543">
        <v>5606</v>
      </c>
      <c r="H1543" t="s">
        <v>3414</v>
      </c>
      <c r="I1543" t="s">
        <v>243</v>
      </c>
      <c r="K1543">
        <v>2542840.6</v>
      </c>
      <c r="L1543">
        <v>1152329.8</v>
      </c>
      <c r="M1543">
        <v>680.1</v>
      </c>
      <c r="N1543" t="s">
        <v>3480</v>
      </c>
    </row>
    <row r="1544" spans="1:14" x14ac:dyDescent="0.25">
      <c r="A1544">
        <v>8592152</v>
      </c>
      <c r="B1544" t="s">
        <v>3481</v>
      </c>
      <c r="C1544" t="s">
        <v>242</v>
      </c>
      <c r="D1544" t="s">
        <v>86</v>
      </c>
      <c r="E1544" t="s">
        <v>87</v>
      </c>
      <c r="F1544" t="s">
        <v>55</v>
      </c>
      <c r="G1544">
        <v>5606</v>
      </c>
      <c r="H1544" t="s">
        <v>3411</v>
      </c>
      <c r="I1544" t="s">
        <v>243</v>
      </c>
      <c r="K1544">
        <v>2542263</v>
      </c>
      <c r="L1544">
        <v>1151785</v>
      </c>
      <c r="M1544">
        <v>572</v>
      </c>
      <c r="N1544" t="s">
        <v>3482</v>
      </c>
    </row>
    <row r="1545" spans="1:14" x14ac:dyDescent="0.25">
      <c r="A1545">
        <v>8592147</v>
      </c>
      <c r="B1545" t="s">
        <v>3483</v>
      </c>
      <c r="C1545" t="s">
        <v>242</v>
      </c>
      <c r="D1545" t="s">
        <v>86</v>
      </c>
      <c r="E1545" t="s">
        <v>87</v>
      </c>
      <c r="F1545" t="s">
        <v>55</v>
      </c>
      <c r="G1545">
        <v>5606</v>
      </c>
      <c r="H1545" t="s">
        <v>3411</v>
      </c>
      <c r="I1545" t="s">
        <v>243</v>
      </c>
      <c r="K1545">
        <v>2542587</v>
      </c>
      <c r="L1545">
        <v>1151735</v>
      </c>
      <c r="M1545">
        <v>568</v>
      </c>
      <c r="N1545" t="s">
        <v>3484</v>
      </c>
    </row>
    <row r="1546" spans="1:14" x14ac:dyDescent="0.25">
      <c r="A1546">
        <v>8592146</v>
      </c>
      <c r="B1546" t="s">
        <v>3485</v>
      </c>
      <c r="C1546" t="s">
        <v>242</v>
      </c>
      <c r="D1546" t="s">
        <v>86</v>
      </c>
      <c r="E1546" t="s">
        <v>87</v>
      </c>
      <c r="F1546" t="s">
        <v>55</v>
      </c>
      <c r="G1546">
        <v>5606</v>
      </c>
      <c r="H1546" t="s">
        <v>55</v>
      </c>
      <c r="I1546" t="s">
        <v>243</v>
      </c>
      <c r="K1546">
        <v>2543124</v>
      </c>
      <c r="L1546">
        <v>1151589</v>
      </c>
      <c r="M1546">
        <v>558</v>
      </c>
      <c r="N1546" t="s">
        <v>3486</v>
      </c>
    </row>
    <row r="1547" spans="1:14" x14ac:dyDescent="0.25">
      <c r="A1547">
        <v>8592151</v>
      </c>
      <c r="B1547" t="s">
        <v>3487</v>
      </c>
      <c r="C1547" t="s">
        <v>242</v>
      </c>
      <c r="D1547" t="s">
        <v>86</v>
      </c>
      <c r="E1547" t="s">
        <v>87</v>
      </c>
      <c r="F1547" t="s">
        <v>55</v>
      </c>
      <c r="G1547">
        <v>5606</v>
      </c>
      <c r="H1547" t="s">
        <v>3411</v>
      </c>
      <c r="I1547" t="s">
        <v>243</v>
      </c>
      <c r="K1547">
        <v>2541723</v>
      </c>
      <c r="L1547">
        <v>1151319</v>
      </c>
      <c r="M1547">
        <v>482</v>
      </c>
      <c r="N1547" t="s">
        <v>3488</v>
      </c>
    </row>
    <row r="1548" spans="1:14" x14ac:dyDescent="0.25">
      <c r="A1548">
        <v>8593859</v>
      </c>
      <c r="B1548" t="s">
        <v>3489</v>
      </c>
      <c r="C1548" t="s">
        <v>242</v>
      </c>
      <c r="D1548" t="s">
        <v>86</v>
      </c>
      <c r="E1548" t="s">
        <v>87</v>
      </c>
      <c r="F1548" t="s">
        <v>55</v>
      </c>
      <c r="G1548">
        <v>5606</v>
      </c>
      <c r="H1548" t="s">
        <v>55</v>
      </c>
      <c r="I1548" t="s">
        <v>243</v>
      </c>
      <c r="J1548" t="s">
        <v>3433</v>
      </c>
      <c r="K1548">
        <v>2541782</v>
      </c>
      <c r="L1548">
        <v>1150897</v>
      </c>
      <c r="M1548">
        <v>427</v>
      </c>
      <c r="N1548" t="s">
        <v>3490</v>
      </c>
    </row>
    <row r="1549" spans="1:14" x14ac:dyDescent="0.25">
      <c r="A1549">
        <v>8593862</v>
      </c>
      <c r="B1549" t="s">
        <v>3491</v>
      </c>
      <c r="C1549" t="s">
        <v>242</v>
      </c>
      <c r="D1549" t="s">
        <v>86</v>
      </c>
      <c r="E1549" t="s">
        <v>87</v>
      </c>
      <c r="F1549" t="s">
        <v>55</v>
      </c>
      <c r="G1549">
        <v>5606</v>
      </c>
      <c r="H1549" t="s">
        <v>55</v>
      </c>
      <c r="I1549" t="s">
        <v>243</v>
      </c>
      <c r="J1549" t="s">
        <v>3433</v>
      </c>
      <c r="K1549">
        <v>2542307</v>
      </c>
      <c r="L1549">
        <v>1151202</v>
      </c>
      <c r="M1549">
        <v>458</v>
      </c>
      <c r="N1549" t="s">
        <v>3492</v>
      </c>
    </row>
    <row r="1550" spans="1:14" x14ac:dyDescent="0.25">
      <c r="A1550">
        <v>8593860</v>
      </c>
      <c r="B1550" t="s">
        <v>3493</v>
      </c>
      <c r="C1550" t="s">
        <v>242</v>
      </c>
      <c r="D1550" t="s">
        <v>86</v>
      </c>
      <c r="E1550" t="s">
        <v>87</v>
      </c>
      <c r="F1550" t="s">
        <v>55</v>
      </c>
      <c r="G1550">
        <v>5606</v>
      </c>
      <c r="H1550" t="s">
        <v>55</v>
      </c>
      <c r="I1550" t="s">
        <v>243</v>
      </c>
      <c r="J1550" t="s">
        <v>3433</v>
      </c>
      <c r="K1550">
        <v>2542682</v>
      </c>
      <c r="L1550">
        <v>1151341</v>
      </c>
      <c r="M1550">
        <v>483</v>
      </c>
      <c r="N1550" t="s">
        <v>3494</v>
      </c>
    </row>
    <row r="1551" spans="1:14" x14ac:dyDescent="0.25">
      <c r="A1551">
        <v>8592161</v>
      </c>
      <c r="B1551" t="s">
        <v>3495</v>
      </c>
      <c r="C1551" t="s">
        <v>242</v>
      </c>
      <c r="D1551" t="s">
        <v>86</v>
      </c>
      <c r="E1551" t="s">
        <v>87</v>
      </c>
      <c r="F1551" t="s">
        <v>55</v>
      </c>
      <c r="G1551">
        <v>5606</v>
      </c>
      <c r="H1551" t="s">
        <v>3414</v>
      </c>
      <c r="I1551" t="s">
        <v>243</v>
      </c>
      <c r="K1551">
        <v>2543401</v>
      </c>
      <c r="L1551">
        <v>1151913</v>
      </c>
      <c r="M1551">
        <v>611</v>
      </c>
      <c r="N1551" t="s">
        <v>3496</v>
      </c>
    </row>
    <row r="1552" spans="1:14" x14ac:dyDescent="0.25">
      <c r="A1552">
        <v>8592150</v>
      </c>
      <c r="B1552" t="s">
        <v>3497</v>
      </c>
      <c r="C1552" t="s">
        <v>242</v>
      </c>
      <c r="D1552" t="s">
        <v>86</v>
      </c>
      <c r="E1552" t="s">
        <v>87</v>
      </c>
      <c r="F1552" t="s">
        <v>55</v>
      </c>
      <c r="G1552">
        <v>5606</v>
      </c>
      <c r="H1552" t="s">
        <v>55</v>
      </c>
      <c r="I1552" t="s">
        <v>243</v>
      </c>
      <c r="K1552">
        <v>2541843</v>
      </c>
      <c r="L1552">
        <v>1150593</v>
      </c>
      <c r="M1552">
        <v>376</v>
      </c>
      <c r="N1552" t="s">
        <v>3498</v>
      </c>
    </row>
    <row r="1553" spans="1:14" x14ac:dyDescent="0.25">
      <c r="A1553">
        <v>8592164</v>
      </c>
      <c r="B1553" t="s">
        <v>3499</v>
      </c>
      <c r="C1553" t="s">
        <v>242</v>
      </c>
      <c r="D1553" t="s">
        <v>86</v>
      </c>
      <c r="E1553" t="s">
        <v>87</v>
      </c>
      <c r="F1553" t="s">
        <v>55</v>
      </c>
      <c r="G1553">
        <v>5606</v>
      </c>
      <c r="H1553" t="s">
        <v>55</v>
      </c>
      <c r="I1553" t="s">
        <v>243</v>
      </c>
      <c r="K1553">
        <v>2542253</v>
      </c>
      <c r="L1553">
        <v>1150541</v>
      </c>
      <c r="M1553">
        <v>387</v>
      </c>
      <c r="N1553" t="s">
        <v>3500</v>
      </c>
    </row>
    <row r="1554" spans="1:14" x14ac:dyDescent="0.25">
      <c r="A1554">
        <v>8501122</v>
      </c>
      <c r="B1554" t="s">
        <v>55</v>
      </c>
      <c r="C1554" t="s">
        <v>132</v>
      </c>
      <c r="D1554" t="s">
        <v>112</v>
      </c>
      <c r="E1554" t="s">
        <v>87</v>
      </c>
      <c r="F1554" t="s">
        <v>55</v>
      </c>
      <c r="G1554">
        <v>5606</v>
      </c>
      <c r="H1554" t="s">
        <v>55</v>
      </c>
      <c r="I1554" t="s">
        <v>133</v>
      </c>
      <c r="K1554">
        <v>2542581.8790000002</v>
      </c>
      <c r="L1554">
        <v>1150549.814</v>
      </c>
      <c r="M1554">
        <v>402.06</v>
      </c>
      <c r="N1554" t="s">
        <v>3501</v>
      </c>
    </row>
    <row r="1555" spans="1:14" x14ac:dyDescent="0.25">
      <c r="A1555">
        <v>8580690</v>
      </c>
      <c r="B1555" t="s">
        <v>3502</v>
      </c>
      <c r="C1555" t="s">
        <v>94</v>
      </c>
      <c r="D1555" t="s">
        <v>86</v>
      </c>
      <c r="E1555" t="s">
        <v>87</v>
      </c>
      <c r="F1555" t="s">
        <v>3503</v>
      </c>
      <c r="G1555">
        <v>5790</v>
      </c>
      <c r="H1555" t="s">
        <v>3503</v>
      </c>
      <c r="I1555" t="s">
        <v>96</v>
      </c>
      <c r="K1555">
        <v>2556480</v>
      </c>
      <c r="L1555">
        <v>1155170</v>
      </c>
      <c r="M1555">
        <v>811</v>
      </c>
      <c r="N1555" t="s">
        <v>3504</v>
      </c>
    </row>
    <row r="1556" spans="1:14" x14ac:dyDescent="0.25">
      <c r="A1556">
        <v>8570444</v>
      </c>
      <c r="B1556" t="s">
        <v>3505</v>
      </c>
      <c r="C1556" t="s">
        <v>94</v>
      </c>
      <c r="D1556" t="s">
        <v>86</v>
      </c>
      <c r="E1556" t="s">
        <v>87</v>
      </c>
      <c r="F1556" t="s">
        <v>3503</v>
      </c>
      <c r="G1556">
        <v>5790</v>
      </c>
      <c r="H1556" t="s">
        <v>3503</v>
      </c>
      <c r="I1556" t="s">
        <v>96</v>
      </c>
      <c r="K1556">
        <v>2558260</v>
      </c>
      <c r="L1556">
        <v>1157164</v>
      </c>
      <c r="M1556">
        <v>839</v>
      </c>
      <c r="N1556" t="s">
        <v>3506</v>
      </c>
    </row>
    <row r="1557" spans="1:14" x14ac:dyDescent="0.25">
      <c r="A1557">
        <v>8570443</v>
      </c>
      <c r="B1557" t="s">
        <v>3507</v>
      </c>
      <c r="C1557" t="s">
        <v>94</v>
      </c>
      <c r="D1557" t="s">
        <v>86</v>
      </c>
      <c r="E1557" t="s">
        <v>87</v>
      </c>
      <c r="F1557" t="s">
        <v>3503</v>
      </c>
      <c r="G1557">
        <v>5790</v>
      </c>
      <c r="H1557" t="s">
        <v>3503</v>
      </c>
      <c r="I1557" t="s">
        <v>96</v>
      </c>
      <c r="K1557">
        <v>2556634</v>
      </c>
      <c r="L1557">
        <v>1155526</v>
      </c>
      <c r="M1557">
        <v>824</v>
      </c>
      <c r="N1557" t="s">
        <v>3508</v>
      </c>
    </row>
    <row r="1558" spans="1:14" x14ac:dyDescent="0.25">
      <c r="A1558">
        <v>8570445</v>
      </c>
      <c r="B1558" t="s">
        <v>3509</v>
      </c>
      <c r="C1558" t="s">
        <v>94</v>
      </c>
      <c r="D1558" t="s">
        <v>86</v>
      </c>
      <c r="E1558" t="s">
        <v>87</v>
      </c>
      <c r="F1558" t="s">
        <v>3503</v>
      </c>
      <c r="G1558">
        <v>5790</v>
      </c>
      <c r="H1558" t="s">
        <v>3503</v>
      </c>
      <c r="I1558" t="s">
        <v>96</v>
      </c>
      <c r="K1558">
        <v>2558529</v>
      </c>
      <c r="L1558">
        <v>1157228</v>
      </c>
      <c r="M1558">
        <v>829</v>
      </c>
      <c r="N1558" t="s">
        <v>3510</v>
      </c>
    </row>
    <row r="1559" spans="1:14" x14ac:dyDescent="0.25">
      <c r="A1559">
        <v>8501854</v>
      </c>
      <c r="B1559" t="s">
        <v>3511</v>
      </c>
      <c r="C1559" t="s">
        <v>94</v>
      </c>
      <c r="D1559" t="s">
        <v>86</v>
      </c>
      <c r="E1559" t="s">
        <v>87</v>
      </c>
      <c r="F1559" t="s">
        <v>3512</v>
      </c>
      <c r="G1559">
        <v>5430</v>
      </c>
      <c r="H1559" t="s">
        <v>3512</v>
      </c>
      <c r="I1559" t="s">
        <v>96</v>
      </c>
      <c r="K1559">
        <v>2508509</v>
      </c>
      <c r="L1559">
        <v>1149366</v>
      </c>
      <c r="M1559">
        <v>825</v>
      </c>
      <c r="N1559" t="s">
        <v>3513</v>
      </c>
    </row>
    <row r="1560" spans="1:14" x14ac:dyDescent="0.25">
      <c r="A1560">
        <v>8583484</v>
      </c>
      <c r="B1560" t="s">
        <v>3514</v>
      </c>
      <c r="C1560" t="s">
        <v>94</v>
      </c>
      <c r="D1560" t="s">
        <v>86</v>
      </c>
      <c r="E1560" t="s">
        <v>87</v>
      </c>
      <c r="F1560" t="s">
        <v>3512</v>
      </c>
      <c r="G1560">
        <v>5430</v>
      </c>
      <c r="H1560" t="s">
        <v>3512</v>
      </c>
      <c r="I1560" t="s">
        <v>96</v>
      </c>
      <c r="K1560">
        <v>2508875</v>
      </c>
      <c r="L1560">
        <v>1148148</v>
      </c>
      <c r="M1560">
        <v>750</v>
      </c>
      <c r="N1560" t="s">
        <v>3515</v>
      </c>
    </row>
    <row r="1561" spans="1:14" x14ac:dyDescent="0.25">
      <c r="A1561">
        <v>8511685</v>
      </c>
      <c r="B1561" t="s">
        <v>3516</v>
      </c>
      <c r="C1561" t="s">
        <v>94</v>
      </c>
      <c r="D1561" t="s">
        <v>86</v>
      </c>
      <c r="E1561" t="s">
        <v>87</v>
      </c>
      <c r="F1561" t="s">
        <v>3517</v>
      </c>
      <c r="G1561">
        <v>5919</v>
      </c>
      <c r="H1561" t="s">
        <v>3517</v>
      </c>
      <c r="I1561" t="s">
        <v>96</v>
      </c>
      <c r="K1561">
        <v>2533222.3056299998</v>
      </c>
      <c r="L1561">
        <v>1179806.4999299999</v>
      </c>
      <c r="M1561">
        <v>443.4</v>
      </c>
      <c r="N1561" t="s">
        <v>3518</v>
      </c>
    </row>
    <row r="1562" spans="1:14" x14ac:dyDescent="0.25">
      <c r="A1562">
        <v>8507686</v>
      </c>
      <c r="B1562" t="s">
        <v>3519</v>
      </c>
      <c r="C1562" t="s">
        <v>94</v>
      </c>
      <c r="D1562" t="s">
        <v>86</v>
      </c>
      <c r="E1562" t="s">
        <v>87</v>
      </c>
      <c r="F1562" t="s">
        <v>3517</v>
      </c>
      <c r="G1562">
        <v>5919</v>
      </c>
      <c r="H1562" t="s">
        <v>3517</v>
      </c>
      <c r="I1562" t="s">
        <v>96</v>
      </c>
      <c r="K1562">
        <v>2533339</v>
      </c>
      <c r="L1562">
        <v>1179946</v>
      </c>
      <c r="M1562">
        <v>444</v>
      </c>
      <c r="N1562" t="s">
        <v>3520</v>
      </c>
    </row>
    <row r="1563" spans="1:14" x14ac:dyDescent="0.25">
      <c r="A1563">
        <v>8570242</v>
      </c>
      <c r="B1563" t="s">
        <v>3521</v>
      </c>
      <c r="C1563" t="s">
        <v>94</v>
      </c>
      <c r="D1563" t="s">
        <v>86</v>
      </c>
      <c r="E1563" t="s">
        <v>87</v>
      </c>
      <c r="F1563" t="s">
        <v>3517</v>
      </c>
      <c r="G1563">
        <v>5919</v>
      </c>
      <c r="H1563" t="s">
        <v>3517</v>
      </c>
      <c r="I1563" t="s">
        <v>96</v>
      </c>
      <c r="K1563">
        <v>2532649</v>
      </c>
      <c r="L1563">
        <v>1180008</v>
      </c>
      <c r="M1563">
        <v>448</v>
      </c>
      <c r="N1563" t="s">
        <v>3522</v>
      </c>
    </row>
    <row r="1564" spans="1:14" x14ac:dyDescent="0.25">
      <c r="A1564">
        <v>8570269</v>
      </c>
      <c r="B1564" t="s">
        <v>3523</v>
      </c>
      <c r="C1564" t="s">
        <v>94</v>
      </c>
      <c r="D1564" t="s">
        <v>86</v>
      </c>
      <c r="E1564" t="s">
        <v>87</v>
      </c>
      <c r="F1564" t="s">
        <v>3524</v>
      </c>
      <c r="G1564">
        <v>5562</v>
      </c>
      <c r="H1564" t="s">
        <v>3524</v>
      </c>
      <c r="I1564" t="s">
        <v>96</v>
      </c>
      <c r="K1564">
        <v>2537073</v>
      </c>
      <c r="L1564">
        <v>1189685</v>
      </c>
      <c r="M1564">
        <v>1185</v>
      </c>
      <c r="N1564" t="s">
        <v>3525</v>
      </c>
    </row>
    <row r="1565" spans="1:14" x14ac:dyDescent="0.25">
      <c r="A1565">
        <v>8504277</v>
      </c>
      <c r="B1565" t="s">
        <v>3526</v>
      </c>
      <c r="C1565" t="s">
        <v>338</v>
      </c>
      <c r="D1565" t="s">
        <v>86</v>
      </c>
      <c r="E1565" t="s">
        <v>87</v>
      </c>
      <c r="F1565" t="s">
        <v>3524</v>
      </c>
      <c r="G1565">
        <v>5562</v>
      </c>
      <c r="H1565" t="s">
        <v>3524</v>
      </c>
      <c r="I1565" t="s">
        <v>340</v>
      </c>
      <c r="K1565">
        <v>2536403</v>
      </c>
      <c r="L1565">
        <v>1189869</v>
      </c>
      <c r="M1565">
        <v>1206</v>
      </c>
      <c r="N1565" t="s">
        <v>3527</v>
      </c>
    </row>
    <row r="1566" spans="1:14" x14ac:dyDescent="0.25">
      <c r="A1566">
        <v>8581510</v>
      </c>
      <c r="B1566" t="s">
        <v>3528</v>
      </c>
      <c r="C1566" t="s">
        <v>94</v>
      </c>
      <c r="D1566" t="s">
        <v>86</v>
      </c>
      <c r="E1566" t="s">
        <v>87</v>
      </c>
      <c r="F1566" t="s">
        <v>3524</v>
      </c>
      <c r="G1566">
        <v>5562</v>
      </c>
      <c r="H1566" t="s">
        <v>3524</v>
      </c>
      <c r="I1566" t="s">
        <v>96</v>
      </c>
      <c r="K1566">
        <v>2537313</v>
      </c>
      <c r="L1566">
        <v>1189735</v>
      </c>
      <c r="M1566">
        <v>1174</v>
      </c>
      <c r="N1566" t="s">
        <v>3529</v>
      </c>
    </row>
    <row r="1567" spans="1:14" x14ac:dyDescent="0.25">
      <c r="A1567">
        <v>8502505</v>
      </c>
      <c r="B1567" t="s">
        <v>3530</v>
      </c>
      <c r="C1567" t="s">
        <v>94</v>
      </c>
      <c r="D1567" t="s">
        <v>86</v>
      </c>
      <c r="E1567" t="s">
        <v>87</v>
      </c>
      <c r="F1567" t="s">
        <v>3524</v>
      </c>
      <c r="G1567">
        <v>5562</v>
      </c>
      <c r="H1567" t="s">
        <v>3524</v>
      </c>
      <c r="I1567" t="s">
        <v>96</v>
      </c>
      <c r="K1567">
        <v>2537123</v>
      </c>
      <c r="L1567">
        <v>1189363</v>
      </c>
      <c r="M1567">
        <v>1091</v>
      </c>
      <c r="N1567" t="s">
        <v>3531</v>
      </c>
    </row>
    <row r="1568" spans="1:14" x14ac:dyDescent="0.25">
      <c r="A1568">
        <v>8588853</v>
      </c>
      <c r="B1568" t="s">
        <v>3532</v>
      </c>
      <c r="C1568" t="s">
        <v>242</v>
      </c>
      <c r="D1568" t="s">
        <v>86</v>
      </c>
      <c r="E1568" t="s">
        <v>87</v>
      </c>
      <c r="F1568" t="s">
        <v>3533</v>
      </c>
      <c r="G1568">
        <v>5489</v>
      </c>
      <c r="H1568" t="s">
        <v>3534</v>
      </c>
      <c r="I1568" t="s">
        <v>243</v>
      </c>
      <c r="K1568">
        <v>2532198.5611700001</v>
      </c>
      <c r="L1568">
        <v>1158917.4341899999</v>
      </c>
      <c r="M1568">
        <v>491</v>
      </c>
      <c r="N1568" t="s">
        <v>3535</v>
      </c>
    </row>
    <row r="1569" spans="1:14" x14ac:dyDescent="0.25">
      <c r="A1569">
        <v>8588854</v>
      </c>
      <c r="B1569" t="s">
        <v>3536</v>
      </c>
      <c r="C1569" t="s">
        <v>242</v>
      </c>
      <c r="D1569" t="s">
        <v>86</v>
      </c>
      <c r="E1569" t="s">
        <v>87</v>
      </c>
      <c r="F1569" t="s">
        <v>3533</v>
      </c>
      <c r="G1569">
        <v>5489</v>
      </c>
      <c r="H1569" t="s">
        <v>3534</v>
      </c>
      <c r="I1569" t="s">
        <v>243</v>
      </c>
      <c r="J1569" t="s">
        <v>3537</v>
      </c>
      <c r="K1569">
        <v>2532079</v>
      </c>
      <c r="L1569">
        <v>1158147</v>
      </c>
      <c r="M1569">
        <v>481</v>
      </c>
      <c r="N1569" t="s">
        <v>3538</v>
      </c>
    </row>
    <row r="1570" spans="1:14" x14ac:dyDescent="0.25">
      <c r="A1570">
        <v>8588851</v>
      </c>
      <c r="B1570" t="s">
        <v>3539</v>
      </c>
      <c r="C1570" t="s">
        <v>242</v>
      </c>
      <c r="D1570" t="s">
        <v>86</v>
      </c>
      <c r="E1570" t="s">
        <v>87</v>
      </c>
      <c r="F1570" t="s">
        <v>3533</v>
      </c>
      <c r="G1570">
        <v>5489</v>
      </c>
      <c r="H1570" t="s">
        <v>3534</v>
      </c>
      <c r="I1570" t="s">
        <v>243</v>
      </c>
      <c r="K1570">
        <v>2532806.0010000002</v>
      </c>
      <c r="L1570">
        <v>1158614.733</v>
      </c>
      <c r="M1570">
        <v>545</v>
      </c>
      <c r="N1570" t="s">
        <v>3540</v>
      </c>
    </row>
    <row r="1571" spans="1:14" x14ac:dyDescent="0.25">
      <c r="A1571">
        <v>8588850</v>
      </c>
      <c r="B1571" t="s">
        <v>3541</v>
      </c>
      <c r="C1571" t="s">
        <v>242</v>
      </c>
      <c r="D1571" t="s">
        <v>86</v>
      </c>
      <c r="E1571" t="s">
        <v>87</v>
      </c>
      <c r="F1571" t="s">
        <v>3533</v>
      </c>
      <c r="G1571">
        <v>5489</v>
      </c>
      <c r="H1571" t="s">
        <v>3534</v>
      </c>
      <c r="I1571" t="s">
        <v>243</v>
      </c>
      <c r="K1571">
        <v>2533130</v>
      </c>
      <c r="L1571">
        <v>1158729</v>
      </c>
      <c r="M1571">
        <v>560</v>
      </c>
      <c r="N1571" t="s">
        <v>3542</v>
      </c>
    </row>
    <row r="1572" spans="1:14" x14ac:dyDescent="0.25">
      <c r="A1572">
        <v>8511404</v>
      </c>
      <c r="B1572" t="s">
        <v>3543</v>
      </c>
      <c r="C1572" t="s">
        <v>206</v>
      </c>
      <c r="D1572" t="s">
        <v>86</v>
      </c>
      <c r="E1572" t="s">
        <v>87</v>
      </c>
      <c r="F1572" t="s">
        <v>3544</v>
      </c>
      <c r="G1572">
        <v>5723</v>
      </c>
      <c r="H1572" t="s">
        <v>3544</v>
      </c>
      <c r="I1572" t="s">
        <v>208</v>
      </c>
      <c r="K1572">
        <v>2502387.41805</v>
      </c>
      <c r="L1572">
        <v>1129250.47807</v>
      </c>
      <c r="M1572">
        <v>409</v>
      </c>
      <c r="N1572" t="s">
        <v>3545</v>
      </c>
    </row>
    <row r="1573" spans="1:14" x14ac:dyDescent="0.25">
      <c r="A1573">
        <v>8501014</v>
      </c>
      <c r="B1573" t="s">
        <v>3544</v>
      </c>
      <c r="C1573" t="s">
        <v>132</v>
      </c>
      <c r="D1573" t="s">
        <v>112</v>
      </c>
      <c r="E1573" t="s">
        <v>87</v>
      </c>
      <c r="F1573" t="s">
        <v>3544</v>
      </c>
      <c r="G1573">
        <v>5723</v>
      </c>
      <c r="H1573" t="s">
        <v>3544</v>
      </c>
      <c r="I1573" t="s">
        <v>133</v>
      </c>
      <c r="K1573">
        <v>2502072.9652</v>
      </c>
      <c r="L1573">
        <v>1128248.1856</v>
      </c>
      <c r="M1573">
        <v>396</v>
      </c>
      <c r="N1573" t="s">
        <v>3546</v>
      </c>
    </row>
    <row r="1574" spans="1:14" x14ac:dyDescent="0.25">
      <c r="A1574">
        <v>8596097</v>
      </c>
      <c r="B1574" t="s">
        <v>3547</v>
      </c>
      <c r="C1574" t="s">
        <v>206</v>
      </c>
      <c r="D1574" t="s">
        <v>86</v>
      </c>
      <c r="E1574" t="s">
        <v>87</v>
      </c>
      <c r="F1574" t="s">
        <v>3544</v>
      </c>
      <c r="G1574">
        <v>5723</v>
      </c>
      <c r="H1574" t="s">
        <v>3544</v>
      </c>
      <c r="I1574" t="s">
        <v>208</v>
      </c>
      <c r="K1574">
        <v>2502195</v>
      </c>
      <c r="L1574">
        <v>1128343</v>
      </c>
      <c r="M1574">
        <v>389</v>
      </c>
      <c r="N1574" t="s">
        <v>3548</v>
      </c>
    </row>
    <row r="1575" spans="1:14" x14ac:dyDescent="0.25">
      <c r="A1575">
        <v>8577643</v>
      </c>
      <c r="B1575" t="s">
        <v>3549</v>
      </c>
      <c r="C1575" t="s">
        <v>297</v>
      </c>
      <c r="D1575" t="s">
        <v>86</v>
      </c>
      <c r="E1575" t="s">
        <v>87</v>
      </c>
      <c r="F1575" t="s">
        <v>3550</v>
      </c>
      <c r="G1575">
        <v>5821</v>
      </c>
      <c r="H1575" t="s">
        <v>3550</v>
      </c>
      <c r="I1575" t="s">
        <v>298</v>
      </c>
      <c r="K1575">
        <v>2564452.3109400002</v>
      </c>
      <c r="L1575">
        <v>1192416.86102</v>
      </c>
      <c r="M1575">
        <v>453.3</v>
      </c>
      <c r="N1575" t="s">
        <v>3551</v>
      </c>
    </row>
    <row r="1576" spans="1:14" x14ac:dyDescent="0.25">
      <c r="A1576">
        <v>8504973</v>
      </c>
      <c r="B1576" t="s">
        <v>3552</v>
      </c>
      <c r="C1576" t="s">
        <v>297</v>
      </c>
      <c r="D1576" t="s">
        <v>86</v>
      </c>
      <c r="E1576" t="s">
        <v>87</v>
      </c>
      <c r="F1576" t="s">
        <v>3550</v>
      </c>
      <c r="G1576">
        <v>5821</v>
      </c>
      <c r="H1576" t="s">
        <v>3550</v>
      </c>
      <c r="I1576" t="s">
        <v>298</v>
      </c>
      <c r="K1576">
        <v>2564086.9853099999</v>
      </c>
      <c r="L1576">
        <v>1192015.7019700001</v>
      </c>
      <c r="M1576">
        <v>440.2</v>
      </c>
      <c r="N1576" t="s">
        <v>3553</v>
      </c>
    </row>
    <row r="1577" spans="1:14" x14ac:dyDescent="0.25">
      <c r="A1577">
        <v>8570147</v>
      </c>
      <c r="B1577" t="s">
        <v>3554</v>
      </c>
      <c r="C1577" t="s">
        <v>85</v>
      </c>
      <c r="D1577" t="s">
        <v>86</v>
      </c>
      <c r="E1577" t="s">
        <v>87</v>
      </c>
      <c r="F1577" t="s">
        <v>3555</v>
      </c>
      <c r="G1577">
        <v>5490</v>
      </c>
      <c r="H1577" t="s">
        <v>3556</v>
      </c>
      <c r="I1577" t="s">
        <v>89</v>
      </c>
      <c r="K1577">
        <v>2524588.8462</v>
      </c>
      <c r="L1577">
        <v>1166855.2821200001</v>
      </c>
      <c r="M1577">
        <v>624.20000000000005</v>
      </c>
      <c r="N1577" t="s">
        <v>3557</v>
      </c>
    </row>
    <row r="1578" spans="1:14" x14ac:dyDescent="0.25">
      <c r="A1578">
        <v>8570114</v>
      </c>
      <c r="B1578" t="s">
        <v>3558</v>
      </c>
      <c r="C1578" t="s">
        <v>85</v>
      </c>
      <c r="D1578" t="s">
        <v>86</v>
      </c>
      <c r="E1578" t="s">
        <v>87</v>
      </c>
      <c r="F1578" t="s">
        <v>3559</v>
      </c>
      <c r="G1578">
        <v>5431</v>
      </c>
      <c r="H1578" t="s">
        <v>3560</v>
      </c>
      <c r="I1578" t="s">
        <v>89</v>
      </c>
      <c r="K1578">
        <v>2517592.0637500002</v>
      </c>
      <c r="L1578">
        <v>1158963.14442</v>
      </c>
      <c r="M1578">
        <v>738.8</v>
      </c>
      <c r="N1578" t="s">
        <v>3561</v>
      </c>
    </row>
    <row r="1579" spans="1:14" x14ac:dyDescent="0.25">
      <c r="A1579">
        <v>8570115</v>
      </c>
      <c r="B1579" t="s">
        <v>3562</v>
      </c>
      <c r="C1579" t="s">
        <v>85</v>
      </c>
      <c r="D1579" t="s">
        <v>86</v>
      </c>
      <c r="E1579" t="s">
        <v>87</v>
      </c>
      <c r="F1579" t="s">
        <v>3559</v>
      </c>
      <c r="G1579">
        <v>5431</v>
      </c>
      <c r="H1579" t="s">
        <v>3560</v>
      </c>
      <c r="I1579" t="s">
        <v>89</v>
      </c>
      <c r="K1579">
        <v>2517263.0901600001</v>
      </c>
      <c r="L1579">
        <v>1158473.6145800001</v>
      </c>
      <c r="M1579">
        <v>727.3</v>
      </c>
      <c r="N1579" t="s">
        <v>3563</v>
      </c>
    </row>
    <row r="1580" spans="1:14" x14ac:dyDescent="0.25">
      <c r="A1580">
        <v>8570116</v>
      </c>
      <c r="B1580" t="s">
        <v>3564</v>
      </c>
      <c r="C1580" t="s">
        <v>85</v>
      </c>
      <c r="D1580" t="s">
        <v>86</v>
      </c>
      <c r="E1580" t="s">
        <v>87</v>
      </c>
      <c r="F1580" t="s">
        <v>3559</v>
      </c>
      <c r="G1580">
        <v>5431</v>
      </c>
      <c r="H1580" t="s">
        <v>3560</v>
      </c>
      <c r="I1580" t="s">
        <v>89</v>
      </c>
      <c r="K1580">
        <v>2516667.3624300002</v>
      </c>
      <c r="L1580">
        <v>1157725.41604</v>
      </c>
      <c r="M1580">
        <v>722.7</v>
      </c>
      <c r="N1580" t="s">
        <v>3565</v>
      </c>
    </row>
    <row r="1581" spans="1:14" x14ac:dyDescent="0.25">
      <c r="A1581">
        <v>8570113</v>
      </c>
      <c r="B1581" t="s">
        <v>3566</v>
      </c>
      <c r="C1581" t="s">
        <v>85</v>
      </c>
      <c r="D1581" t="s">
        <v>86</v>
      </c>
      <c r="E1581" t="s">
        <v>87</v>
      </c>
      <c r="F1581" t="s">
        <v>3559</v>
      </c>
      <c r="G1581">
        <v>5431</v>
      </c>
      <c r="H1581" t="s">
        <v>3560</v>
      </c>
      <c r="I1581" t="s">
        <v>89</v>
      </c>
      <c r="K1581">
        <v>2517674.6544400002</v>
      </c>
      <c r="L1581">
        <v>1159307.14246</v>
      </c>
      <c r="M1581">
        <v>745</v>
      </c>
      <c r="N1581" t="s">
        <v>3567</v>
      </c>
    </row>
    <row r="1582" spans="1:14" x14ac:dyDescent="0.25">
      <c r="A1582">
        <v>8507689</v>
      </c>
      <c r="B1582" t="s">
        <v>3568</v>
      </c>
      <c r="C1582" t="s">
        <v>94</v>
      </c>
      <c r="D1582" t="s">
        <v>86</v>
      </c>
      <c r="E1582" t="s">
        <v>87</v>
      </c>
      <c r="F1582" t="s">
        <v>3569</v>
      </c>
      <c r="G1582">
        <v>5921</v>
      </c>
      <c r="H1582" t="s">
        <v>3569</v>
      </c>
      <c r="I1582" t="s">
        <v>96</v>
      </c>
      <c r="K1582">
        <v>2547364</v>
      </c>
      <c r="L1582">
        <v>1178938</v>
      </c>
      <c r="M1582">
        <v>615</v>
      </c>
      <c r="N1582" t="s">
        <v>3570</v>
      </c>
    </row>
    <row r="1583" spans="1:14" x14ac:dyDescent="0.25">
      <c r="A1583">
        <v>8594010</v>
      </c>
      <c r="B1583" t="s">
        <v>3571</v>
      </c>
      <c r="C1583" t="s">
        <v>338</v>
      </c>
      <c r="D1583" t="s">
        <v>86</v>
      </c>
      <c r="E1583" t="s">
        <v>87</v>
      </c>
      <c r="F1583" t="s">
        <v>3572</v>
      </c>
      <c r="G1583">
        <v>5922</v>
      </c>
      <c r="H1583" t="s">
        <v>3572</v>
      </c>
      <c r="I1583" t="s">
        <v>340</v>
      </c>
      <c r="K1583">
        <v>2537538</v>
      </c>
      <c r="L1583">
        <v>1182474.0009999999</v>
      </c>
      <c r="M1583">
        <v>435</v>
      </c>
      <c r="N1583" t="s">
        <v>3573</v>
      </c>
    </row>
    <row r="1584" spans="1:14" x14ac:dyDescent="0.25">
      <c r="A1584">
        <v>8594012</v>
      </c>
      <c r="B1584" t="s">
        <v>3574</v>
      </c>
      <c r="C1584" t="s">
        <v>338</v>
      </c>
      <c r="D1584" t="s">
        <v>86</v>
      </c>
      <c r="E1584" t="s">
        <v>87</v>
      </c>
      <c r="F1584" t="s">
        <v>3572</v>
      </c>
      <c r="G1584">
        <v>5922</v>
      </c>
      <c r="H1584" t="s">
        <v>3572</v>
      </c>
      <c r="I1584" t="s">
        <v>340</v>
      </c>
      <c r="K1584">
        <v>2537390</v>
      </c>
      <c r="L1584">
        <v>1182762</v>
      </c>
      <c r="M1584">
        <v>439</v>
      </c>
      <c r="N1584" t="s">
        <v>3575</v>
      </c>
    </row>
    <row r="1585" spans="1:14" x14ac:dyDescent="0.25">
      <c r="A1585">
        <v>8504291</v>
      </c>
      <c r="B1585" t="s">
        <v>3576</v>
      </c>
      <c r="C1585" t="s">
        <v>338</v>
      </c>
      <c r="D1585" t="s">
        <v>112</v>
      </c>
      <c r="E1585" t="s">
        <v>87</v>
      </c>
      <c r="F1585" t="s">
        <v>3572</v>
      </c>
      <c r="G1585">
        <v>5922</v>
      </c>
      <c r="H1585" t="s">
        <v>3572</v>
      </c>
      <c r="I1585" t="s">
        <v>372</v>
      </c>
      <c r="K1585">
        <v>2537516.4178999998</v>
      </c>
      <c r="L1585">
        <v>1182914.0027999999</v>
      </c>
      <c r="M1585">
        <v>440.7</v>
      </c>
      <c r="N1585" t="s">
        <v>3577</v>
      </c>
    </row>
    <row r="1586" spans="1:14" x14ac:dyDescent="0.25">
      <c r="A1586">
        <v>8510928</v>
      </c>
      <c r="B1586" t="s">
        <v>3578</v>
      </c>
      <c r="C1586" t="s">
        <v>338</v>
      </c>
      <c r="D1586" t="s">
        <v>86</v>
      </c>
      <c r="E1586" t="s">
        <v>87</v>
      </c>
      <c r="F1586" t="s">
        <v>3572</v>
      </c>
      <c r="G1586">
        <v>5922</v>
      </c>
      <c r="H1586" t="s">
        <v>3572</v>
      </c>
      <c r="I1586" t="s">
        <v>340</v>
      </c>
      <c r="K1586">
        <v>2537451.1430600001</v>
      </c>
      <c r="L1586">
        <v>1182908.3801800001</v>
      </c>
      <c r="M1586">
        <v>440</v>
      </c>
      <c r="N1586" t="s">
        <v>3579</v>
      </c>
    </row>
    <row r="1587" spans="1:14" x14ac:dyDescent="0.25">
      <c r="A1587">
        <v>8594014</v>
      </c>
      <c r="B1587" t="s">
        <v>3580</v>
      </c>
      <c r="C1587" t="s">
        <v>338</v>
      </c>
      <c r="D1587" t="s">
        <v>86</v>
      </c>
      <c r="E1587" t="s">
        <v>87</v>
      </c>
      <c r="F1587" t="s">
        <v>3572</v>
      </c>
      <c r="G1587">
        <v>5922</v>
      </c>
      <c r="H1587" t="s">
        <v>3572</v>
      </c>
      <c r="I1587" t="s">
        <v>340</v>
      </c>
      <c r="K1587">
        <v>2536900</v>
      </c>
      <c r="L1587">
        <v>1182617</v>
      </c>
      <c r="M1587">
        <v>449</v>
      </c>
      <c r="N1587" t="s">
        <v>3581</v>
      </c>
    </row>
    <row r="1588" spans="1:14" x14ac:dyDescent="0.25">
      <c r="A1588">
        <v>8594011</v>
      </c>
      <c r="B1588" t="s">
        <v>3582</v>
      </c>
      <c r="C1588" t="s">
        <v>338</v>
      </c>
      <c r="D1588" t="s">
        <v>86</v>
      </c>
      <c r="E1588" t="s">
        <v>87</v>
      </c>
      <c r="F1588" t="s">
        <v>3572</v>
      </c>
      <c r="G1588">
        <v>5922</v>
      </c>
      <c r="H1588" t="s">
        <v>3572</v>
      </c>
      <c r="I1588" t="s">
        <v>340</v>
      </c>
      <c r="K1588">
        <v>2536929</v>
      </c>
      <c r="L1588">
        <v>1182482.0009999999</v>
      </c>
      <c r="M1588">
        <v>448</v>
      </c>
      <c r="N1588" t="s">
        <v>3583</v>
      </c>
    </row>
    <row r="1589" spans="1:14" x14ac:dyDescent="0.25">
      <c r="A1589">
        <v>8594013</v>
      </c>
      <c r="B1589" t="s">
        <v>3584</v>
      </c>
      <c r="C1589" t="s">
        <v>338</v>
      </c>
      <c r="D1589" t="s">
        <v>86</v>
      </c>
      <c r="E1589" t="s">
        <v>87</v>
      </c>
      <c r="F1589" t="s">
        <v>3572</v>
      </c>
      <c r="G1589">
        <v>5922</v>
      </c>
      <c r="H1589" t="s">
        <v>3572</v>
      </c>
      <c r="I1589" t="s">
        <v>340</v>
      </c>
      <c r="K1589">
        <v>2537661.7345400001</v>
      </c>
      <c r="L1589">
        <v>1182384.4762200001</v>
      </c>
      <c r="M1589">
        <v>434</v>
      </c>
      <c r="N1589" t="s">
        <v>3585</v>
      </c>
    </row>
    <row r="1590" spans="1:14" x14ac:dyDescent="0.25">
      <c r="A1590">
        <v>8581514</v>
      </c>
      <c r="B1590" t="s">
        <v>3586</v>
      </c>
      <c r="C1590" t="s">
        <v>94</v>
      </c>
      <c r="D1590" t="s">
        <v>86</v>
      </c>
      <c r="E1590" t="s">
        <v>87</v>
      </c>
      <c r="F1590" t="s">
        <v>3587</v>
      </c>
      <c r="G1590">
        <v>5693</v>
      </c>
      <c r="H1590" t="s">
        <v>3588</v>
      </c>
      <c r="I1590" t="s">
        <v>96</v>
      </c>
      <c r="K1590">
        <v>2548626</v>
      </c>
      <c r="L1590">
        <v>1172122</v>
      </c>
      <c r="M1590">
        <v>794</v>
      </c>
      <c r="N1590" t="s">
        <v>3589</v>
      </c>
    </row>
    <row r="1591" spans="1:14" x14ac:dyDescent="0.25">
      <c r="A1591">
        <v>8507960</v>
      </c>
      <c r="B1591" t="s">
        <v>3590</v>
      </c>
      <c r="C1591" t="s">
        <v>94</v>
      </c>
      <c r="D1591" t="s">
        <v>86</v>
      </c>
      <c r="E1591" t="s">
        <v>87</v>
      </c>
      <c r="F1591" t="s">
        <v>3587</v>
      </c>
      <c r="G1591">
        <v>5693</v>
      </c>
      <c r="H1591" t="s">
        <v>3591</v>
      </c>
      <c r="I1591" t="s">
        <v>96</v>
      </c>
      <c r="K1591">
        <v>2546164</v>
      </c>
      <c r="L1591">
        <v>1171210</v>
      </c>
      <c r="M1591">
        <v>759</v>
      </c>
      <c r="N1591" t="s">
        <v>3592</v>
      </c>
    </row>
    <row r="1592" spans="1:14" x14ac:dyDescent="0.25">
      <c r="A1592">
        <v>8507963</v>
      </c>
      <c r="B1592" t="s">
        <v>3593</v>
      </c>
      <c r="C1592" t="s">
        <v>94</v>
      </c>
      <c r="D1592" t="s">
        <v>86</v>
      </c>
      <c r="E1592" t="s">
        <v>87</v>
      </c>
      <c r="F1592" t="s">
        <v>3587</v>
      </c>
      <c r="G1592">
        <v>5693</v>
      </c>
      <c r="H1592" t="s">
        <v>3588</v>
      </c>
      <c r="I1592" t="s">
        <v>96</v>
      </c>
      <c r="K1592">
        <v>2547654</v>
      </c>
      <c r="L1592">
        <v>1172711</v>
      </c>
      <c r="M1592">
        <v>773</v>
      </c>
      <c r="N1592" t="s">
        <v>3594</v>
      </c>
    </row>
    <row r="1593" spans="1:14" x14ac:dyDescent="0.25">
      <c r="A1593">
        <v>8507663</v>
      </c>
      <c r="B1593" t="s">
        <v>3595</v>
      </c>
      <c r="C1593" t="s">
        <v>94</v>
      </c>
      <c r="D1593" t="s">
        <v>86</v>
      </c>
      <c r="E1593" t="s">
        <v>87</v>
      </c>
      <c r="F1593" t="s">
        <v>3587</v>
      </c>
      <c r="G1593">
        <v>5693</v>
      </c>
      <c r="H1593" t="s">
        <v>3596</v>
      </c>
      <c r="I1593" t="s">
        <v>96</v>
      </c>
      <c r="K1593">
        <v>2544661</v>
      </c>
      <c r="L1593">
        <v>1168609</v>
      </c>
      <c r="M1593">
        <v>726</v>
      </c>
      <c r="N1593" t="s">
        <v>3597</v>
      </c>
    </row>
    <row r="1594" spans="1:14" x14ac:dyDescent="0.25">
      <c r="A1594">
        <v>8507665</v>
      </c>
      <c r="B1594" t="s">
        <v>3598</v>
      </c>
      <c r="C1594" t="s">
        <v>94</v>
      </c>
      <c r="D1594" t="s">
        <v>86</v>
      </c>
      <c r="E1594" t="s">
        <v>87</v>
      </c>
      <c r="F1594" t="s">
        <v>3587</v>
      </c>
      <c r="G1594">
        <v>5693</v>
      </c>
      <c r="H1594" t="s">
        <v>3599</v>
      </c>
      <c r="I1594" t="s">
        <v>96</v>
      </c>
      <c r="K1594">
        <v>2546372</v>
      </c>
      <c r="L1594">
        <v>1174073</v>
      </c>
      <c r="M1594">
        <v>750</v>
      </c>
      <c r="N1594" t="s">
        <v>3600</v>
      </c>
    </row>
    <row r="1595" spans="1:14" x14ac:dyDescent="0.25">
      <c r="A1595">
        <v>8507661</v>
      </c>
      <c r="B1595" t="s">
        <v>3601</v>
      </c>
      <c r="C1595" t="s">
        <v>94</v>
      </c>
      <c r="D1595" t="s">
        <v>86</v>
      </c>
      <c r="E1595" t="s">
        <v>87</v>
      </c>
      <c r="F1595" t="s">
        <v>3587</v>
      </c>
      <c r="G1595">
        <v>5693</v>
      </c>
      <c r="H1595" t="s">
        <v>3596</v>
      </c>
      <c r="I1595" t="s">
        <v>96</v>
      </c>
      <c r="K1595">
        <v>2546305</v>
      </c>
      <c r="L1595">
        <v>1168786</v>
      </c>
      <c r="M1595">
        <v>764</v>
      </c>
      <c r="N1595" t="s">
        <v>3602</v>
      </c>
    </row>
    <row r="1596" spans="1:14" x14ac:dyDescent="0.25">
      <c r="A1596">
        <v>8570355</v>
      </c>
      <c r="B1596" t="s">
        <v>3603</v>
      </c>
      <c r="C1596" t="s">
        <v>94</v>
      </c>
      <c r="D1596" t="s">
        <v>86</v>
      </c>
      <c r="E1596" t="s">
        <v>87</v>
      </c>
      <c r="F1596" t="s">
        <v>3587</v>
      </c>
      <c r="G1596">
        <v>5693</v>
      </c>
      <c r="H1596" t="s">
        <v>3588</v>
      </c>
      <c r="I1596" t="s">
        <v>96</v>
      </c>
      <c r="K1596">
        <v>2548025</v>
      </c>
      <c r="L1596">
        <v>1172459</v>
      </c>
      <c r="M1596">
        <v>806</v>
      </c>
      <c r="N1596" t="s">
        <v>3604</v>
      </c>
    </row>
    <row r="1597" spans="1:14" x14ac:dyDescent="0.25">
      <c r="A1597">
        <v>8570221</v>
      </c>
      <c r="B1597" t="s">
        <v>3605</v>
      </c>
      <c r="C1597" t="s">
        <v>94</v>
      </c>
      <c r="D1597" t="s">
        <v>86</v>
      </c>
      <c r="E1597" t="s">
        <v>87</v>
      </c>
      <c r="F1597" t="s">
        <v>3587</v>
      </c>
      <c r="G1597">
        <v>5693</v>
      </c>
      <c r="H1597" t="s">
        <v>3606</v>
      </c>
      <c r="I1597" t="s">
        <v>96</v>
      </c>
      <c r="K1597">
        <v>2543997</v>
      </c>
      <c r="L1597">
        <v>1168276</v>
      </c>
      <c r="M1597">
        <v>704</v>
      </c>
      <c r="N1597" t="s">
        <v>3607</v>
      </c>
    </row>
    <row r="1598" spans="1:14" x14ac:dyDescent="0.25">
      <c r="A1598">
        <v>8570369</v>
      </c>
      <c r="B1598" t="s">
        <v>3608</v>
      </c>
      <c r="C1598" t="s">
        <v>94</v>
      </c>
      <c r="D1598" t="s">
        <v>86</v>
      </c>
      <c r="E1598" t="s">
        <v>87</v>
      </c>
      <c r="F1598" t="s">
        <v>3587</v>
      </c>
      <c r="G1598">
        <v>5693</v>
      </c>
      <c r="H1598" t="s">
        <v>3609</v>
      </c>
      <c r="I1598" t="s">
        <v>96</v>
      </c>
      <c r="J1598" t="s">
        <v>1531</v>
      </c>
      <c r="K1598">
        <v>2550104</v>
      </c>
      <c r="L1598">
        <v>1174444</v>
      </c>
      <c r="M1598">
        <v>735</v>
      </c>
      <c r="N1598" t="s">
        <v>3610</v>
      </c>
    </row>
    <row r="1599" spans="1:14" x14ac:dyDescent="0.25">
      <c r="A1599">
        <v>8570372</v>
      </c>
      <c r="B1599" t="s">
        <v>3611</v>
      </c>
      <c r="C1599" t="s">
        <v>94</v>
      </c>
      <c r="D1599" t="s">
        <v>86</v>
      </c>
      <c r="E1599" t="s">
        <v>87</v>
      </c>
      <c r="F1599" t="s">
        <v>3587</v>
      </c>
      <c r="G1599">
        <v>5693</v>
      </c>
      <c r="H1599" t="s">
        <v>3588</v>
      </c>
      <c r="I1599" t="s">
        <v>96</v>
      </c>
      <c r="K1599">
        <v>2548099</v>
      </c>
      <c r="L1599">
        <v>1173152</v>
      </c>
      <c r="M1599">
        <v>769</v>
      </c>
      <c r="N1599" t="s">
        <v>3612</v>
      </c>
    </row>
    <row r="1600" spans="1:14" x14ac:dyDescent="0.25">
      <c r="A1600">
        <v>8570351</v>
      </c>
      <c r="B1600" t="s">
        <v>3613</v>
      </c>
      <c r="C1600" t="s">
        <v>94</v>
      </c>
      <c r="D1600" t="s">
        <v>86</v>
      </c>
      <c r="E1600" t="s">
        <v>87</v>
      </c>
      <c r="F1600" t="s">
        <v>3587</v>
      </c>
      <c r="G1600">
        <v>5693</v>
      </c>
      <c r="H1600" t="s">
        <v>3591</v>
      </c>
      <c r="I1600" t="s">
        <v>96</v>
      </c>
      <c r="K1600">
        <v>2546169</v>
      </c>
      <c r="L1600">
        <v>1170754</v>
      </c>
      <c r="M1600">
        <v>758</v>
      </c>
      <c r="N1600" t="s">
        <v>3614</v>
      </c>
    </row>
    <row r="1601" spans="1:14" x14ac:dyDescent="0.25">
      <c r="A1601">
        <v>8570352</v>
      </c>
      <c r="B1601" t="s">
        <v>3615</v>
      </c>
      <c r="C1601" t="s">
        <v>94</v>
      </c>
      <c r="D1601" t="s">
        <v>86</v>
      </c>
      <c r="E1601" t="s">
        <v>87</v>
      </c>
      <c r="F1601" t="s">
        <v>3587</v>
      </c>
      <c r="G1601">
        <v>5693</v>
      </c>
      <c r="H1601" t="s">
        <v>3588</v>
      </c>
      <c r="I1601" t="s">
        <v>96</v>
      </c>
      <c r="K1601">
        <v>2547171</v>
      </c>
      <c r="L1601">
        <v>1172272</v>
      </c>
      <c r="M1601">
        <v>767</v>
      </c>
      <c r="N1601" t="s">
        <v>3616</v>
      </c>
    </row>
    <row r="1602" spans="1:14" x14ac:dyDescent="0.25">
      <c r="A1602">
        <v>8570371</v>
      </c>
      <c r="B1602" t="s">
        <v>3617</v>
      </c>
      <c r="C1602" t="s">
        <v>94</v>
      </c>
      <c r="D1602" t="s">
        <v>86</v>
      </c>
      <c r="E1602" t="s">
        <v>87</v>
      </c>
      <c r="F1602" t="s">
        <v>3587</v>
      </c>
      <c r="G1602">
        <v>5693</v>
      </c>
      <c r="H1602" t="s">
        <v>3588</v>
      </c>
      <c r="I1602" t="s">
        <v>96</v>
      </c>
      <c r="K1602">
        <v>2548388</v>
      </c>
      <c r="L1602">
        <v>1173475</v>
      </c>
      <c r="M1602">
        <v>769</v>
      </c>
      <c r="N1602" t="s">
        <v>3618</v>
      </c>
    </row>
    <row r="1603" spans="1:14" x14ac:dyDescent="0.25">
      <c r="A1603">
        <v>8570354</v>
      </c>
      <c r="B1603" t="s">
        <v>3619</v>
      </c>
      <c r="C1603" t="s">
        <v>94</v>
      </c>
      <c r="D1603" t="s">
        <v>86</v>
      </c>
      <c r="E1603" t="s">
        <v>87</v>
      </c>
      <c r="F1603" t="s">
        <v>3587</v>
      </c>
      <c r="G1603">
        <v>5693</v>
      </c>
      <c r="H1603" t="s">
        <v>3620</v>
      </c>
      <c r="I1603" t="s">
        <v>96</v>
      </c>
      <c r="K1603">
        <v>2549569</v>
      </c>
      <c r="L1603">
        <v>1171466</v>
      </c>
      <c r="M1603">
        <v>775</v>
      </c>
      <c r="N1603" t="s">
        <v>3621</v>
      </c>
    </row>
    <row r="1604" spans="1:14" x14ac:dyDescent="0.25">
      <c r="A1604">
        <v>8570370</v>
      </c>
      <c r="B1604" t="s">
        <v>3622</v>
      </c>
      <c r="C1604" t="s">
        <v>94</v>
      </c>
      <c r="D1604" t="s">
        <v>86</v>
      </c>
      <c r="E1604" t="s">
        <v>87</v>
      </c>
      <c r="F1604" t="s">
        <v>3587</v>
      </c>
      <c r="G1604">
        <v>5693</v>
      </c>
      <c r="H1604" t="s">
        <v>3609</v>
      </c>
      <c r="I1604" t="s">
        <v>96</v>
      </c>
      <c r="K1604">
        <v>2549932</v>
      </c>
      <c r="L1604">
        <v>1174655</v>
      </c>
      <c r="M1604">
        <v>745</v>
      </c>
      <c r="N1604" t="s">
        <v>3623</v>
      </c>
    </row>
    <row r="1605" spans="1:14" x14ac:dyDescent="0.25">
      <c r="A1605">
        <v>8507660</v>
      </c>
      <c r="B1605" t="s">
        <v>3624</v>
      </c>
      <c r="C1605" t="s">
        <v>94</v>
      </c>
      <c r="D1605" t="s">
        <v>86</v>
      </c>
      <c r="E1605" t="s">
        <v>87</v>
      </c>
      <c r="F1605" t="s">
        <v>3587</v>
      </c>
      <c r="G1605">
        <v>5693</v>
      </c>
      <c r="H1605" t="s">
        <v>3625</v>
      </c>
      <c r="I1605" t="s">
        <v>96</v>
      </c>
      <c r="K1605">
        <v>2546773</v>
      </c>
      <c r="L1605">
        <v>1175564</v>
      </c>
      <c r="M1605">
        <v>757</v>
      </c>
      <c r="N1605" t="s">
        <v>3626</v>
      </c>
    </row>
    <row r="1606" spans="1:14" x14ac:dyDescent="0.25">
      <c r="A1606">
        <v>8570353</v>
      </c>
      <c r="B1606" t="s">
        <v>3627</v>
      </c>
      <c r="C1606" t="s">
        <v>94</v>
      </c>
      <c r="D1606" t="s">
        <v>86</v>
      </c>
      <c r="E1606" t="s">
        <v>87</v>
      </c>
      <c r="F1606" t="s">
        <v>3587</v>
      </c>
      <c r="G1606">
        <v>5693</v>
      </c>
      <c r="H1606" t="s">
        <v>3588</v>
      </c>
      <c r="I1606" t="s">
        <v>96</v>
      </c>
      <c r="K1606">
        <v>2547427</v>
      </c>
      <c r="L1606">
        <v>1172488</v>
      </c>
      <c r="M1606">
        <v>769</v>
      </c>
      <c r="N1606" t="s">
        <v>3628</v>
      </c>
    </row>
    <row r="1607" spans="1:14" x14ac:dyDescent="0.25">
      <c r="A1607">
        <v>8581512</v>
      </c>
      <c r="B1607" t="s">
        <v>3629</v>
      </c>
      <c r="C1607" t="s">
        <v>94</v>
      </c>
      <c r="D1607" t="s">
        <v>86</v>
      </c>
      <c r="E1607" t="s">
        <v>87</v>
      </c>
      <c r="F1607" t="s">
        <v>3587</v>
      </c>
      <c r="G1607">
        <v>5693</v>
      </c>
      <c r="H1607" t="s">
        <v>3591</v>
      </c>
      <c r="I1607" t="s">
        <v>96</v>
      </c>
      <c r="K1607">
        <v>2546236</v>
      </c>
      <c r="L1607">
        <v>1171425</v>
      </c>
      <c r="M1607">
        <v>763</v>
      </c>
      <c r="N1607" t="s">
        <v>3630</v>
      </c>
    </row>
    <row r="1608" spans="1:14" x14ac:dyDescent="0.25">
      <c r="A1608">
        <v>8581437</v>
      </c>
      <c r="B1608" t="s">
        <v>3631</v>
      </c>
      <c r="C1608" t="s">
        <v>94</v>
      </c>
      <c r="D1608" t="s">
        <v>86</v>
      </c>
      <c r="E1608" t="s">
        <v>87</v>
      </c>
      <c r="F1608" t="s">
        <v>3587</v>
      </c>
      <c r="G1608">
        <v>5693</v>
      </c>
      <c r="H1608" t="s">
        <v>3620</v>
      </c>
      <c r="I1608" t="s">
        <v>96</v>
      </c>
      <c r="K1608">
        <v>2550203</v>
      </c>
      <c r="L1608">
        <v>1171938</v>
      </c>
      <c r="M1608">
        <v>766</v>
      </c>
      <c r="N1608" t="s">
        <v>3632</v>
      </c>
    </row>
    <row r="1609" spans="1:14" x14ac:dyDescent="0.25">
      <c r="A1609">
        <v>8581943</v>
      </c>
      <c r="B1609" t="s">
        <v>3633</v>
      </c>
      <c r="C1609" t="s">
        <v>94</v>
      </c>
      <c r="D1609" t="s">
        <v>86</v>
      </c>
      <c r="E1609" t="s">
        <v>87</v>
      </c>
      <c r="F1609" t="s">
        <v>3587</v>
      </c>
      <c r="G1609">
        <v>5693</v>
      </c>
      <c r="H1609" t="s">
        <v>3588</v>
      </c>
      <c r="I1609" t="s">
        <v>96</v>
      </c>
      <c r="K1609">
        <v>2547890</v>
      </c>
      <c r="L1609">
        <v>1172946</v>
      </c>
      <c r="M1609">
        <v>771</v>
      </c>
      <c r="N1609" t="s">
        <v>3634</v>
      </c>
    </row>
    <row r="1610" spans="1:14" x14ac:dyDescent="0.25">
      <c r="A1610">
        <v>8583400</v>
      </c>
      <c r="B1610" t="s">
        <v>3635</v>
      </c>
      <c r="C1610" t="s">
        <v>94</v>
      </c>
      <c r="D1610" t="s">
        <v>86</v>
      </c>
      <c r="E1610" t="s">
        <v>87</v>
      </c>
      <c r="F1610" t="s">
        <v>3587</v>
      </c>
      <c r="G1610">
        <v>5693</v>
      </c>
      <c r="H1610" t="s">
        <v>3606</v>
      </c>
      <c r="I1610" t="s">
        <v>96</v>
      </c>
      <c r="K1610">
        <v>2543483</v>
      </c>
      <c r="L1610">
        <v>1167684</v>
      </c>
      <c r="M1610">
        <v>645</v>
      </c>
      <c r="N1610" t="s">
        <v>3636</v>
      </c>
    </row>
    <row r="1611" spans="1:14" x14ac:dyDescent="0.25">
      <c r="A1611">
        <v>8570317</v>
      </c>
      <c r="B1611" t="s">
        <v>3637</v>
      </c>
      <c r="C1611" t="s">
        <v>94</v>
      </c>
      <c r="D1611" t="s">
        <v>86</v>
      </c>
      <c r="E1611" t="s">
        <v>87</v>
      </c>
      <c r="F1611" t="s">
        <v>3587</v>
      </c>
      <c r="G1611">
        <v>5693</v>
      </c>
      <c r="H1611" t="s">
        <v>3588</v>
      </c>
      <c r="I1611" t="s">
        <v>96</v>
      </c>
      <c r="K1611">
        <v>2547510</v>
      </c>
      <c r="L1611">
        <v>1173138</v>
      </c>
      <c r="M1611">
        <v>747</v>
      </c>
      <c r="N1611" t="s">
        <v>3638</v>
      </c>
    </row>
    <row r="1612" spans="1:14" x14ac:dyDescent="0.25">
      <c r="A1612">
        <v>8570350</v>
      </c>
      <c r="B1612" t="s">
        <v>3639</v>
      </c>
      <c r="C1612" t="s">
        <v>94</v>
      </c>
      <c r="D1612" t="s">
        <v>86</v>
      </c>
      <c r="E1612" t="s">
        <v>87</v>
      </c>
      <c r="F1612" t="s">
        <v>3587</v>
      </c>
      <c r="G1612">
        <v>5693</v>
      </c>
      <c r="H1612" t="s">
        <v>3596</v>
      </c>
      <c r="I1612" t="s">
        <v>96</v>
      </c>
      <c r="K1612">
        <v>2546422</v>
      </c>
      <c r="L1612">
        <v>1169347</v>
      </c>
      <c r="M1612">
        <v>779</v>
      </c>
      <c r="N1612" t="s">
        <v>3640</v>
      </c>
    </row>
    <row r="1613" spans="1:14" x14ac:dyDescent="0.25">
      <c r="A1613">
        <v>8577281</v>
      </c>
      <c r="B1613" t="s">
        <v>3641</v>
      </c>
      <c r="C1613" t="s">
        <v>338</v>
      </c>
      <c r="D1613" t="s">
        <v>86</v>
      </c>
      <c r="E1613" t="s">
        <v>87</v>
      </c>
      <c r="F1613" t="s">
        <v>3642</v>
      </c>
      <c r="G1613">
        <v>5756</v>
      </c>
      <c r="H1613" t="s">
        <v>3642</v>
      </c>
      <c r="I1613" t="s">
        <v>340</v>
      </c>
      <c r="K1613">
        <v>2529336.2061800002</v>
      </c>
      <c r="L1613">
        <v>1175925.49217</v>
      </c>
      <c r="M1613">
        <v>525</v>
      </c>
      <c r="N1613" t="s">
        <v>3643</v>
      </c>
    </row>
    <row r="1614" spans="1:14" x14ac:dyDescent="0.25">
      <c r="A1614">
        <v>8511517</v>
      </c>
      <c r="B1614" t="s">
        <v>3644</v>
      </c>
      <c r="C1614" t="s">
        <v>338</v>
      </c>
      <c r="D1614" t="s">
        <v>86</v>
      </c>
      <c r="E1614" t="s">
        <v>87</v>
      </c>
      <c r="F1614" t="s">
        <v>3642</v>
      </c>
      <c r="G1614">
        <v>5756</v>
      </c>
      <c r="H1614" t="s">
        <v>3642</v>
      </c>
      <c r="I1614" t="s">
        <v>340</v>
      </c>
      <c r="K1614">
        <v>2528624.4458499998</v>
      </c>
      <c r="L1614">
        <v>1176358.33504</v>
      </c>
      <c r="M1614">
        <v>585</v>
      </c>
      <c r="N1614" t="s">
        <v>3645</v>
      </c>
    </row>
    <row r="1615" spans="1:14" x14ac:dyDescent="0.25">
      <c r="A1615">
        <v>8579103</v>
      </c>
      <c r="B1615" t="s">
        <v>3646</v>
      </c>
      <c r="C1615" t="s">
        <v>338</v>
      </c>
      <c r="D1615" t="s">
        <v>86</v>
      </c>
      <c r="E1615" t="s">
        <v>87</v>
      </c>
      <c r="F1615" t="s">
        <v>3642</v>
      </c>
      <c r="G1615">
        <v>5756</v>
      </c>
      <c r="H1615" t="s">
        <v>3642</v>
      </c>
      <c r="I1615" t="s">
        <v>340</v>
      </c>
      <c r="K1615">
        <v>2529040.4325299999</v>
      </c>
      <c r="L1615">
        <v>1176115.86677</v>
      </c>
      <c r="M1615">
        <v>556</v>
      </c>
      <c r="N1615" t="s">
        <v>3647</v>
      </c>
    </row>
    <row r="1616" spans="1:14" x14ac:dyDescent="0.25">
      <c r="A1616">
        <v>8579115</v>
      </c>
      <c r="B1616" t="s">
        <v>3648</v>
      </c>
      <c r="C1616" t="s">
        <v>338</v>
      </c>
      <c r="D1616" t="s">
        <v>86</v>
      </c>
      <c r="E1616" t="s">
        <v>87</v>
      </c>
      <c r="F1616" t="s">
        <v>3642</v>
      </c>
      <c r="G1616">
        <v>5756</v>
      </c>
      <c r="H1616" t="s">
        <v>3642</v>
      </c>
      <c r="I1616" t="s">
        <v>340</v>
      </c>
      <c r="K1616">
        <v>2528949.4815699998</v>
      </c>
      <c r="L1616">
        <v>1176263.4304299999</v>
      </c>
      <c r="M1616">
        <v>564</v>
      </c>
      <c r="N1616" t="s">
        <v>3649</v>
      </c>
    </row>
    <row r="1617" spans="1:14" x14ac:dyDescent="0.25">
      <c r="A1617">
        <v>8570220</v>
      </c>
      <c r="B1617" t="s">
        <v>3650</v>
      </c>
      <c r="C1617" t="s">
        <v>94</v>
      </c>
      <c r="D1617" t="s">
        <v>86</v>
      </c>
      <c r="E1617" t="s">
        <v>87</v>
      </c>
      <c r="F1617" t="s">
        <v>3651</v>
      </c>
      <c r="G1617">
        <v>5540</v>
      </c>
      <c r="H1617" t="s">
        <v>3652</v>
      </c>
      <c r="I1617" t="s">
        <v>96</v>
      </c>
      <c r="K1617">
        <v>2543174</v>
      </c>
      <c r="L1617">
        <v>1167750</v>
      </c>
      <c r="M1617">
        <v>671</v>
      </c>
      <c r="N1617" t="s">
        <v>3653</v>
      </c>
    </row>
    <row r="1618" spans="1:14" x14ac:dyDescent="0.25">
      <c r="A1618">
        <v>8510736</v>
      </c>
      <c r="B1618" t="s">
        <v>3654</v>
      </c>
      <c r="C1618" t="s">
        <v>242</v>
      </c>
      <c r="D1618" t="s">
        <v>86</v>
      </c>
      <c r="E1618" t="s">
        <v>87</v>
      </c>
      <c r="F1618" t="s">
        <v>3651</v>
      </c>
      <c r="G1618">
        <v>5540</v>
      </c>
      <c r="H1618" t="s">
        <v>3655</v>
      </c>
      <c r="I1618" t="s">
        <v>243</v>
      </c>
      <c r="K1618">
        <v>2540897.1228200002</v>
      </c>
      <c r="L1618">
        <v>1167408.93744</v>
      </c>
      <c r="M1618">
        <v>648</v>
      </c>
      <c r="N1618" t="s">
        <v>3656</v>
      </c>
    </row>
    <row r="1619" spans="1:14" x14ac:dyDescent="0.25">
      <c r="A1619">
        <v>8570215</v>
      </c>
      <c r="B1619" t="s">
        <v>3657</v>
      </c>
      <c r="C1619" t="s">
        <v>94</v>
      </c>
      <c r="D1619" t="s">
        <v>86</v>
      </c>
      <c r="E1619" t="s">
        <v>87</v>
      </c>
      <c r="F1619" t="s">
        <v>3651</v>
      </c>
      <c r="G1619">
        <v>5540</v>
      </c>
      <c r="H1619" t="s">
        <v>3658</v>
      </c>
      <c r="I1619" t="s">
        <v>96</v>
      </c>
      <c r="K1619">
        <v>2543621</v>
      </c>
      <c r="L1619">
        <v>1166712</v>
      </c>
      <c r="M1619">
        <v>731</v>
      </c>
      <c r="N1619" t="s">
        <v>3659</v>
      </c>
    </row>
    <row r="1620" spans="1:14" x14ac:dyDescent="0.25">
      <c r="A1620">
        <v>8570206</v>
      </c>
      <c r="B1620" t="s">
        <v>3660</v>
      </c>
      <c r="C1620" t="s">
        <v>94</v>
      </c>
      <c r="D1620" t="s">
        <v>86</v>
      </c>
      <c r="E1620" t="s">
        <v>87</v>
      </c>
      <c r="F1620" t="s">
        <v>3651</v>
      </c>
      <c r="G1620">
        <v>5540</v>
      </c>
      <c r="H1620" t="s">
        <v>3661</v>
      </c>
      <c r="I1620" t="s">
        <v>96</v>
      </c>
      <c r="K1620">
        <v>2540405</v>
      </c>
      <c r="L1620">
        <v>1165365</v>
      </c>
      <c r="M1620">
        <v>681</v>
      </c>
      <c r="N1620" t="s">
        <v>3662</v>
      </c>
    </row>
    <row r="1621" spans="1:14" x14ac:dyDescent="0.25">
      <c r="A1621">
        <v>8570208</v>
      </c>
      <c r="B1621" t="s">
        <v>3663</v>
      </c>
      <c r="C1621" t="s">
        <v>94</v>
      </c>
      <c r="D1621" t="s">
        <v>86</v>
      </c>
      <c r="E1621" t="s">
        <v>87</v>
      </c>
      <c r="F1621" t="s">
        <v>3651</v>
      </c>
      <c r="G1621">
        <v>5540</v>
      </c>
      <c r="H1621" t="s">
        <v>3661</v>
      </c>
      <c r="I1621" t="s">
        <v>96</v>
      </c>
      <c r="K1621">
        <v>2541034</v>
      </c>
      <c r="L1621">
        <v>1165066</v>
      </c>
      <c r="M1621">
        <v>695</v>
      </c>
      <c r="N1621" t="s">
        <v>3664</v>
      </c>
    </row>
    <row r="1622" spans="1:14" x14ac:dyDescent="0.25">
      <c r="A1622">
        <v>8570209</v>
      </c>
      <c r="B1622" t="s">
        <v>3665</v>
      </c>
      <c r="C1622" t="s">
        <v>94</v>
      </c>
      <c r="D1622" t="s">
        <v>86</v>
      </c>
      <c r="E1622" t="s">
        <v>87</v>
      </c>
      <c r="F1622" t="s">
        <v>3651</v>
      </c>
      <c r="G1622">
        <v>5540</v>
      </c>
      <c r="H1622" t="s">
        <v>3661</v>
      </c>
      <c r="I1622" t="s">
        <v>96</v>
      </c>
      <c r="K1622">
        <v>2541502</v>
      </c>
      <c r="L1622">
        <v>1165417</v>
      </c>
      <c r="M1622">
        <v>695</v>
      </c>
      <c r="N1622" t="s">
        <v>3666</v>
      </c>
    </row>
    <row r="1623" spans="1:14" x14ac:dyDescent="0.25">
      <c r="A1623">
        <v>8501175</v>
      </c>
      <c r="B1623" t="s">
        <v>3655</v>
      </c>
      <c r="C1623" t="s">
        <v>238</v>
      </c>
      <c r="D1623" t="s">
        <v>112</v>
      </c>
      <c r="E1623" t="s">
        <v>87</v>
      </c>
      <c r="F1623" t="s">
        <v>3651</v>
      </c>
      <c r="G1623">
        <v>5540</v>
      </c>
      <c r="H1623" t="s">
        <v>3655</v>
      </c>
      <c r="I1623" t="s">
        <v>239</v>
      </c>
      <c r="K1623">
        <v>2540840.264</v>
      </c>
      <c r="L1623">
        <v>1167360.5930000001</v>
      </c>
      <c r="M1623">
        <v>646.9</v>
      </c>
      <c r="N1623" t="s">
        <v>3667</v>
      </c>
    </row>
    <row r="1624" spans="1:14" x14ac:dyDescent="0.25">
      <c r="A1624">
        <v>8570207</v>
      </c>
      <c r="B1624" t="s">
        <v>3668</v>
      </c>
      <c r="C1624" t="s">
        <v>94</v>
      </c>
      <c r="D1624" t="s">
        <v>86</v>
      </c>
      <c r="E1624" t="s">
        <v>87</v>
      </c>
      <c r="F1624" t="s">
        <v>3651</v>
      </c>
      <c r="G1624">
        <v>5540</v>
      </c>
      <c r="H1624" t="s">
        <v>3661</v>
      </c>
      <c r="I1624" t="s">
        <v>96</v>
      </c>
      <c r="K1624">
        <v>2540748</v>
      </c>
      <c r="L1624">
        <v>1165414</v>
      </c>
      <c r="M1624">
        <v>695</v>
      </c>
      <c r="N1624" t="s">
        <v>3669</v>
      </c>
    </row>
    <row r="1625" spans="1:14" x14ac:dyDescent="0.25">
      <c r="A1625">
        <v>8583231</v>
      </c>
      <c r="B1625" t="s">
        <v>3670</v>
      </c>
      <c r="C1625" t="s">
        <v>94</v>
      </c>
      <c r="D1625" t="s">
        <v>86</v>
      </c>
      <c r="E1625" t="s">
        <v>87</v>
      </c>
      <c r="F1625" t="s">
        <v>3651</v>
      </c>
      <c r="G1625">
        <v>5540</v>
      </c>
      <c r="H1625" t="s">
        <v>3655</v>
      </c>
      <c r="I1625" t="s">
        <v>96</v>
      </c>
      <c r="K1625">
        <v>2541288</v>
      </c>
      <c r="L1625">
        <v>1167376</v>
      </c>
      <c r="M1625">
        <v>674</v>
      </c>
      <c r="N1625" t="s">
        <v>3671</v>
      </c>
    </row>
    <row r="1626" spans="1:14" x14ac:dyDescent="0.25">
      <c r="A1626">
        <v>8570155</v>
      </c>
      <c r="B1626" t="s">
        <v>3672</v>
      </c>
      <c r="C1626" t="s">
        <v>85</v>
      </c>
      <c r="D1626" t="s">
        <v>86</v>
      </c>
      <c r="E1626" t="s">
        <v>87</v>
      </c>
      <c r="F1626" t="s">
        <v>3673</v>
      </c>
      <c r="G1626">
        <v>5491</v>
      </c>
      <c r="H1626" t="s">
        <v>3673</v>
      </c>
      <c r="I1626" t="s">
        <v>89</v>
      </c>
      <c r="K1626">
        <v>2521046.7207999998</v>
      </c>
      <c r="L1626">
        <v>1166444.3596900001</v>
      </c>
      <c r="M1626">
        <v>832</v>
      </c>
      <c r="N1626" t="s">
        <v>3674</v>
      </c>
    </row>
    <row r="1627" spans="1:14" x14ac:dyDescent="0.25">
      <c r="A1627">
        <v>8570154</v>
      </c>
      <c r="B1627" t="s">
        <v>3675</v>
      </c>
      <c r="C1627" t="s">
        <v>94</v>
      </c>
      <c r="D1627" t="s">
        <v>86</v>
      </c>
      <c r="E1627" t="s">
        <v>87</v>
      </c>
      <c r="F1627" t="s">
        <v>3673</v>
      </c>
      <c r="G1627">
        <v>5491</v>
      </c>
      <c r="H1627" t="s">
        <v>3673</v>
      </c>
      <c r="I1627" t="s">
        <v>96</v>
      </c>
      <c r="K1627">
        <v>2521162</v>
      </c>
      <c r="L1627">
        <v>1166604</v>
      </c>
      <c r="M1627">
        <v>835</v>
      </c>
      <c r="N1627" t="s">
        <v>3676</v>
      </c>
    </row>
    <row r="1628" spans="1:14" x14ac:dyDescent="0.25">
      <c r="A1628">
        <v>8570158</v>
      </c>
      <c r="B1628" t="s">
        <v>3677</v>
      </c>
      <c r="C1628" t="s">
        <v>85</v>
      </c>
      <c r="D1628" t="s">
        <v>86</v>
      </c>
      <c r="E1628" t="s">
        <v>87</v>
      </c>
      <c r="F1628" t="s">
        <v>3673</v>
      </c>
      <c r="G1628">
        <v>5491</v>
      </c>
      <c r="H1628" t="s">
        <v>3673</v>
      </c>
      <c r="I1628" t="s">
        <v>89</v>
      </c>
      <c r="K1628">
        <v>2518000</v>
      </c>
      <c r="L1628">
        <v>1167000</v>
      </c>
      <c r="M1628">
        <v>1174</v>
      </c>
      <c r="N1628" t="s">
        <v>3678</v>
      </c>
    </row>
    <row r="1629" spans="1:14" x14ac:dyDescent="0.25">
      <c r="A1629">
        <v>8580863</v>
      </c>
      <c r="B1629" t="s">
        <v>3679</v>
      </c>
      <c r="C1629" t="s">
        <v>85</v>
      </c>
      <c r="D1629" t="s">
        <v>86</v>
      </c>
      <c r="E1629" t="s">
        <v>87</v>
      </c>
      <c r="F1629" t="s">
        <v>3673</v>
      </c>
      <c r="G1629">
        <v>5491</v>
      </c>
      <c r="H1629" t="s">
        <v>3673</v>
      </c>
      <c r="I1629" t="s">
        <v>89</v>
      </c>
      <c r="K1629">
        <v>2517250</v>
      </c>
      <c r="L1629">
        <v>1167100</v>
      </c>
      <c r="M1629">
        <v>1165</v>
      </c>
      <c r="N1629" t="s">
        <v>3680</v>
      </c>
    </row>
    <row r="1630" spans="1:14" x14ac:dyDescent="0.25">
      <c r="A1630">
        <v>8592144</v>
      </c>
      <c r="B1630" t="s">
        <v>3681</v>
      </c>
      <c r="C1630" t="s">
        <v>94</v>
      </c>
      <c r="D1630" t="s">
        <v>86</v>
      </c>
      <c r="E1630" t="s">
        <v>87</v>
      </c>
      <c r="F1630" t="s">
        <v>3682</v>
      </c>
      <c r="G1630">
        <v>5792</v>
      </c>
      <c r="H1630" t="s">
        <v>3682</v>
      </c>
      <c r="I1630" t="s">
        <v>96</v>
      </c>
      <c r="K1630">
        <v>2545233</v>
      </c>
      <c r="L1630">
        <v>1158452</v>
      </c>
      <c r="M1630">
        <v>858</v>
      </c>
      <c r="N1630" t="s">
        <v>3683</v>
      </c>
    </row>
    <row r="1631" spans="1:14" x14ac:dyDescent="0.25">
      <c r="A1631">
        <v>8570417</v>
      </c>
      <c r="B1631" t="s">
        <v>3684</v>
      </c>
      <c r="C1631" t="s">
        <v>94</v>
      </c>
      <c r="D1631" t="s">
        <v>86</v>
      </c>
      <c r="E1631" t="s">
        <v>87</v>
      </c>
      <c r="F1631" t="s">
        <v>3682</v>
      </c>
      <c r="G1631">
        <v>5792</v>
      </c>
      <c r="H1631" t="s">
        <v>3682</v>
      </c>
      <c r="I1631" t="s">
        <v>96</v>
      </c>
      <c r="K1631">
        <v>2546518</v>
      </c>
      <c r="L1631">
        <v>1159242</v>
      </c>
      <c r="M1631">
        <v>787</v>
      </c>
      <c r="N1631" t="s">
        <v>3685</v>
      </c>
    </row>
    <row r="1632" spans="1:14" x14ac:dyDescent="0.25">
      <c r="A1632">
        <v>8579240</v>
      </c>
      <c r="B1632" t="s">
        <v>3686</v>
      </c>
      <c r="C1632" t="s">
        <v>94</v>
      </c>
      <c r="D1632" t="s">
        <v>86</v>
      </c>
      <c r="E1632" t="s">
        <v>87</v>
      </c>
      <c r="F1632" t="s">
        <v>3682</v>
      </c>
      <c r="G1632">
        <v>5792</v>
      </c>
      <c r="H1632" t="s">
        <v>3682</v>
      </c>
      <c r="I1632" t="s">
        <v>96</v>
      </c>
      <c r="K1632">
        <v>2546132</v>
      </c>
      <c r="L1632">
        <v>1158503</v>
      </c>
      <c r="M1632">
        <v>836</v>
      </c>
      <c r="N1632" t="s">
        <v>3687</v>
      </c>
    </row>
    <row r="1633" spans="1:14" x14ac:dyDescent="0.25">
      <c r="A1633">
        <v>8501230</v>
      </c>
      <c r="B1633" t="s">
        <v>3688</v>
      </c>
      <c r="C1633" t="s">
        <v>3689</v>
      </c>
      <c r="D1633" t="s">
        <v>3690</v>
      </c>
      <c r="E1633" t="s">
        <v>87</v>
      </c>
      <c r="F1633" t="s">
        <v>3691</v>
      </c>
      <c r="G1633">
        <v>5886</v>
      </c>
      <c r="H1633" t="s">
        <v>3692</v>
      </c>
      <c r="I1633" t="s">
        <v>3693</v>
      </c>
      <c r="K1633">
        <v>2560580</v>
      </c>
      <c r="L1633">
        <v>1142625</v>
      </c>
      <c r="M1633">
        <v>707.1</v>
      </c>
      <c r="N1633" t="s">
        <v>3694</v>
      </c>
    </row>
    <row r="1634" spans="1:14" x14ac:dyDescent="0.25">
      <c r="A1634">
        <v>8501380</v>
      </c>
      <c r="B1634" t="s">
        <v>3695</v>
      </c>
      <c r="C1634" t="s">
        <v>1028</v>
      </c>
      <c r="D1634" t="s">
        <v>112</v>
      </c>
      <c r="E1634" t="s">
        <v>87</v>
      </c>
      <c r="F1634" t="s">
        <v>3691</v>
      </c>
      <c r="G1634">
        <v>5886</v>
      </c>
      <c r="H1634" t="s">
        <v>3691</v>
      </c>
      <c r="I1634" t="s">
        <v>1029</v>
      </c>
      <c r="K1634">
        <v>2559579.2259999998</v>
      </c>
      <c r="L1634">
        <v>1142886.8500000001</v>
      </c>
      <c r="M1634">
        <v>424.5</v>
      </c>
      <c r="N1634" t="s">
        <v>3696</v>
      </c>
    </row>
    <row r="1635" spans="1:14" x14ac:dyDescent="0.25">
      <c r="A1635">
        <v>8501301</v>
      </c>
      <c r="B1635" t="s">
        <v>3697</v>
      </c>
      <c r="C1635" t="s">
        <v>132</v>
      </c>
      <c r="D1635" t="s">
        <v>112</v>
      </c>
      <c r="E1635" t="s">
        <v>87</v>
      </c>
      <c r="F1635" t="s">
        <v>3691</v>
      </c>
      <c r="G1635">
        <v>5886</v>
      </c>
      <c r="H1635" t="s">
        <v>3697</v>
      </c>
      <c r="I1635" t="s">
        <v>133</v>
      </c>
      <c r="K1635">
        <v>2560340.4139999999</v>
      </c>
      <c r="L1635">
        <v>1141801.4080000001</v>
      </c>
      <c r="M1635">
        <v>386.18599999999998</v>
      </c>
      <c r="N1635" t="s">
        <v>3698</v>
      </c>
    </row>
    <row r="1636" spans="1:14" x14ac:dyDescent="0.25">
      <c r="A1636">
        <v>8501313</v>
      </c>
      <c r="B1636" t="s">
        <v>3699</v>
      </c>
      <c r="C1636" t="s">
        <v>778</v>
      </c>
      <c r="D1636" t="s">
        <v>302</v>
      </c>
      <c r="E1636" t="s">
        <v>87</v>
      </c>
      <c r="F1636" t="s">
        <v>3691</v>
      </c>
      <c r="G1636">
        <v>5886</v>
      </c>
      <c r="H1636" t="s">
        <v>3697</v>
      </c>
      <c r="I1636" t="s">
        <v>780</v>
      </c>
      <c r="K1636">
        <v>2560310</v>
      </c>
      <c r="L1636">
        <v>1141726</v>
      </c>
      <c r="M1636">
        <v>373</v>
      </c>
      <c r="N1636" t="s">
        <v>3700</v>
      </c>
    </row>
    <row r="1637" spans="1:14" x14ac:dyDescent="0.25">
      <c r="A1637">
        <v>8501312</v>
      </c>
      <c r="B1637" t="s">
        <v>3701</v>
      </c>
      <c r="C1637" t="s">
        <v>778</v>
      </c>
      <c r="D1637" t="s">
        <v>302</v>
      </c>
      <c r="E1637" t="s">
        <v>87</v>
      </c>
      <c r="F1637" t="s">
        <v>3691</v>
      </c>
      <c r="G1637">
        <v>5886</v>
      </c>
      <c r="H1637" t="s">
        <v>3702</v>
      </c>
      <c r="I1637" t="s">
        <v>780</v>
      </c>
      <c r="K1637">
        <v>2558298</v>
      </c>
      <c r="L1637">
        <v>1143307</v>
      </c>
      <c r="M1637">
        <v>373</v>
      </c>
      <c r="N1637" t="s">
        <v>3703</v>
      </c>
    </row>
    <row r="1638" spans="1:14" x14ac:dyDescent="0.25">
      <c r="A1638">
        <v>8501365</v>
      </c>
      <c r="B1638" t="s">
        <v>3704</v>
      </c>
      <c r="C1638" t="s">
        <v>3689</v>
      </c>
      <c r="D1638" t="s">
        <v>3690</v>
      </c>
      <c r="E1638" t="s">
        <v>87</v>
      </c>
      <c r="F1638" t="s">
        <v>3691</v>
      </c>
      <c r="G1638">
        <v>5886</v>
      </c>
      <c r="H1638" t="s">
        <v>3705</v>
      </c>
      <c r="I1638" t="s">
        <v>3693</v>
      </c>
      <c r="K1638">
        <v>2562857.19</v>
      </c>
      <c r="L1638">
        <v>1142760.1040000001</v>
      </c>
      <c r="M1638">
        <v>1283.5999999999999</v>
      </c>
      <c r="N1638" t="s">
        <v>3706</v>
      </c>
    </row>
    <row r="1639" spans="1:14" x14ac:dyDescent="0.25">
      <c r="A1639">
        <v>8501371</v>
      </c>
      <c r="B1639" t="s">
        <v>3705</v>
      </c>
      <c r="C1639" t="s">
        <v>3689</v>
      </c>
      <c r="D1639" t="s">
        <v>3690</v>
      </c>
      <c r="E1639" t="s">
        <v>87</v>
      </c>
      <c r="F1639" t="s">
        <v>3691</v>
      </c>
      <c r="G1639">
        <v>5886</v>
      </c>
      <c r="H1639" t="s">
        <v>3705</v>
      </c>
      <c r="I1639" t="s">
        <v>3693</v>
      </c>
      <c r="K1639">
        <v>2561559.3169999998</v>
      </c>
      <c r="L1639">
        <v>1142322.4779999999</v>
      </c>
      <c r="M1639">
        <v>1050</v>
      </c>
      <c r="N1639" t="s">
        <v>3707</v>
      </c>
    </row>
    <row r="1640" spans="1:14" x14ac:dyDescent="0.25">
      <c r="A1640">
        <v>8579207</v>
      </c>
      <c r="B1640" t="s">
        <v>3708</v>
      </c>
      <c r="C1640" t="s">
        <v>650</v>
      </c>
      <c r="D1640" t="s">
        <v>86</v>
      </c>
      <c r="E1640" t="s">
        <v>87</v>
      </c>
      <c r="F1640" t="s">
        <v>3691</v>
      </c>
      <c r="G1640">
        <v>5886</v>
      </c>
      <c r="H1640" t="s">
        <v>3709</v>
      </c>
      <c r="I1640" t="s">
        <v>651</v>
      </c>
      <c r="K1640">
        <v>2558779</v>
      </c>
      <c r="L1640">
        <v>1144739</v>
      </c>
      <c r="M1640">
        <v>556</v>
      </c>
      <c r="N1640" t="s">
        <v>3710</v>
      </c>
    </row>
    <row r="1641" spans="1:14" x14ac:dyDescent="0.25">
      <c r="A1641">
        <v>8579198</v>
      </c>
      <c r="B1641" t="s">
        <v>3711</v>
      </c>
      <c r="C1641" t="s">
        <v>650</v>
      </c>
      <c r="D1641" t="s">
        <v>86</v>
      </c>
      <c r="E1641" t="s">
        <v>87</v>
      </c>
      <c r="F1641" t="s">
        <v>3691</v>
      </c>
      <c r="G1641">
        <v>5886</v>
      </c>
      <c r="H1641" t="s">
        <v>3702</v>
      </c>
      <c r="I1641" t="s">
        <v>651</v>
      </c>
      <c r="K1641">
        <v>2558332</v>
      </c>
      <c r="L1641">
        <v>1143667</v>
      </c>
      <c r="M1641">
        <v>397</v>
      </c>
      <c r="N1641" t="s">
        <v>3712</v>
      </c>
    </row>
    <row r="1642" spans="1:14" x14ac:dyDescent="0.25">
      <c r="A1642">
        <v>8510436</v>
      </c>
      <c r="B1642" t="s">
        <v>3713</v>
      </c>
      <c r="C1642" t="s">
        <v>3689</v>
      </c>
      <c r="D1642" t="s">
        <v>86</v>
      </c>
      <c r="E1642" t="s">
        <v>87</v>
      </c>
      <c r="F1642" t="s">
        <v>3691</v>
      </c>
      <c r="G1642">
        <v>5886</v>
      </c>
      <c r="H1642" t="s">
        <v>3691</v>
      </c>
      <c r="I1642" t="s">
        <v>3693</v>
      </c>
      <c r="K1642">
        <v>2560249</v>
      </c>
      <c r="L1642">
        <v>1142172</v>
      </c>
      <c r="M1642">
        <v>465</v>
      </c>
      <c r="N1642" t="s">
        <v>3714</v>
      </c>
    </row>
    <row r="1643" spans="1:14" x14ac:dyDescent="0.25">
      <c r="A1643">
        <v>8530027</v>
      </c>
      <c r="B1643" t="s">
        <v>3715</v>
      </c>
      <c r="C1643" t="s">
        <v>3716</v>
      </c>
      <c r="E1643" t="s">
        <v>87</v>
      </c>
      <c r="F1643" t="s">
        <v>3691</v>
      </c>
      <c r="G1643">
        <v>5886</v>
      </c>
      <c r="H1643" t="s">
        <v>3697</v>
      </c>
      <c r="I1643" t="s">
        <v>3717</v>
      </c>
      <c r="J1643" t="s">
        <v>3718</v>
      </c>
      <c r="K1643">
        <v>2560547</v>
      </c>
      <c r="L1643">
        <v>1141748</v>
      </c>
      <c r="M1643">
        <v>435</v>
      </c>
      <c r="N1643" t="s">
        <v>3719</v>
      </c>
    </row>
    <row r="1644" spans="1:14" x14ac:dyDescent="0.25">
      <c r="A1644">
        <v>8530028</v>
      </c>
      <c r="B1644" t="s">
        <v>3720</v>
      </c>
      <c r="C1644" t="s">
        <v>3716</v>
      </c>
      <c r="E1644" t="s">
        <v>87</v>
      </c>
      <c r="F1644" t="s">
        <v>3691</v>
      </c>
      <c r="G1644">
        <v>5886</v>
      </c>
      <c r="H1644" t="s">
        <v>3697</v>
      </c>
      <c r="I1644" t="s">
        <v>3717</v>
      </c>
      <c r="J1644" t="s">
        <v>3721</v>
      </c>
      <c r="K1644">
        <v>2560593</v>
      </c>
      <c r="L1644">
        <v>1141765</v>
      </c>
      <c r="M1644">
        <v>449</v>
      </c>
      <c r="N1644" t="s">
        <v>3722</v>
      </c>
    </row>
    <row r="1645" spans="1:14" x14ac:dyDescent="0.25">
      <c r="A1645">
        <v>8579204</v>
      </c>
      <c r="B1645" t="s">
        <v>3723</v>
      </c>
      <c r="C1645" t="s">
        <v>650</v>
      </c>
      <c r="D1645" t="s">
        <v>86</v>
      </c>
      <c r="E1645" t="s">
        <v>87</v>
      </c>
      <c r="F1645" t="s">
        <v>3691</v>
      </c>
      <c r="G1645">
        <v>5886</v>
      </c>
      <c r="H1645" t="s">
        <v>3724</v>
      </c>
      <c r="I1645" t="s">
        <v>651</v>
      </c>
      <c r="K1645">
        <v>2558031.6850000001</v>
      </c>
      <c r="L1645">
        <v>1144807.3160000001</v>
      </c>
      <c r="M1645">
        <v>477</v>
      </c>
      <c r="N1645" t="s">
        <v>3725</v>
      </c>
    </row>
    <row r="1646" spans="1:14" x14ac:dyDescent="0.25">
      <c r="A1646">
        <v>8579197</v>
      </c>
      <c r="B1646" t="s">
        <v>3726</v>
      </c>
      <c r="C1646" t="s">
        <v>650</v>
      </c>
      <c r="D1646" t="s">
        <v>86</v>
      </c>
      <c r="E1646" t="s">
        <v>87</v>
      </c>
      <c r="F1646" t="s">
        <v>3691</v>
      </c>
      <c r="G1646">
        <v>5886</v>
      </c>
      <c r="H1646" t="s">
        <v>3702</v>
      </c>
      <c r="I1646" t="s">
        <v>651</v>
      </c>
      <c r="K1646">
        <v>2558149.9819700001</v>
      </c>
      <c r="L1646">
        <v>1143509.0461200001</v>
      </c>
      <c r="M1646">
        <v>388</v>
      </c>
      <c r="N1646" t="s">
        <v>3727</v>
      </c>
    </row>
    <row r="1647" spans="1:14" x14ac:dyDescent="0.25">
      <c r="A1647">
        <v>8511806</v>
      </c>
      <c r="B1647" t="s">
        <v>3728</v>
      </c>
      <c r="C1647" t="s">
        <v>3689</v>
      </c>
      <c r="D1647" t="s">
        <v>86</v>
      </c>
      <c r="E1647" t="s">
        <v>87</v>
      </c>
      <c r="F1647" t="s">
        <v>3691</v>
      </c>
      <c r="G1647">
        <v>5886</v>
      </c>
      <c r="H1647" t="s">
        <v>3692</v>
      </c>
      <c r="I1647" t="s">
        <v>3693</v>
      </c>
      <c r="K1647">
        <v>2560932.5</v>
      </c>
      <c r="L1647">
        <v>1142647.3999999999</v>
      </c>
      <c r="M1647">
        <v>806.2</v>
      </c>
      <c r="N1647" t="s">
        <v>3729</v>
      </c>
    </row>
    <row r="1648" spans="1:14" x14ac:dyDescent="0.25">
      <c r="A1648">
        <v>8511808</v>
      </c>
      <c r="B1648" t="s">
        <v>3730</v>
      </c>
      <c r="C1648" t="s">
        <v>3689</v>
      </c>
      <c r="D1648" t="s">
        <v>86</v>
      </c>
      <c r="E1648" t="s">
        <v>87</v>
      </c>
      <c r="F1648" t="s">
        <v>3691</v>
      </c>
      <c r="G1648">
        <v>5886</v>
      </c>
      <c r="H1648" t="s">
        <v>3705</v>
      </c>
      <c r="I1648" t="s">
        <v>3693</v>
      </c>
      <c r="K1648">
        <v>2562015.4</v>
      </c>
      <c r="L1648">
        <v>1142422.3999999999</v>
      </c>
      <c r="M1648">
        <v>1103.3</v>
      </c>
      <c r="N1648" t="s">
        <v>3731</v>
      </c>
    </row>
    <row r="1649" spans="1:14" x14ac:dyDescent="0.25">
      <c r="A1649">
        <v>8511909</v>
      </c>
      <c r="B1649" t="s">
        <v>3732</v>
      </c>
      <c r="C1649" t="s">
        <v>1028</v>
      </c>
      <c r="D1649" t="s">
        <v>86</v>
      </c>
      <c r="E1649" t="s">
        <v>87</v>
      </c>
      <c r="F1649" t="s">
        <v>3691</v>
      </c>
      <c r="G1649">
        <v>5886</v>
      </c>
      <c r="H1649" t="s">
        <v>3691</v>
      </c>
      <c r="I1649" t="s">
        <v>1029</v>
      </c>
      <c r="K1649">
        <v>2558713</v>
      </c>
      <c r="L1649">
        <v>1144085</v>
      </c>
      <c r="M1649">
        <v>500.5</v>
      </c>
      <c r="N1649" t="s">
        <v>3733</v>
      </c>
    </row>
    <row r="1650" spans="1:14" x14ac:dyDescent="0.25">
      <c r="A1650">
        <v>8570580</v>
      </c>
      <c r="B1650" t="s">
        <v>3734</v>
      </c>
      <c r="C1650" t="s">
        <v>94</v>
      </c>
      <c r="D1650" t="s">
        <v>86</v>
      </c>
      <c r="E1650" t="s">
        <v>87</v>
      </c>
      <c r="F1650" t="s">
        <v>3691</v>
      </c>
      <c r="G1650">
        <v>5886</v>
      </c>
      <c r="H1650" t="s">
        <v>3709</v>
      </c>
      <c r="I1650" t="s">
        <v>96</v>
      </c>
      <c r="J1650" t="s">
        <v>108</v>
      </c>
      <c r="K1650">
        <v>2558828.9533500001</v>
      </c>
      <c r="L1650">
        <v>1144802.2239399999</v>
      </c>
      <c r="M1650">
        <v>562.6</v>
      </c>
      <c r="N1650" t="s">
        <v>3735</v>
      </c>
    </row>
    <row r="1651" spans="1:14" x14ac:dyDescent="0.25">
      <c r="A1651">
        <v>8593932</v>
      </c>
      <c r="B1651" t="s">
        <v>3736</v>
      </c>
      <c r="C1651" t="s">
        <v>650</v>
      </c>
      <c r="D1651" t="s">
        <v>86</v>
      </c>
      <c r="E1651" t="s">
        <v>87</v>
      </c>
      <c r="F1651" t="s">
        <v>3691</v>
      </c>
      <c r="G1651">
        <v>5886</v>
      </c>
      <c r="H1651" t="s">
        <v>3691</v>
      </c>
      <c r="I1651" t="s">
        <v>651</v>
      </c>
      <c r="K1651">
        <v>2559878</v>
      </c>
      <c r="L1651">
        <v>1142623</v>
      </c>
      <c r="M1651">
        <v>429</v>
      </c>
      <c r="N1651" t="s">
        <v>3737</v>
      </c>
    </row>
    <row r="1652" spans="1:14" x14ac:dyDescent="0.25">
      <c r="A1652">
        <v>8593922</v>
      </c>
      <c r="B1652" t="s">
        <v>3738</v>
      </c>
      <c r="C1652" t="s">
        <v>650</v>
      </c>
      <c r="D1652" t="s">
        <v>86</v>
      </c>
      <c r="E1652" t="s">
        <v>87</v>
      </c>
      <c r="F1652" t="s">
        <v>3691</v>
      </c>
      <c r="G1652">
        <v>5886</v>
      </c>
      <c r="H1652" t="s">
        <v>3691</v>
      </c>
      <c r="I1652" t="s">
        <v>651</v>
      </c>
      <c r="K1652">
        <v>2559299.2799999998</v>
      </c>
      <c r="L1652">
        <v>1143307.8430000001</v>
      </c>
      <c r="M1652">
        <v>428</v>
      </c>
      <c r="N1652" t="s">
        <v>3739</v>
      </c>
    </row>
    <row r="1653" spans="1:14" x14ac:dyDescent="0.25">
      <c r="A1653">
        <v>8593921</v>
      </c>
      <c r="B1653" t="s">
        <v>3740</v>
      </c>
      <c r="C1653" t="s">
        <v>650</v>
      </c>
      <c r="D1653" t="s">
        <v>86</v>
      </c>
      <c r="E1653" t="s">
        <v>87</v>
      </c>
      <c r="F1653" t="s">
        <v>3691</v>
      </c>
      <c r="G1653">
        <v>5886</v>
      </c>
      <c r="H1653" t="s">
        <v>3691</v>
      </c>
      <c r="I1653" t="s">
        <v>651</v>
      </c>
      <c r="K1653">
        <v>2559594</v>
      </c>
      <c r="L1653">
        <v>1143040</v>
      </c>
      <c r="M1653">
        <v>462</v>
      </c>
      <c r="N1653" t="s">
        <v>3741</v>
      </c>
    </row>
    <row r="1654" spans="1:14" x14ac:dyDescent="0.25">
      <c r="A1654">
        <v>8593943</v>
      </c>
      <c r="B1654" t="s">
        <v>3742</v>
      </c>
      <c r="C1654" t="s">
        <v>650</v>
      </c>
      <c r="D1654" t="s">
        <v>86</v>
      </c>
      <c r="E1654" t="s">
        <v>87</v>
      </c>
      <c r="F1654" t="s">
        <v>3691</v>
      </c>
      <c r="G1654">
        <v>5886</v>
      </c>
      <c r="H1654" t="s">
        <v>3691</v>
      </c>
      <c r="I1654" t="s">
        <v>651</v>
      </c>
      <c r="K1654">
        <v>2558908</v>
      </c>
      <c r="L1654">
        <v>1143324</v>
      </c>
      <c r="M1654">
        <v>382</v>
      </c>
      <c r="N1654" t="s">
        <v>3743</v>
      </c>
    </row>
    <row r="1655" spans="1:14" x14ac:dyDescent="0.25">
      <c r="A1655">
        <v>8593945</v>
      </c>
      <c r="B1655" t="s">
        <v>3744</v>
      </c>
      <c r="C1655" t="s">
        <v>650</v>
      </c>
      <c r="D1655" t="s">
        <v>86</v>
      </c>
      <c r="E1655" t="s">
        <v>87</v>
      </c>
      <c r="F1655" t="s">
        <v>3691</v>
      </c>
      <c r="G1655">
        <v>5886</v>
      </c>
      <c r="H1655" t="s">
        <v>3691</v>
      </c>
      <c r="I1655" t="s">
        <v>651</v>
      </c>
      <c r="K1655">
        <v>2559477.6133400002</v>
      </c>
      <c r="L1655">
        <v>1143212.9874400001</v>
      </c>
      <c r="M1655">
        <v>445</v>
      </c>
      <c r="N1655" t="s">
        <v>3745</v>
      </c>
    </row>
    <row r="1656" spans="1:14" x14ac:dyDescent="0.25">
      <c r="A1656">
        <v>8593931</v>
      </c>
      <c r="B1656" t="s">
        <v>3746</v>
      </c>
      <c r="C1656" t="s">
        <v>650</v>
      </c>
      <c r="D1656" t="s">
        <v>86</v>
      </c>
      <c r="E1656" t="s">
        <v>87</v>
      </c>
      <c r="F1656" t="s">
        <v>3691</v>
      </c>
      <c r="G1656">
        <v>5886</v>
      </c>
      <c r="H1656" t="s">
        <v>3691</v>
      </c>
      <c r="I1656" t="s">
        <v>651</v>
      </c>
      <c r="K1656">
        <v>2559454.70902</v>
      </c>
      <c r="L1656">
        <v>1142375.56091</v>
      </c>
      <c r="M1656">
        <v>384</v>
      </c>
      <c r="N1656" t="s">
        <v>3747</v>
      </c>
    </row>
    <row r="1657" spans="1:14" x14ac:dyDescent="0.25">
      <c r="A1657">
        <v>8593930</v>
      </c>
      <c r="B1657" t="s">
        <v>3748</v>
      </c>
      <c r="C1657" t="s">
        <v>650</v>
      </c>
      <c r="D1657" t="s">
        <v>86</v>
      </c>
      <c r="E1657" t="s">
        <v>87</v>
      </c>
      <c r="F1657" t="s">
        <v>3691</v>
      </c>
      <c r="G1657">
        <v>5886</v>
      </c>
      <c r="H1657" t="s">
        <v>3691</v>
      </c>
      <c r="I1657" t="s">
        <v>651</v>
      </c>
      <c r="K1657">
        <v>2559789</v>
      </c>
      <c r="L1657">
        <v>1142529</v>
      </c>
      <c r="M1657">
        <v>408</v>
      </c>
      <c r="N1657" t="s">
        <v>3749</v>
      </c>
    </row>
    <row r="1658" spans="1:14" x14ac:dyDescent="0.25">
      <c r="A1658">
        <v>8593929</v>
      </c>
      <c r="B1658" t="s">
        <v>3750</v>
      </c>
      <c r="C1658" t="s">
        <v>650</v>
      </c>
      <c r="D1658" t="s">
        <v>86</v>
      </c>
      <c r="E1658" t="s">
        <v>87</v>
      </c>
      <c r="F1658" t="s">
        <v>3691</v>
      </c>
      <c r="G1658">
        <v>5886</v>
      </c>
      <c r="H1658" t="s">
        <v>3691</v>
      </c>
      <c r="I1658" t="s">
        <v>651</v>
      </c>
      <c r="K1658">
        <v>2559368.6349999998</v>
      </c>
      <c r="L1658">
        <v>1142880.49</v>
      </c>
      <c r="M1658">
        <v>386</v>
      </c>
      <c r="N1658" t="s">
        <v>3751</v>
      </c>
    </row>
    <row r="1659" spans="1:14" x14ac:dyDescent="0.25">
      <c r="A1659">
        <v>8595970</v>
      </c>
      <c r="B1659" t="s">
        <v>3752</v>
      </c>
      <c r="C1659" t="s">
        <v>650</v>
      </c>
      <c r="D1659" t="s">
        <v>86</v>
      </c>
      <c r="E1659" t="s">
        <v>87</v>
      </c>
      <c r="F1659" t="s">
        <v>3691</v>
      </c>
      <c r="G1659">
        <v>5886</v>
      </c>
      <c r="H1659" t="s">
        <v>3724</v>
      </c>
      <c r="I1659" t="s">
        <v>651</v>
      </c>
      <c r="K1659">
        <v>2558172</v>
      </c>
      <c r="L1659">
        <v>1144800</v>
      </c>
      <c r="M1659">
        <v>482</v>
      </c>
      <c r="N1659" t="s">
        <v>3753</v>
      </c>
    </row>
    <row r="1660" spans="1:14" x14ac:dyDescent="0.25">
      <c r="A1660">
        <v>8593915</v>
      </c>
      <c r="B1660" t="s">
        <v>3754</v>
      </c>
      <c r="C1660" t="s">
        <v>650</v>
      </c>
      <c r="D1660" t="s">
        <v>86</v>
      </c>
      <c r="E1660" t="s">
        <v>87</v>
      </c>
      <c r="F1660" t="s">
        <v>3691</v>
      </c>
      <c r="G1660">
        <v>5886</v>
      </c>
      <c r="H1660" t="s">
        <v>3702</v>
      </c>
      <c r="I1660" t="s">
        <v>651</v>
      </c>
      <c r="K1660">
        <v>2557493</v>
      </c>
      <c r="L1660">
        <v>1143627</v>
      </c>
      <c r="M1660">
        <v>375</v>
      </c>
      <c r="N1660" t="s">
        <v>3755</v>
      </c>
    </row>
    <row r="1661" spans="1:14" x14ac:dyDescent="0.25">
      <c r="A1661">
        <v>8593918</v>
      </c>
      <c r="B1661" t="s">
        <v>3756</v>
      </c>
      <c r="C1661" t="s">
        <v>650</v>
      </c>
      <c r="D1661" t="s">
        <v>86</v>
      </c>
      <c r="E1661" t="s">
        <v>87</v>
      </c>
      <c r="F1661" t="s">
        <v>3691</v>
      </c>
      <c r="G1661">
        <v>5886</v>
      </c>
      <c r="H1661" t="s">
        <v>3702</v>
      </c>
      <c r="I1661" t="s">
        <v>651</v>
      </c>
      <c r="K1661">
        <v>2558493.6225899998</v>
      </c>
      <c r="L1661">
        <v>1143386.23651</v>
      </c>
      <c r="M1661">
        <v>375</v>
      </c>
      <c r="N1661" t="s">
        <v>3757</v>
      </c>
    </row>
    <row r="1662" spans="1:14" x14ac:dyDescent="0.25">
      <c r="A1662">
        <v>8593917</v>
      </c>
      <c r="B1662" t="s">
        <v>3758</v>
      </c>
      <c r="C1662" t="s">
        <v>650</v>
      </c>
      <c r="D1662" t="s">
        <v>86</v>
      </c>
      <c r="E1662" t="s">
        <v>87</v>
      </c>
      <c r="F1662" t="s">
        <v>3691</v>
      </c>
      <c r="G1662">
        <v>5886</v>
      </c>
      <c r="H1662" t="s">
        <v>3702</v>
      </c>
      <c r="I1662" t="s">
        <v>651</v>
      </c>
      <c r="K1662">
        <v>2557820</v>
      </c>
      <c r="L1662">
        <v>1143486</v>
      </c>
      <c r="M1662">
        <v>384</v>
      </c>
      <c r="N1662" t="s">
        <v>3759</v>
      </c>
    </row>
    <row r="1663" spans="1:14" x14ac:dyDescent="0.25">
      <c r="A1663">
        <v>8593919</v>
      </c>
      <c r="B1663" t="s">
        <v>3760</v>
      </c>
      <c r="C1663" t="s">
        <v>650</v>
      </c>
      <c r="D1663" t="s">
        <v>86</v>
      </c>
      <c r="E1663" t="s">
        <v>87</v>
      </c>
      <c r="F1663" t="s">
        <v>3691</v>
      </c>
      <c r="G1663">
        <v>5886</v>
      </c>
      <c r="H1663" t="s">
        <v>3702</v>
      </c>
      <c r="I1663" t="s">
        <v>651</v>
      </c>
      <c r="K1663">
        <v>2557073</v>
      </c>
      <c r="L1663">
        <v>1143679</v>
      </c>
      <c r="M1663">
        <v>382</v>
      </c>
      <c r="N1663" t="s">
        <v>3761</v>
      </c>
    </row>
    <row r="1664" spans="1:14" x14ac:dyDescent="0.25">
      <c r="A1664">
        <v>8501203</v>
      </c>
      <c r="B1664" t="s">
        <v>3702</v>
      </c>
      <c r="C1664" t="s">
        <v>132</v>
      </c>
      <c r="D1664" t="s">
        <v>112</v>
      </c>
      <c r="E1664" t="s">
        <v>87</v>
      </c>
      <c r="F1664" t="s">
        <v>3691</v>
      </c>
      <c r="G1664">
        <v>5886</v>
      </c>
      <c r="H1664" t="s">
        <v>3702</v>
      </c>
      <c r="I1664" t="s">
        <v>133</v>
      </c>
      <c r="K1664">
        <v>2558283.1949999998</v>
      </c>
      <c r="L1664">
        <v>1143633.665</v>
      </c>
      <c r="M1664">
        <v>399.61</v>
      </c>
      <c r="N1664" t="s">
        <v>3762</v>
      </c>
    </row>
    <row r="1665" spans="1:14" x14ac:dyDescent="0.25">
      <c r="A1665">
        <v>8501377</v>
      </c>
      <c r="B1665" t="s">
        <v>3763</v>
      </c>
      <c r="C1665" t="s">
        <v>1028</v>
      </c>
      <c r="D1665" t="s">
        <v>112</v>
      </c>
      <c r="E1665" t="s">
        <v>87</v>
      </c>
      <c r="F1665" t="s">
        <v>3691</v>
      </c>
      <c r="G1665">
        <v>5886</v>
      </c>
      <c r="H1665" t="s">
        <v>3763</v>
      </c>
      <c r="I1665" t="s">
        <v>1029</v>
      </c>
      <c r="K1665">
        <v>2561955.94887</v>
      </c>
      <c r="L1665">
        <v>1144819.6332</v>
      </c>
      <c r="M1665">
        <v>970.5</v>
      </c>
      <c r="N1665" t="s">
        <v>3764</v>
      </c>
    </row>
    <row r="1666" spans="1:14" x14ac:dyDescent="0.25">
      <c r="A1666">
        <v>8501376</v>
      </c>
      <c r="B1666" t="s">
        <v>3765</v>
      </c>
      <c r="C1666" t="s">
        <v>1028</v>
      </c>
      <c r="D1666" t="s">
        <v>112</v>
      </c>
      <c r="E1666" t="s">
        <v>87</v>
      </c>
      <c r="F1666" t="s">
        <v>3691</v>
      </c>
      <c r="G1666">
        <v>5886</v>
      </c>
      <c r="H1666" t="s">
        <v>3765</v>
      </c>
      <c r="I1666" t="s">
        <v>1029</v>
      </c>
      <c r="K1666">
        <v>2559650.8811900001</v>
      </c>
      <c r="L1666">
        <v>1144356.2228699999</v>
      </c>
      <c r="M1666">
        <v>749.2</v>
      </c>
      <c r="N1666" t="s">
        <v>3766</v>
      </c>
    </row>
    <row r="1667" spans="1:14" x14ac:dyDescent="0.25">
      <c r="A1667">
        <v>8501381</v>
      </c>
      <c r="B1667" t="s">
        <v>3767</v>
      </c>
      <c r="C1667" t="s">
        <v>1028</v>
      </c>
      <c r="D1667" t="s">
        <v>112</v>
      </c>
      <c r="E1667" t="s">
        <v>87</v>
      </c>
      <c r="F1667" t="s">
        <v>3691</v>
      </c>
      <c r="G1667">
        <v>5886</v>
      </c>
      <c r="H1667" t="s">
        <v>3691</v>
      </c>
      <c r="I1667" t="s">
        <v>1029</v>
      </c>
      <c r="K1667">
        <v>2559447.7629999998</v>
      </c>
      <c r="L1667">
        <v>1143223.4620000001</v>
      </c>
      <c r="M1667">
        <v>441.4</v>
      </c>
      <c r="N1667" t="s">
        <v>3768</v>
      </c>
    </row>
    <row r="1668" spans="1:14" x14ac:dyDescent="0.25">
      <c r="A1668">
        <v>8501385</v>
      </c>
      <c r="B1668" t="s">
        <v>3769</v>
      </c>
      <c r="C1668" t="s">
        <v>1028</v>
      </c>
      <c r="D1668" t="s">
        <v>112</v>
      </c>
      <c r="E1668" t="s">
        <v>87</v>
      </c>
      <c r="F1668" t="s">
        <v>3691</v>
      </c>
      <c r="G1668">
        <v>5886</v>
      </c>
      <c r="H1668" t="s">
        <v>3765</v>
      </c>
      <c r="I1668" t="s">
        <v>1029</v>
      </c>
      <c r="K1668">
        <v>2560926.21245</v>
      </c>
      <c r="L1668">
        <v>1144101.59708</v>
      </c>
      <c r="M1668">
        <v>871.8</v>
      </c>
      <c r="N1668" t="s">
        <v>3770</v>
      </c>
    </row>
    <row r="1669" spans="1:14" x14ac:dyDescent="0.25">
      <c r="A1669">
        <v>8501363</v>
      </c>
      <c r="B1669" t="s">
        <v>3771</v>
      </c>
      <c r="C1669" t="s">
        <v>3689</v>
      </c>
      <c r="D1669" t="s">
        <v>3690</v>
      </c>
      <c r="E1669" t="s">
        <v>87</v>
      </c>
      <c r="F1669" t="s">
        <v>3691</v>
      </c>
      <c r="G1669">
        <v>5886</v>
      </c>
      <c r="H1669" t="s">
        <v>3692</v>
      </c>
      <c r="I1669" t="s">
        <v>3693</v>
      </c>
      <c r="K1669">
        <v>2561119.3470000001</v>
      </c>
      <c r="L1669">
        <v>1142870.027</v>
      </c>
      <c r="M1669">
        <v>812.4</v>
      </c>
      <c r="N1669" t="s">
        <v>3772</v>
      </c>
    </row>
    <row r="1670" spans="1:14" x14ac:dyDescent="0.25">
      <c r="A1670">
        <v>8501362</v>
      </c>
      <c r="B1670" t="s">
        <v>3773</v>
      </c>
      <c r="C1670" t="s">
        <v>3689</v>
      </c>
      <c r="D1670" t="s">
        <v>3690</v>
      </c>
      <c r="E1670" t="s">
        <v>87</v>
      </c>
      <c r="F1670" t="s">
        <v>3691</v>
      </c>
      <c r="G1670">
        <v>5886</v>
      </c>
      <c r="H1670" t="s">
        <v>3692</v>
      </c>
      <c r="I1670" t="s">
        <v>3693</v>
      </c>
      <c r="K1670">
        <v>2560848.7790000001</v>
      </c>
      <c r="L1670">
        <v>1142039.1370000001</v>
      </c>
      <c r="M1670">
        <v>638.70000000000005</v>
      </c>
      <c r="N1670" t="s">
        <v>3774</v>
      </c>
    </row>
    <row r="1671" spans="1:14" x14ac:dyDescent="0.25">
      <c r="A1671">
        <v>8501353</v>
      </c>
      <c r="B1671" t="s">
        <v>3775</v>
      </c>
      <c r="C1671" t="s">
        <v>3689</v>
      </c>
      <c r="E1671" t="s">
        <v>87</v>
      </c>
      <c r="F1671" t="s">
        <v>3691</v>
      </c>
      <c r="G1671">
        <v>5886</v>
      </c>
      <c r="H1671" t="s">
        <v>3691</v>
      </c>
      <c r="I1671" t="s">
        <v>3693</v>
      </c>
      <c r="J1671" t="s">
        <v>3776</v>
      </c>
      <c r="K1671">
        <v>2559574.4350000001</v>
      </c>
      <c r="L1671">
        <v>1142860.202</v>
      </c>
      <c r="M1671">
        <v>396</v>
      </c>
      <c r="N1671" t="s">
        <v>3777</v>
      </c>
    </row>
    <row r="1672" spans="1:14" x14ac:dyDescent="0.25">
      <c r="A1672">
        <v>8579202</v>
      </c>
      <c r="B1672" t="s">
        <v>3778</v>
      </c>
      <c r="C1672" t="s">
        <v>650</v>
      </c>
      <c r="D1672" t="s">
        <v>86</v>
      </c>
      <c r="E1672" t="s">
        <v>87</v>
      </c>
      <c r="F1672" t="s">
        <v>3691</v>
      </c>
      <c r="G1672">
        <v>5886</v>
      </c>
      <c r="H1672" t="s">
        <v>3702</v>
      </c>
      <c r="I1672" t="s">
        <v>651</v>
      </c>
      <c r="K1672">
        <v>2557992.7640900002</v>
      </c>
      <c r="L1672">
        <v>1144227.1573900001</v>
      </c>
      <c r="M1672">
        <v>446</v>
      </c>
      <c r="N1672" t="s">
        <v>3779</v>
      </c>
    </row>
    <row r="1673" spans="1:14" x14ac:dyDescent="0.25">
      <c r="A1673">
        <v>8579199</v>
      </c>
      <c r="B1673" t="s">
        <v>3780</v>
      </c>
      <c r="C1673" t="s">
        <v>650</v>
      </c>
      <c r="D1673" t="s">
        <v>86</v>
      </c>
      <c r="E1673" t="s">
        <v>87</v>
      </c>
      <c r="F1673" t="s">
        <v>3691</v>
      </c>
      <c r="G1673">
        <v>5886</v>
      </c>
      <c r="H1673" t="s">
        <v>3702</v>
      </c>
      <c r="I1673" t="s">
        <v>651</v>
      </c>
      <c r="K1673">
        <v>2558320</v>
      </c>
      <c r="L1673">
        <v>1143841</v>
      </c>
      <c r="M1673">
        <v>412</v>
      </c>
      <c r="N1673" t="s">
        <v>3781</v>
      </c>
    </row>
    <row r="1674" spans="1:14" x14ac:dyDescent="0.25">
      <c r="A1674">
        <v>8579196</v>
      </c>
      <c r="B1674" t="s">
        <v>3782</v>
      </c>
      <c r="C1674" t="s">
        <v>650</v>
      </c>
      <c r="D1674" t="s">
        <v>86</v>
      </c>
      <c r="E1674" t="s">
        <v>87</v>
      </c>
      <c r="F1674" t="s">
        <v>3691</v>
      </c>
      <c r="G1674">
        <v>5886</v>
      </c>
      <c r="H1674" t="s">
        <v>3702</v>
      </c>
      <c r="I1674" t="s">
        <v>651</v>
      </c>
      <c r="K1674">
        <v>2558280</v>
      </c>
      <c r="L1674">
        <v>1143358</v>
      </c>
      <c r="M1674">
        <v>380</v>
      </c>
      <c r="N1674" t="s">
        <v>3783</v>
      </c>
    </row>
    <row r="1675" spans="1:14" x14ac:dyDescent="0.25">
      <c r="A1675">
        <v>8593935</v>
      </c>
      <c r="B1675" t="s">
        <v>3784</v>
      </c>
      <c r="C1675" t="s">
        <v>650</v>
      </c>
      <c r="D1675" t="s">
        <v>86</v>
      </c>
      <c r="E1675" t="s">
        <v>87</v>
      </c>
      <c r="F1675" t="s">
        <v>3691</v>
      </c>
      <c r="G1675">
        <v>5886</v>
      </c>
      <c r="H1675" t="s">
        <v>3691</v>
      </c>
      <c r="I1675" t="s">
        <v>651</v>
      </c>
      <c r="K1675">
        <v>2559389</v>
      </c>
      <c r="L1675">
        <v>1142473</v>
      </c>
      <c r="M1675">
        <v>377</v>
      </c>
      <c r="N1675" t="s">
        <v>3785</v>
      </c>
    </row>
    <row r="1676" spans="1:14" x14ac:dyDescent="0.25">
      <c r="A1676">
        <v>8593923</v>
      </c>
      <c r="B1676" t="s">
        <v>3786</v>
      </c>
      <c r="C1676" t="s">
        <v>650</v>
      </c>
      <c r="D1676" t="s">
        <v>86</v>
      </c>
      <c r="E1676" t="s">
        <v>87</v>
      </c>
      <c r="F1676" t="s">
        <v>3691</v>
      </c>
      <c r="G1676">
        <v>5886</v>
      </c>
      <c r="H1676" t="s">
        <v>3691</v>
      </c>
      <c r="I1676" t="s">
        <v>651</v>
      </c>
      <c r="K1676">
        <v>2559838</v>
      </c>
      <c r="L1676">
        <v>1142241</v>
      </c>
      <c r="M1676">
        <v>387</v>
      </c>
      <c r="N1676" t="s">
        <v>3787</v>
      </c>
    </row>
    <row r="1677" spans="1:14" x14ac:dyDescent="0.25">
      <c r="A1677">
        <v>8593933</v>
      </c>
      <c r="B1677" t="s">
        <v>3788</v>
      </c>
      <c r="C1677" t="s">
        <v>650</v>
      </c>
      <c r="D1677" t="s">
        <v>86</v>
      </c>
      <c r="E1677" t="s">
        <v>87</v>
      </c>
      <c r="F1677" t="s">
        <v>3691</v>
      </c>
      <c r="G1677">
        <v>5886</v>
      </c>
      <c r="H1677" t="s">
        <v>3691</v>
      </c>
      <c r="I1677" t="s">
        <v>651</v>
      </c>
      <c r="K1677">
        <v>2559895</v>
      </c>
      <c r="L1677">
        <v>1142521</v>
      </c>
      <c r="M1677">
        <v>435</v>
      </c>
      <c r="N1677" t="s">
        <v>3789</v>
      </c>
    </row>
    <row r="1678" spans="1:14" x14ac:dyDescent="0.25">
      <c r="A1678">
        <v>8594160</v>
      </c>
      <c r="B1678" t="s">
        <v>3790</v>
      </c>
      <c r="C1678" t="s">
        <v>650</v>
      </c>
      <c r="D1678" t="s">
        <v>86</v>
      </c>
      <c r="E1678" t="s">
        <v>87</v>
      </c>
      <c r="F1678" t="s">
        <v>3691</v>
      </c>
      <c r="G1678">
        <v>5886</v>
      </c>
      <c r="H1678" t="s">
        <v>3702</v>
      </c>
      <c r="I1678" t="s">
        <v>651</v>
      </c>
      <c r="K1678">
        <v>2557996</v>
      </c>
      <c r="L1678">
        <v>1143391</v>
      </c>
      <c r="M1678">
        <v>380</v>
      </c>
      <c r="N1678" t="s">
        <v>3791</v>
      </c>
    </row>
    <row r="1679" spans="1:14" x14ac:dyDescent="0.25">
      <c r="A1679">
        <v>8593948</v>
      </c>
      <c r="B1679" t="s">
        <v>3792</v>
      </c>
      <c r="C1679" t="s">
        <v>650</v>
      </c>
      <c r="D1679" t="s">
        <v>86</v>
      </c>
      <c r="E1679" t="s">
        <v>87</v>
      </c>
      <c r="F1679" t="s">
        <v>3691</v>
      </c>
      <c r="G1679">
        <v>5886</v>
      </c>
      <c r="H1679" t="s">
        <v>3697</v>
      </c>
      <c r="I1679" t="s">
        <v>651</v>
      </c>
      <c r="K1679">
        <v>2560556</v>
      </c>
      <c r="L1679">
        <v>1141455</v>
      </c>
      <c r="M1679">
        <v>399</v>
      </c>
      <c r="N1679" t="s">
        <v>3793</v>
      </c>
    </row>
    <row r="1680" spans="1:14" x14ac:dyDescent="0.25">
      <c r="A1680">
        <v>8593941</v>
      </c>
      <c r="B1680" t="s">
        <v>3794</v>
      </c>
      <c r="C1680" t="s">
        <v>650</v>
      </c>
      <c r="D1680" t="s">
        <v>86</v>
      </c>
      <c r="E1680" t="s">
        <v>87</v>
      </c>
      <c r="F1680" t="s">
        <v>3691</v>
      </c>
      <c r="G1680">
        <v>5886</v>
      </c>
      <c r="H1680" t="s">
        <v>3691</v>
      </c>
      <c r="I1680" t="s">
        <v>651</v>
      </c>
      <c r="K1680">
        <v>2559629</v>
      </c>
      <c r="L1680">
        <v>1142527</v>
      </c>
      <c r="M1680">
        <v>407</v>
      </c>
      <c r="N1680" t="s">
        <v>3795</v>
      </c>
    </row>
    <row r="1681" spans="1:14" x14ac:dyDescent="0.25">
      <c r="A1681">
        <v>8593925</v>
      </c>
      <c r="B1681" t="s">
        <v>3796</v>
      </c>
      <c r="C1681" t="s">
        <v>650</v>
      </c>
      <c r="D1681" t="s">
        <v>86</v>
      </c>
      <c r="E1681" t="s">
        <v>87</v>
      </c>
      <c r="F1681" t="s">
        <v>3691</v>
      </c>
      <c r="G1681">
        <v>5886</v>
      </c>
      <c r="H1681" t="s">
        <v>3691</v>
      </c>
      <c r="I1681" t="s">
        <v>651</v>
      </c>
      <c r="K1681">
        <v>2559153</v>
      </c>
      <c r="L1681">
        <v>1143105</v>
      </c>
      <c r="M1681">
        <v>380</v>
      </c>
      <c r="N1681" t="s">
        <v>3797</v>
      </c>
    </row>
    <row r="1682" spans="1:14" x14ac:dyDescent="0.25">
      <c r="A1682">
        <v>8593947</v>
      </c>
      <c r="B1682" t="s">
        <v>3798</v>
      </c>
      <c r="C1682" t="s">
        <v>650</v>
      </c>
      <c r="D1682" t="s">
        <v>86</v>
      </c>
      <c r="E1682" t="s">
        <v>87</v>
      </c>
      <c r="F1682" t="s">
        <v>3691</v>
      </c>
      <c r="G1682">
        <v>5886</v>
      </c>
      <c r="H1682" t="s">
        <v>3697</v>
      </c>
      <c r="I1682" t="s">
        <v>651</v>
      </c>
      <c r="K1682">
        <v>2560364</v>
      </c>
      <c r="L1682">
        <v>1141805</v>
      </c>
      <c r="M1682">
        <v>386</v>
      </c>
      <c r="N1682" t="s">
        <v>3799</v>
      </c>
    </row>
    <row r="1683" spans="1:14" x14ac:dyDescent="0.25">
      <c r="A1683">
        <v>8593924</v>
      </c>
      <c r="B1683" t="s">
        <v>3800</v>
      </c>
      <c r="C1683" t="s">
        <v>650</v>
      </c>
      <c r="D1683" t="s">
        <v>86</v>
      </c>
      <c r="E1683" t="s">
        <v>87</v>
      </c>
      <c r="F1683" t="s">
        <v>3691</v>
      </c>
      <c r="G1683">
        <v>5886</v>
      </c>
      <c r="H1683" t="s">
        <v>3691</v>
      </c>
      <c r="I1683" t="s">
        <v>651</v>
      </c>
      <c r="K1683">
        <v>2559558.7603199999</v>
      </c>
      <c r="L1683">
        <v>1142241.33237</v>
      </c>
      <c r="M1683">
        <v>383</v>
      </c>
      <c r="N1683" t="s">
        <v>3801</v>
      </c>
    </row>
    <row r="1684" spans="1:14" x14ac:dyDescent="0.25">
      <c r="A1684">
        <v>8593928</v>
      </c>
      <c r="B1684" t="s">
        <v>3802</v>
      </c>
      <c r="C1684" t="s">
        <v>650</v>
      </c>
      <c r="D1684" t="s">
        <v>86</v>
      </c>
      <c r="E1684" t="s">
        <v>87</v>
      </c>
      <c r="F1684" t="s">
        <v>3691</v>
      </c>
      <c r="G1684">
        <v>5886</v>
      </c>
      <c r="H1684" t="s">
        <v>3691</v>
      </c>
      <c r="I1684" t="s">
        <v>651</v>
      </c>
      <c r="K1684">
        <v>2559308.9838200002</v>
      </c>
      <c r="L1684">
        <v>1142881.0344499999</v>
      </c>
      <c r="M1684">
        <v>376</v>
      </c>
      <c r="N1684" t="s">
        <v>3803</v>
      </c>
    </row>
    <row r="1685" spans="1:14" x14ac:dyDescent="0.25">
      <c r="A1685">
        <v>8583689</v>
      </c>
      <c r="B1685" t="s">
        <v>3804</v>
      </c>
      <c r="C1685" t="s">
        <v>94</v>
      </c>
      <c r="D1685" t="s">
        <v>86</v>
      </c>
      <c r="E1685" t="s">
        <v>87</v>
      </c>
      <c r="F1685" t="s">
        <v>3691</v>
      </c>
      <c r="G1685">
        <v>5886</v>
      </c>
      <c r="H1685" t="s">
        <v>3765</v>
      </c>
      <c r="I1685" t="s">
        <v>96</v>
      </c>
      <c r="K1685">
        <v>2559199</v>
      </c>
      <c r="L1685">
        <v>1144711</v>
      </c>
      <c r="M1685">
        <v>641</v>
      </c>
      <c r="N1685" t="s">
        <v>3805</v>
      </c>
    </row>
    <row r="1686" spans="1:14" x14ac:dyDescent="0.25">
      <c r="A1686">
        <v>8586314</v>
      </c>
      <c r="B1686" t="s">
        <v>3806</v>
      </c>
      <c r="C1686" t="s">
        <v>94</v>
      </c>
      <c r="D1686" t="s">
        <v>86</v>
      </c>
      <c r="E1686" t="s">
        <v>87</v>
      </c>
      <c r="F1686" t="s">
        <v>3691</v>
      </c>
      <c r="G1686">
        <v>5886</v>
      </c>
      <c r="H1686" t="s">
        <v>3807</v>
      </c>
      <c r="I1686" t="s">
        <v>96</v>
      </c>
      <c r="J1686" t="s">
        <v>2094</v>
      </c>
      <c r="K1686">
        <v>2559683</v>
      </c>
      <c r="L1686">
        <v>1143538</v>
      </c>
      <c r="M1686">
        <v>740</v>
      </c>
      <c r="N1686" t="s">
        <v>3808</v>
      </c>
    </row>
    <row r="1687" spans="1:14" x14ac:dyDescent="0.25">
      <c r="A1687">
        <v>8570578</v>
      </c>
      <c r="B1687" t="s">
        <v>3809</v>
      </c>
      <c r="C1687" t="s">
        <v>94</v>
      </c>
      <c r="D1687" t="s">
        <v>86</v>
      </c>
      <c r="E1687" t="s">
        <v>87</v>
      </c>
      <c r="F1687" t="s">
        <v>3691</v>
      </c>
      <c r="G1687">
        <v>5886</v>
      </c>
      <c r="H1687" t="s">
        <v>3765</v>
      </c>
      <c r="I1687" t="s">
        <v>96</v>
      </c>
      <c r="K1687">
        <v>2559268</v>
      </c>
      <c r="L1687">
        <v>1144845</v>
      </c>
      <c r="M1687">
        <v>679</v>
      </c>
      <c r="N1687" t="s">
        <v>3810</v>
      </c>
    </row>
    <row r="1688" spans="1:14" x14ac:dyDescent="0.25">
      <c r="A1688">
        <v>8570571</v>
      </c>
      <c r="B1688" t="s">
        <v>3811</v>
      </c>
      <c r="C1688" t="s">
        <v>94</v>
      </c>
      <c r="D1688" t="s">
        <v>86</v>
      </c>
      <c r="E1688" t="s">
        <v>87</v>
      </c>
      <c r="F1688" t="s">
        <v>3691</v>
      </c>
      <c r="G1688">
        <v>5886</v>
      </c>
      <c r="H1688" t="s">
        <v>3812</v>
      </c>
      <c r="I1688" t="s">
        <v>96</v>
      </c>
      <c r="J1688" t="s">
        <v>3813</v>
      </c>
      <c r="K1688">
        <v>2560784</v>
      </c>
      <c r="L1688">
        <v>1147089</v>
      </c>
      <c r="M1688">
        <v>995</v>
      </c>
      <c r="N1688" t="s">
        <v>3814</v>
      </c>
    </row>
    <row r="1689" spans="1:14" x14ac:dyDescent="0.25">
      <c r="A1689">
        <v>8510437</v>
      </c>
      <c r="B1689" t="s">
        <v>3815</v>
      </c>
      <c r="C1689" t="s">
        <v>3689</v>
      </c>
      <c r="D1689" t="s">
        <v>86</v>
      </c>
      <c r="E1689" t="s">
        <v>87</v>
      </c>
      <c r="F1689" t="s">
        <v>3691</v>
      </c>
      <c r="G1689">
        <v>5886</v>
      </c>
      <c r="H1689" t="s">
        <v>3692</v>
      </c>
      <c r="I1689" t="s">
        <v>3693</v>
      </c>
      <c r="K1689">
        <v>2560452</v>
      </c>
      <c r="L1689">
        <v>1142437</v>
      </c>
      <c r="M1689">
        <v>690</v>
      </c>
      <c r="N1689" t="s">
        <v>3816</v>
      </c>
    </row>
    <row r="1690" spans="1:14" x14ac:dyDescent="0.25">
      <c r="A1690">
        <v>8530672</v>
      </c>
      <c r="B1690" t="s">
        <v>3817</v>
      </c>
      <c r="C1690" t="s">
        <v>3716</v>
      </c>
      <c r="E1690" t="s">
        <v>87</v>
      </c>
      <c r="F1690" t="s">
        <v>3691</v>
      </c>
      <c r="G1690">
        <v>5886</v>
      </c>
      <c r="H1690" t="s">
        <v>3697</v>
      </c>
      <c r="I1690" t="s">
        <v>3717</v>
      </c>
      <c r="J1690" t="s">
        <v>3818</v>
      </c>
      <c r="K1690">
        <v>2560433</v>
      </c>
      <c r="L1690">
        <v>1141763</v>
      </c>
      <c r="M1690">
        <v>393</v>
      </c>
      <c r="N1690" t="s">
        <v>3819</v>
      </c>
    </row>
    <row r="1691" spans="1:14" x14ac:dyDescent="0.25">
      <c r="A1691">
        <v>8501390</v>
      </c>
      <c r="B1691" t="s">
        <v>3820</v>
      </c>
      <c r="C1691" t="s">
        <v>1028</v>
      </c>
      <c r="D1691" t="s">
        <v>112</v>
      </c>
      <c r="E1691" t="s">
        <v>87</v>
      </c>
      <c r="F1691" t="s">
        <v>3691</v>
      </c>
      <c r="G1691">
        <v>5886</v>
      </c>
      <c r="H1691" t="s">
        <v>3691</v>
      </c>
      <c r="I1691" t="s">
        <v>1029</v>
      </c>
      <c r="K1691">
        <v>2559077.2480000001</v>
      </c>
      <c r="L1691">
        <v>1143550.581</v>
      </c>
      <c r="M1691">
        <v>462</v>
      </c>
      <c r="N1691" t="s">
        <v>3821</v>
      </c>
    </row>
    <row r="1692" spans="1:14" x14ac:dyDescent="0.25">
      <c r="A1692">
        <v>8501361</v>
      </c>
      <c r="B1692" t="s">
        <v>3822</v>
      </c>
      <c r="C1692" t="s">
        <v>3689</v>
      </c>
      <c r="D1692" t="s">
        <v>3690</v>
      </c>
      <c r="E1692" t="s">
        <v>87</v>
      </c>
      <c r="F1692" t="s">
        <v>3691</v>
      </c>
      <c r="G1692">
        <v>5886</v>
      </c>
      <c r="H1692" t="s">
        <v>3697</v>
      </c>
      <c r="I1692" t="s">
        <v>3693</v>
      </c>
      <c r="K1692">
        <v>2560784.5099999998</v>
      </c>
      <c r="L1692">
        <v>1141967.297</v>
      </c>
      <c r="M1692">
        <v>576.70000000000005</v>
      </c>
      <c r="N1692" t="s">
        <v>3823</v>
      </c>
    </row>
    <row r="1693" spans="1:14" x14ac:dyDescent="0.25">
      <c r="A1693">
        <v>8501360</v>
      </c>
      <c r="B1693" t="s">
        <v>3824</v>
      </c>
      <c r="C1693" t="s">
        <v>3689</v>
      </c>
      <c r="D1693" t="s">
        <v>3690</v>
      </c>
      <c r="E1693" t="s">
        <v>87</v>
      </c>
      <c r="F1693" t="s">
        <v>3691</v>
      </c>
      <c r="G1693">
        <v>5886</v>
      </c>
      <c r="H1693" t="s">
        <v>3691</v>
      </c>
      <c r="I1693" t="s">
        <v>3693</v>
      </c>
      <c r="K1693">
        <v>2559949.75</v>
      </c>
      <c r="L1693">
        <v>1142550.8689999999</v>
      </c>
      <c r="M1693">
        <v>451.2</v>
      </c>
      <c r="N1693" t="s">
        <v>3825</v>
      </c>
    </row>
    <row r="1694" spans="1:14" x14ac:dyDescent="0.25">
      <c r="A1694">
        <v>8501367</v>
      </c>
      <c r="B1694" t="s">
        <v>3826</v>
      </c>
      <c r="C1694" t="s">
        <v>3689</v>
      </c>
      <c r="D1694" t="s">
        <v>3690</v>
      </c>
      <c r="E1694" t="s">
        <v>87</v>
      </c>
      <c r="F1694" t="s">
        <v>3691</v>
      </c>
      <c r="G1694">
        <v>5886</v>
      </c>
      <c r="H1694" t="s">
        <v>3705</v>
      </c>
      <c r="I1694" t="s">
        <v>3693</v>
      </c>
      <c r="K1694">
        <v>2564507.5099999998</v>
      </c>
      <c r="L1694">
        <v>1143438.2620000001</v>
      </c>
      <c r="M1694">
        <v>1737.7</v>
      </c>
      <c r="N1694" t="s">
        <v>3827</v>
      </c>
    </row>
    <row r="1695" spans="1:14" x14ac:dyDescent="0.25">
      <c r="A1695">
        <v>8501366</v>
      </c>
      <c r="B1695" t="s">
        <v>3828</v>
      </c>
      <c r="C1695" t="s">
        <v>3689</v>
      </c>
      <c r="D1695" t="s">
        <v>3690</v>
      </c>
      <c r="E1695" t="s">
        <v>87</v>
      </c>
      <c r="F1695" t="s">
        <v>3691</v>
      </c>
      <c r="G1695">
        <v>5886</v>
      </c>
      <c r="H1695" t="s">
        <v>3705</v>
      </c>
      <c r="I1695" t="s">
        <v>3693</v>
      </c>
      <c r="K1695">
        <v>2563421.5410000002</v>
      </c>
      <c r="L1695">
        <v>1143046.791</v>
      </c>
      <c r="M1695">
        <v>1423.7</v>
      </c>
      <c r="N1695" t="s">
        <v>3829</v>
      </c>
    </row>
    <row r="1696" spans="1:14" x14ac:dyDescent="0.25">
      <c r="A1696">
        <v>8570576</v>
      </c>
      <c r="B1696" t="s">
        <v>3830</v>
      </c>
      <c r="C1696" t="s">
        <v>94</v>
      </c>
      <c r="D1696" t="s">
        <v>86</v>
      </c>
      <c r="E1696" t="s">
        <v>87</v>
      </c>
      <c r="F1696" t="s">
        <v>3691</v>
      </c>
      <c r="G1696">
        <v>5886</v>
      </c>
      <c r="H1696" t="s">
        <v>3765</v>
      </c>
      <c r="I1696" t="s">
        <v>96</v>
      </c>
      <c r="K1696">
        <v>2560094</v>
      </c>
      <c r="L1696">
        <v>1145124</v>
      </c>
      <c r="M1696">
        <v>924</v>
      </c>
      <c r="N1696" t="s">
        <v>3831</v>
      </c>
    </row>
    <row r="1697" spans="1:14" x14ac:dyDescent="0.25">
      <c r="A1697">
        <v>8570575</v>
      </c>
      <c r="B1697" t="s">
        <v>3832</v>
      </c>
      <c r="C1697" t="s">
        <v>94</v>
      </c>
      <c r="D1697" t="s">
        <v>86</v>
      </c>
      <c r="E1697" t="s">
        <v>87</v>
      </c>
      <c r="F1697" t="s">
        <v>3691</v>
      </c>
      <c r="G1697">
        <v>5886</v>
      </c>
      <c r="H1697" t="s">
        <v>3812</v>
      </c>
      <c r="I1697" t="s">
        <v>96</v>
      </c>
      <c r="K1697">
        <v>2560654</v>
      </c>
      <c r="L1697">
        <v>1145522</v>
      </c>
      <c r="M1697">
        <v>978</v>
      </c>
      <c r="N1697" t="s">
        <v>3833</v>
      </c>
    </row>
    <row r="1698" spans="1:14" x14ac:dyDescent="0.25">
      <c r="A1698">
        <v>8592618</v>
      </c>
      <c r="B1698" t="s">
        <v>3834</v>
      </c>
      <c r="C1698" t="s">
        <v>3689</v>
      </c>
      <c r="D1698" t="s">
        <v>1004</v>
      </c>
      <c r="E1698" t="s">
        <v>87</v>
      </c>
      <c r="F1698" t="s">
        <v>3691</v>
      </c>
      <c r="G1698">
        <v>5886</v>
      </c>
      <c r="H1698" t="s">
        <v>3697</v>
      </c>
      <c r="I1698" t="s">
        <v>3693</v>
      </c>
      <c r="J1698" t="s">
        <v>3835</v>
      </c>
      <c r="K1698">
        <v>2560404</v>
      </c>
      <c r="L1698">
        <v>1142012</v>
      </c>
      <c r="M1698">
        <v>461</v>
      </c>
      <c r="N1698" t="s">
        <v>3836</v>
      </c>
    </row>
    <row r="1699" spans="1:14" x14ac:dyDescent="0.25">
      <c r="A1699">
        <v>8593914</v>
      </c>
      <c r="B1699" t="s">
        <v>3837</v>
      </c>
      <c r="C1699" t="s">
        <v>650</v>
      </c>
      <c r="D1699" t="s">
        <v>86</v>
      </c>
      <c r="E1699" t="s">
        <v>87</v>
      </c>
      <c r="F1699" t="s">
        <v>3691</v>
      </c>
      <c r="G1699">
        <v>5886</v>
      </c>
      <c r="H1699" t="s">
        <v>3724</v>
      </c>
      <c r="I1699" t="s">
        <v>651</v>
      </c>
      <c r="K1699">
        <v>2557736.1346300002</v>
      </c>
      <c r="L1699">
        <v>1144641.78578</v>
      </c>
      <c r="M1699">
        <v>443</v>
      </c>
      <c r="N1699" t="s">
        <v>3838</v>
      </c>
    </row>
    <row r="1700" spans="1:14" x14ac:dyDescent="0.25">
      <c r="A1700">
        <v>8511807</v>
      </c>
      <c r="B1700" t="s">
        <v>3839</v>
      </c>
      <c r="C1700" t="s">
        <v>3689</v>
      </c>
      <c r="D1700" t="s">
        <v>86</v>
      </c>
      <c r="E1700" t="s">
        <v>87</v>
      </c>
      <c r="F1700" t="s">
        <v>3691</v>
      </c>
      <c r="G1700">
        <v>5886</v>
      </c>
      <c r="H1700" t="s">
        <v>3705</v>
      </c>
      <c r="I1700" t="s">
        <v>3693</v>
      </c>
      <c r="K1700">
        <v>2561519</v>
      </c>
      <c r="L1700">
        <v>1142333.3</v>
      </c>
      <c r="M1700">
        <v>1049</v>
      </c>
      <c r="N1700" t="s">
        <v>3840</v>
      </c>
    </row>
    <row r="1701" spans="1:14" x14ac:dyDescent="0.25">
      <c r="A1701">
        <v>8511809</v>
      </c>
      <c r="B1701" t="s">
        <v>3841</v>
      </c>
      <c r="C1701" t="s">
        <v>3689</v>
      </c>
      <c r="D1701" t="s">
        <v>86</v>
      </c>
      <c r="E1701" t="s">
        <v>87</v>
      </c>
      <c r="F1701" t="s">
        <v>3691</v>
      </c>
      <c r="G1701">
        <v>5886</v>
      </c>
      <c r="H1701" t="s">
        <v>3705</v>
      </c>
      <c r="I1701" t="s">
        <v>3693</v>
      </c>
      <c r="K1701">
        <v>2562165.6</v>
      </c>
      <c r="L1701">
        <v>1142649.5</v>
      </c>
      <c r="M1701">
        <v>1154.5</v>
      </c>
      <c r="N1701" t="s">
        <v>3842</v>
      </c>
    </row>
    <row r="1702" spans="1:14" x14ac:dyDescent="0.25">
      <c r="A1702">
        <v>8511910</v>
      </c>
      <c r="B1702" t="s">
        <v>3843</v>
      </c>
      <c r="C1702" t="s">
        <v>1028</v>
      </c>
      <c r="D1702" t="s">
        <v>86</v>
      </c>
      <c r="E1702" t="s">
        <v>87</v>
      </c>
      <c r="F1702" t="s">
        <v>3691</v>
      </c>
      <c r="G1702">
        <v>5886</v>
      </c>
      <c r="H1702" t="s">
        <v>3807</v>
      </c>
      <c r="I1702" t="s">
        <v>1029</v>
      </c>
      <c r="K1702">
        <v>2560314</v>
      </c>
      <c r="L1702">
        <v>1143188</v>
      </c>
      <c r="M1702">
        <v>662.8</v>
      </c>
      <c r="N1702" t="s">
        <v>3844</v>
      </c>
    </row>
    <row r="1703" spans="1:14" x14ac:dyDescent="0.25">
      <c r="A1703">
        <v>8593939</v>
      </c>
      <c r="B1703" t="s">
        <v>3845</v>
      </c>
      <c r="C1703" t="s">
        <v>650</v>
      </c>
      <c r="D1703" t="s">
        <v>86</v>
      </c>
      <c r="E1703" t="s">
        <v>87</v>
      </c>
      <c r="F1703" t="s">
        <v>3691</v>
      </c>
      <c r="G1703">
        <v>5886</v>
      </c>
      <c r="H1703" t="s">
        <v>3691</v>
      </c>
      <c r="I1703" t="s">
        <v>651</v>
      </c>
      <c r="K1703">
        <v>2559383.9549799999</v>
      </c>
      <c r="L1703">
        <v>1143145.4883399999</v>
      </c>
      <c r="M1703">
        <v>420</v>
      </c>
      <c r="N1703" t="s">
        <v>3846</v>
      </c>
    </row>
    <row r="1704" spans="1:14" x14ac:dyDescent="0.25">
      <c r="A1704">
        <v>8593942</v>
      </c>
      <c r="B1704" t="s">
        <v>3847</v>
      </c>
      <c r="C1704" t="s">
        <v>650</v>
      </c>
      <c r="D1704" t="s">
        <v>86</v>
      </c>
      <c r="E1704" t="s">
        <v>87</v>
      </c>
      <c r="F1704" t="s">
        <v>3691</v>
      </c>
      <c r="G1704">
        <v>5886</v>
      </c>
      <c r="H1704" t="s">
        <v>3691</v>
      </c>
      <c r="I1704" t="s">
        <v>651</v>
      </c>
      <c r="K1704">
        <v>2559785.9980000001</v>
      </c>
      <c r="L1704">
        <v>1142654.2379999999</v>
      </c>
      <c r="M1704">
        <v>429</v>
      </c>
      <c r="N1704" t="s">
        <v>3848</v>
      </c>
    </row>
    <row r="1705" spans="1:14" x14ac:dyDescent="0.25">
      <c r="A1705">
        <v>8595873</v>
      </c>
      <c r="B1705" t="s">
        <v>3849</v>
      </c>
      <c r="C1705" t="s">
        <v>650</v>
      </c>
      <c r="D1705" t="s">
        <v>86</v>
      </c>
      <c r="E1705" t="s">
        <v>87</v>
      </c>
      <c r="F1705" t="s">
        <v>3691</v>
      </c>
      <c r="G1705">
        <v>5886</v>
      </c>
      <c r="H1705" t="s">
        <v>3807</v>
      </c>
      <c r="I1705" t="s">
        <v>651</v>
      </c>
      <c r="K1705">
        <v>2559435</v>
      </c>
      <c r="L1705">
        <v>1143744</v>
      </c>
      <c r="M1705">
        <v>576</v>
      </c>
      <c r="N1705" t="s">
        <v>3850</v>
      </c>
    </row>
    <row r="1706" spans="1:14" x14ac:dyDescent="0.25">
      <c r="A1706">
        <v>8579205</v>
      </c>
      <c r="B1706" t="s">
        <v>3851</v>
      </c>
      <c r="C1706" t="s">
        <v>650</v>
      </c>
      <c r="D1706" t="s">
        <v>86</v>
      </c>
      <c r="E1706" t="s">
        <v>87</v>
      </c>
      <c r="F1706" t="s">
        <v>3691</v>
      </c>
      <c r="G1706">
        <v>5886</v>
      </c>
      <c r="H1706" t="s">
        <v>3724</v>
      </c>
      <c r="I1706" t="s">
        <v>651</v>
      </c>
      <c r="K1706">
        <v>2558416.1889999998</v>
      </c>
      <c r="L1706">
        <v>1144966.95</v>
      </c>
      <c r="M1706">
        <v>501</v>
      </c>
      <c r="N1706" t="s">
        <v>3852</v>
      </c>
    </row>
    <row r="1707" spans="1:14" x14ac:dyDescent="0.25">
      <c r="A1707">
        <v>8579208</v>
      </c>
      <c r="B1707" t="s">
        <v>3853</v>
      </c>
      <c r="C1707" t="s">
        <v>650</v>
      </c>
      <c r="D1707" t="s">
        <v>86</v>
      </c>
      <c r="E1707" t="s">
        <v>87</v>
      </c>
      <c r="F1707" t="s">
        <v>3691</v>
      </c>
      <c r="G1707">
        <v>5886</v>
      </c>
      <c r="H1707" t="s">
        <v>3709</v>
      </c>
      <c r="I1707" t="s">
        <v>651</v>
      </c>
      <c r="J1707" t="s">
        <v>3854</v>
      </c>
      <c r="K1707">
        <v>2558693.7357100002</v>
      </c>
      <c r="L1707">
        <v>1145382.28226</v>
      </c>
      <c r="M1707">
        <v>566</v>
      </c>
      <c r="N1707" t="s">
        <v>3855</v>
      </c>
    </row>
    <row r="1708" spans="1:14" x14ac:dyDescent="0.25">
      <c r="A1708">
        <v>8579200</v>
      </c>
      <c r="B1708" t="s">
        <v>3856</v>
      </c>
      <c r="C1708" t="s">
        <v>650</v>
      </c>
      <c r="D1708" t="s">
        <v>86</v>
      </c>
      <c r="E1708" t="s">
        <v>87</v>
      </c>
      <c r="F1708" t="s">
        <v>3691</v>
      </c>
      <c r="G1708">
        <v>5886</v>
      </c>
      <c r="H1708" t="s">
        <v>3702</v>
      </c>
      <c r="I1708" t="s">
        <v>651</v>
      </c>
      <c r="K1708">
        <v>2558266</v>
      </c>
      <c r="L1708">
        <v>1144013</v>
      </c>
      <c r="M1708">
        <v>424</v>
      </c>
      <c r="N1708" t="s">
        <v>3857</v>
      </c>
    </row>
    <row r="1709" spans="1:14" x14ac:dyDescent="0.25">
      <c r="A1709">
        <v>8579201</v>
      </c>
      <c r="B1709" t="s">
        <v>3858</v>
      </c>
      <c r="C1709" t="s">
        <v>650</v>
      </c>
      <c r="D1709" t="s">
        <v>86</v>
      </c>
      <c r="E1709" t="s">
        <v>87</v>
      </c>
      <c r="F1709" t="s">
        <v>3691</v>
      </c>
      <c r="G1709">
        <v>5886</v>
      </c>
      <c r="H1709" t="s">
        <v>3702</v>
      </c>
      <c r="I1709" t="s">
        <v>651</v>
      </c>
      <c r="K1709">
        <v>2558055.554</v>
      </c>
      <c r="L1709">
        <v>1144043.426</v>
      </c>
      <c r="M1709">
        <v>430</v>
      </c>
      <c r="N1709" t="s">
        <v>3859</v>
      </c>
    </row>
    <row r="1710" spans="1:14" x14ac:dyDescent="0.25">
      <c r="A1710">
        <v>8579206</v>
      </c>
      <c r="B1710" t="s">
        <v>3860</v>
      </c>
      <c r="C1710" t="s">
        <v>650</v>
      </c>
      <c r="D1710" t="s">
        <v>86</v>
      </c>
      <c r="E1710" t="s">
        <v>87</v>
      </c>
      <c r="F1710" t="s">
        <v>3691</v>
      </c>
      <c r="G1710">
        <v>5886</v>
      </c>
      <c r="H1710" t="s">
        <v>3709</v>
      </c>
      <c r="I1710" t="s">
        <v>651</v>
      </c>
      <c r="K1710">
        <v>2558678.7371299998</v>
      </c>
      <c r="L1710">
        <v>1144906.9990399999</v>
      </c>
      <c r="M1710">
        <v>541</v>
      </c>
      <c r="N1710" t="s">
        <v>3861</v>
      </c>
    </row>
    <row r="1711" spans="1:14" x14ac:dyDescent="0.25">
      <c r="A1711">
        <v>8579203</v>
      </c>
      <c r="B1711" t="s">
        <v>3862</v>
      </c>
      <c r="C1711" t="s">
        <v>650</v>
      </c>
      <c r="D1711" t="s">
        <v>86</v>
      </c>
      <c r="E1711" t="s">
        <v>87</v>
      </c>
      <c r="F1711" t="s">
        <v>3691</v>
      </c>
      <c r="G1711">
        <v>5886</v>
      </c>
      <c r="H1711" t="s">
        <v>3724</v>
      </c>
      <c r="I1711" t="s">
        <v>651</v>
      </c>
      <c r="K1711">
        <v>2557906.9334900002</v>
      </c>
      <c r="L1711">
        <v>1144489.2199599999</v>
      </c>
      <c r="M1711">
        <v>455</v>
      </c>
      <c r="N1711" t="s">
        <v>3863</v>
      </c>
    </row>
    <row r="1712" spans="1:14" x14ac:dyDescent="0.25">
      <c r="A1712">
        <v>8510920</v>
      </c>
      <c r="B1712" t="s">
        <v>3864</v>
      </c>
      <c r="C1712" t="s">
        <v>650</v>
      </c>
      <c r="D1712" t="s">
        <v>86</v>
      </c>
      <c r="E1712" t="s">
        <v>87</v>
      </c>
      <c r="F1712" t="s">
        <v>3691</v>
      </c>
      <c r="G1712">
        <v>5886</v>
      </c>
      <c r="H1712" t="s">
        <v>3807</v>
      </c>
      <c r="I1712" t="s">
        <v>651</v>
      </c>
      <c r="K1712">
        <v>2559736.6924100001</v>
      </c>
      <c r="L1712">
        <v>1143446.60262</v>
      </c>
      <c r="M1712">
        <v>544</v>
      </c>
      <c r="N1712" t="s">
        <v>3865</v>
      </c>
    </row>
    <row r="1713" spans="1:14" x14ac:dyDescent="0.25">
      <c r="A1713">
        <v>8511335</v>
      </c>
      <c r="B1713" t="s">
        <v>3866</v>
      </c>
      <c r="C1713" t="s">
        <v>382</v>
      </c>
      <c r="D1713" t="s">
        <v>86</v>
      </c>
      <c r="E1713" t="s">
        <v>87</v>
      </c>
      <c r="F1713" t="s">
        <v>3691</v>
      </c>
      <c r="G1713">
        <v>5886</v>
      </c>
      <c r="H1713" t="s">
        <v>3702</v>
      </c>
      <c r="I1713" t="s">
        <v>384</v>
      </c>
      <c r="K1713">
        <v>2558254.66983</v>
      </c>
      <c r="L1713">
        <v>1143573.0048</v>
      </c>
      <c r="M1713">
        <v>392</v>
      </c>
      <c r="N1713" t="s">
        <v>3867</v>
      </c>
    </row>
    <row r="1714" spans="1:14" x14ac:dyDescent="0.25">
      <c r="A1714">
        <v>8530030</v>
      </c>
      <c r="B1714" t="s">
        <v>3868</v>
      </c>
      <c r="C1714" t="s">
        <v>3716</v>
      </c>
      <c r="E1714" t="s">
        <v>87</v>
      </c>
      <c r="F1714" t="s">
        <v>3691</v>
      </c>
      <c r="G1714">
        <v>5886</v>
      </c>
      <c r="H1714" t="s">
        <v>3697</v>
      </c>
      <c r="I1714" t="s">
        <v>3717</v>
      </c>
      <c r="J1714" t="s">
        <v>3869</v>
      </c>
      <c r="K1714">
        <v>2560754</v>
      </c>
      <c r="L1714">
        <v>1141781</v>
      </c>
      <c r="M1714">
        <v>531</v>
      </c>
      <c r="N1714" t="s">
        <v>3870</v>
      </c>
    </row>
    <row r="1715" spans="1:14" x14ac:dyDescent="0.25">
      <c r="A1715">
        <v>8530029</v>
      </c>
      <c r="B1715" t="s">
        <v>3871</v>
      </c>
      <c r="C1715" t="s">
        <v>3716</v>
      </c>
      <c r="E1715" t="s">
        <v>87</v>
      </c>
      <c r="F1715" t="s">
        <v>3691</v>
      </c>
      <c r="G1715">
        <v>5886</v>
      </c>
      <c r="H1715" t="s">
        <v>3697</v>
      </c>
      <c r="I1715" t="s">
        <v>3717</v>
      </c>
      <c r="J1715" t="s">
        <v>3872</v>
      </c>
      <c r="K1715">
        <v>2560710</v>
      </c>
      <c r="L1715">
        <v>1141791</v>
      </c>
      <c r="M1715">
        <v>508</v>
      </c>
      <c r="N1715" t="s">
        <v>3873</v>
      </c>
    </row>
    <row r="1716" spans="1:14" x14ac:dyDescent="0.25">
      <c r="A1716">
        <v>8530673</v>
      </c>
      <c r="B1716" t="s">
        <v>3874</v>
      </c>
      <c r="C1716" t="s">
        <v>3689</v>
      </c>
      <c r="D1716" t="s">
        <v>1004</v>
      </c>
      <c r="E1716" t="s">
        <v>87</v>
      </c>
      <c r="F1716" t="s">
        <v>3691</v>
      </c>
      <c r="G1716">
        <v>5886</v>
      </c>
      <c r="H1716" t="s">
        <v>3697</v>
      </c>
      <c r="I1716" t="s">
        <v>3693</v>
      </c>
      <c r="J1716" t="s">
        <v>3875</v>
      </c>
      <c r="K1716">
        <v>2560397</v>
      </c>
      <c r="L1716">
        <v>1141851</v>
      </c>
      <c r="M1716">
        <v>393</v>
      </c>
      <c r="N1716" t="s">
        <v>3876</v>
      </c>
    </row>
    <row r="1717" spans="1:14" x14ac:dyDescent="0.25">
      <c r="A1717">
        <v>8501359</v>
      </c>
      <c r="B1717" t="s">
        <v>3877</v>
      </c>
      <c r="C1717" t="s">
        <v>3716</v>
      </c>
      <c r="E1717" t="s">
        <v>87</v>
      </c>
      <c r="F1717" t="s">
        <v>3691</v>
      </c>
      <c r="G1717">
        <v>5886</v>
      </c>
      <c r="H1717" t="s">
        <v>3697</v>
      </c>
      <c r="I1717" t="s">
        <v>3717</v>
      </c>
      <c r="J1717" t="s">
        <v>3878</v>
      </c>
      <c r="K1717">
        <v>2560825</v>
      </c>
      <c r="L1717">
        <v>1141749</v>
      </c>
      <c r="M1717">
        <v>575</v>
      </c>
      <c r="N1717" t="s">
        <v>3879</v>
      </c>
    </row>
    <row r="1718" spans="1:14" x14ac:dyDescent="0.25">
      <c r="A1718">
        <v>8519440</v>
      </c>
      <c r="B1718" t="s">
        <v>3880</v>
      </c>
      <c r="C1718" t="s">
        <v>132</v>
      </c>
      <c r="E1718" t="s">
        <v>87</v>
      </c>
      <c r="F1718" t="s">
        <v>3691</v>
      </c>
      <c r="G1718">
        <v>5886</v>
      </c>
      <c r="H1718" t="s">
        <v>3702</v>
      </c>
      <c r="I1718" t="s">
        <v>133</v>
      </c>
      <c r="K1718">
        <v>2557752.8376000002</v>
      </c>
      <c r="L1718">
        <v>1143759.5532</v>
      </c>
      <c r="M1718">
        <v>402.18700000000001</v>
      </c>
      <c r="N1718" t="s">
        <v>3881</v>
      </c>
    </row>
    <row r="1719" spans="1:14" x14ac:dyDescent="0.25">
      <c r="A1719">
        <v>8519695</v>
      </c>
      <c r="B1719" t="s">
        <v>3882</v>
      </c>
      <c r="C1719" t="s">
        <v>132</v>
      </c>
      <c r="E1719" t="s">
        <v>87</v>
      </c>
      <c r="F1719" t="s">
        <v>3691</v>
      </c>
      <c r="G1719">
        <v>5886</v>
      </c>
      <c r="H1719" t="s">
        <v>3691</v>
      </c>
      <c r="I1719" t="s">
        <v>133</v>
      </c>
      <c r="J1719" t="s">
        <v>130</v>
      </c>
      <c r="K1719">
        <v>2559003.0378999999</v>
      </c>
      <c r="L1719">
        <v>1143352.3197999999</v>
      </c>
      <c r="M1719">
        <v>399.23099999999999</v>
      </c>
      <c r="N1719" t="s">
        <v>3883</v>
      </c>
    </row>
    <row r="1720" spans="1:14" x14ac:dyDescent="0.25">
      <c r="A1720">
        <v>8530031</v>
      </c>
      <c r="B1720" t="s">
        <v>3884</v>
      </c>
      <c r="C1720" t="s">
        <v>3689</v>
      </c>
      <c r="D1720" t="s">
        <v>1004</v>
      </c>
      <c r="E1720" t="s">
        <v>87</v>
      </c>
      <c r="F1720" t="s">
        <v>3691</v>
      </c>
      <c r="G1720">
        <v>5886</v>
      </c>
      <c r="H1720" t="s">
        <v>3692</v>
      </c>
      <c r="I1720" t="s">
        <v>3693</v>
      </c>
      <c r="J1720" t="s">
        <v>3885</v>
      </c>
      <c r="K1720">
        <v>2560426</v>
      </c>
      <c r="L1720">
        <v>1142411</v>
      </c>
      <c r="M1720">
        <v>686</v>
      </c>
      <c r="N1720" t="s">
        <v>3886</v>
      </c>
    </row>
    <row r="1721" spans="1:14" x14ac:dyDescent="0.25">
      <c r="A1721">
        <v>8587595</v>
      </c>
      <c r="B1721" t="s">
        <v>3887</v>
      </c>
      <c r="C1721" t="s">
        <v>639</v>
      </c>
      <c r="D1721" t="s">
        <v>112</v>
      </c>
      <c r="E1721" t="s">
        <v>87</v>
      </c>
      <c r="F1721" t="s">
        <v>3691</v>
      </c>
      <c r="G1721">
        <v>5886</v>
      </c>
      <c r="H1721" t="s">
        <v>3765</v>
      </c>
      <c r="I1721" t="s">
        <v>642</v>
      </c>
      <c r="J1721" t="s">
        <v>304</v>
      </c>
      <c r="K1721">
        <v>2559350</v>
      </c>
      <c r="L1721">
        <v>1145200</v>
      </c>
      <c r="M1721">
        <v>710</v>
      </c>
      <c r="N1721" t="s">
        <v>3888</v>
      </c>
    </row>
    <row r="1722" spans="1:14" x14ac:dyDescent="0.25">
      <c r="A1722">
        <v>8570572</v>
      </c>
      <c r="B1722" t="s">
        <v>3889</v>
      </c>
      <c r="C1722" t="s">
        <v>94</v>
      </c>
      <c r="D1722" t="s">
        <v>86</v>
      </c>
      <c r="E1722" t="s">
        <v>87</v>
      </c>
      <c r="F1722" t="s">
        <v>3691</v>
      </c>
      <c r="G1722">
        <v>5886</v>
      </c>
      <c r="H1722" t="s">
        <v>3812</v>
      </c>
      <c r="I1722" t="s">
        <v>96</v>
      </c>
      <c r="K1722">
        <v>2560962</v>
      </c>
      <c r="L1722">
        <v>1146481</v>
      </c>
      <c r="M1722">
        <v>988</v>
      </c>
      <c r="N1722" t="s">
        <v>3890</v>
      </c>
    </row>
    <row r="1723" spans="1:14" x14ac:dyDescent="0.25">
      <c r="A1723">
        <v>8570573</v>
      </c>
      <c r="B1723" t="s">
        <v>3891</v>
      </c>
      <c r="C1723" t="s">
        <v>94</v>
      </c>
      <c r="D1723" t="s">
        <v>86</v>
      </c>
      <c r="E1723" t="s">
        <v>87</v>
      </c>
      <c r="F1723" t="s">
        <v>3691</v>
      </c>
      <c r="G1723">
        <v>5886</v>
      </c>
      <c r="H1723" t="s">
        <v>3812</v>
      </c>
      <c r="I1723" t="s">
        <v>96</v>
      </c>
      <c r="K1723">
        <v>2560953</v>
      </c>
      <c r="L1723">
        <v>1146253</v>
      </c>
      <c r="M1723">
        <v>972</v>
      </c>
      <c r="N1723" t="s">
        <v>3892</v>
      </c>
    </row>
    <row r="1724" spans="1:14" x14ac:dyDescent="0.25">
      <c r="A1724">
        <v>8570577</v>
      </c>
      <c r="B1724" t="s">
        <v>3893</v>
      </c>
      <c r="C1724" t="s">
        <v>94</v>
      </c>
      <c r="D1724" t="s">
        <v>86</v>
      </c>
      <c r="E1724" t="s">
        <v>87</v>
      </c>
      <c r="F1724" t="s">
        <v>3691</v>
      </c>
      <c r="G1724">
        <v>5886</v>
      </c>
      <c r="H1724" t="s">
        <v>3765</v>
      </c>
      <c r="I1724" t="s">
        <v>96</v>
      </c>
      <c r="J1724" t="s">
        <v>3894</v>
      </c>
      <c r="K1724">
        <v>2559698</v>
      </c>
      <c r="L1724">
        <v>1144325</v>
      </c>
      <c r="M1724">
        <v>756</v>
      </c>
      <c r="N1724" t="s">
        <v>3895</v>
      </c>
    </row>
    <row r="1725" spans="1:14" x14ac:dyDescent="0.25">
      <c r="A1725">
        <v>8511801</v>
      </c>
      <c r="B1725" t="s">
        <v>3896</v>
      </c>
      <c r="C1725" t="s">
        <v>3689</v>
      </c>
      <c r="D1725" t="s">
        <v>86</v>
      </c>
      <c r="E1725" t="s">
        <v>87</v>
      </c>
      <c r="F1725" t="s">
        <v>3691</v>
      </c>
      <c r="G1725">
        <v>5886</v>
      </c>
      <c r="H1725" t="s">
        <v>3691</v>
      </c>
      <c r="I1725" t="s">
        <v>3693</v>
      </c>
      <c r="K1725">
        <v>2559926</v>
      </c>
      <c r="L1725">
        <v>1142518.1000000001</v>
      </c>
      <c r="M1725">
        <v>439</v>
      </c>
      <c r="N1725" t="s">
        <v>3897</v>
      </c>
    </row>
    <row r="1726" spans="1:14" x14ac:dyDescent="0.25">
      <c r="A1726">
        <v>8511802</v>
      </c>
      <c r="B1726" t="s">
        <v>3898</v>
      </c>
      <c r="C1726" t="s">
        <v>3689</v>
      </c>
      <c r="D1726" t="s">
        <v>86</v>
      </c>
      <c r="E1726" t="s">
        <v>87</v>
      </c>
      <c r="F1726" t="s">
        <v>3691</v>
      </c>
      <c r="G1726">
        <v>5886</v>
      </c>
      <c r="H1726" t="s">
        <v>3697</v>
      </c>
      <c r="I1726" t="s">
        <v>3693</v>
      </c>
      <c r="K1726">
        <v>2560769</v>
      </c>
      <c r="L1726">
        <v>1141982.75</v>
      </c>
      <c r="M1726">
        <v>580</v>
      </c>
      <c r="N1726" t="s">
        <v>3899</v>
      </c>
    </row>
    <row r="1727" spans="1:14" x14ac:dyDescent="0.25">
      <c r="A1727">
        <v>8511804</v>
      </c>
      <c r="B1727" t="s">
        <v>3900</v>
      </c>
      <c r="C1727" t="s">
        <v>3689</v>
      </c>
      <c r="D1727" t="s">
        <v>86</v>
      </c>
      <c r="E1727" t="s">
        <v>87</v>
      </c>
      <c r="F1727" t="s">
        <v>3691</v>
      </c>
      <c r="G1727">
        <v>5886</v>
      </c>
      <c r="H1727" t="s">
        <v>3692</v>
      </c>
      <c r="I1727" t="s">
        <v>3693</v>
      </c>
      <c r="K1727">
        <v>2560597.1</v>
      </c>
      <c r="L1727">
        <v>1142646.2</v>
      </c>
      <c r="M1727">
        <v>707</v>
      </c>
      <c r="N1727" t="s">
        <v>3901</v>
      </c>
    </row>
    <row r="1728" spans="1:14" x14ac:dyDescent="0.25">
      <c r="A1728">
        <v>8511805</v>
      </c>
      <c r="B1728" t="s">
        <v>3902</v>
      </c>
      <c r="C1728" t="s">
        <v>3689</v>
      </c>
      <c r="D1728" t="s">
        <v>86</v>
      </c>
      <c r="E1728" t="s">
        <v>87</v>
      </c>
      <c r="F1728" t="s">
        <v>3691</v>
      </c>
      <c r="G1728">
        <v>5886</v>
      </c>
      <c r="H1728" t="s">
        <v>3692</v>
      </c>
      <c r="I1728" t="s">
        <v>3693</v>
      </c>
      <c r="K1728">
        <v>2560703</v>
      </c>
      <c r="L1728">
        <v>1142593</v>
      </c>
      <c r="M1728">
        <v>733</v>
      </c>
      <c r="N1728" t="s">
        <v>3903</v>
      </c>
    </row>
    <row r="1729" spans="1:14" x14ac:dyDescent="0.25">
      <c r="A1729">
        <v>8511911</v>
      </c>
      <c r="B1729" t="s">
        <v>3904</v>
      </c>
      <c r="C1729" t="s">
        <v>1028</v>
      </c>
      <c r="D1729" t="s">
        <v>86</v>
      </c>
      <c r="E1729" t="s">
        <v>87</v>
      </c>
      <c r="F1729" t="s">
        <v>3691</v>
      </c>
      <c r="G1729">
        <v>5886</v>
      </c>
      <c r="H1729" t="s">
        <v>3765</v>
      </c>
      <c r="I1729" t="s">
        <v>1029</v>
      </c>
      <c r="K1729">
        <v>2560927</v>
      </c>
      <c r="L1729">
        <v>1144082</v>
      </c>
      <c r="M1729">
        <v>870.4</v>
      </c>
      <c r="N1729" t="s">
        <v>3905</v>
      </c>
    </row>
    <row r="1730" spans="1:14" x14ac:dyDescent="0.25">
      <c r="A1730">
        <v>8593934</v>
      </c>
      <c r="B1730" t="s">
        <v>3906</v>
      </c>
      <c r="C1730" t="s">
        <v>650</v>
      </c>
      <c r="D1730" t="s">
        <v>86</v>
      </c>
      <c r="E1730" t="s">
        <v>87</v>
      </c>
      <c r="F1730" t="s">
        <v>3691</v>
      </c>
      <c r="G1730">
        <v>5886</v>
      </c>
      <c r="H1730" t="s">
        <v>3691</v>
      </c>
      <c r="I1730" t="s">
        <v>651</v>
      </c>
      <c r="K1730">
        <v>2559595</v>
      </c>
      <c r="L1730">
        <v>1143293</v>
      </c>
      <c r="M1730">
        <v>477</v>
      </c>
      <c r="N1730" t="s">
        <v>3907</v>
      </c>
    </row>
    <row r="1731" spans="1:14" x14ac:dyDescent="0.25">
      <c r="A1731">
        <v>8593936</v>
      </c>
      <c r="B1731" t="s">
        <v>3908</v>
      </c>
      <c r="C1731" t="s">
        <v>650</v>
      </c>
      <c r="D1731" t="s">
        <v>86</v>
      </c>
      <c r="E1731" t="s">
        <v>87</v>
      </c>
      <c r="F1731" t="s">
        <v>3691</v>
      </c>
      <c r="G1731">
        <v>5886</v>
      </c>
      <c r="H1731" t="s">
        <v>3691</v>
      </c>
      <c r="I1731" t="s">
        <v>651</v>
      </c>
      <c r="K1731">
        <v>2559956</v>
      </c>
      <c r="L1731">
        <v>1142403</v>
      </c>
      <c r="M1731">
        <v>427</v>
      </c>
      <c r="N1731" t="s">
        <v>3909</v>
      </c>
    </row>
    <row r="1732" spans="1:14" x14ac:dyDescent="0.25">
      <c r="A1732">
        <v>8593926</v>
      </c>
      <c r="B1732" t="s">
        <v>3910</v>
      </c>
      <c r="C1732" t="s">
        <v>650</v>
      </c>
      <c r="D1732" t="s">
        <v>86</v>
      </c>
      <c r="E1732" t="s">
        <v>87</v>
      </c>
      <c r="F1732" t="s">
        <v>3691</v>
      </c>
      <c r="G1732">
        <v>5886</v>
      </c>
      <c r="H1732" t="s">
        <v>3691</v>
      </c>
      <c r="I1732" t="s">
        <v>651</v>
      </c>
      <c r="K1732">
        <v>2559370.5314699998</v>
      </c>
      <c r="L1732">
        <v>1142691.3537099999</v>
      </c>
      <c r="M1732">
        <v>375</v>
      </c>
      <c r="N1732" t="s">
        <v>3911</v>
      </c>
    </row>
    <row r="1733" spans="1:14" x14ac:dyDescent="0.25">
      <c r="A1733">
        <v>8593940</v>
      </c>
      <c r="B1733" t="s">
        <v>3912</v>
      </c>
      <c r="C1733" t="s">
        <v>650</v>
      </c>
      <c r="D1733" t="s">
        <v>86</v>
      </c>
      <c r="E1733" t="s">
        <v>87</v>
      </c>
      <c r="F1733" t="s">
        <v>3691</v>
      </c>
      <c r="G1733">
        <v>5886</v>
      </c>
      <c r="H1733" t="s">
        <v>3691</v>
      </c>
      <c r="I1733" t="s">
        <v>651</v>
      </c>
      <c r="K1733">
        <v>2559446.4578999998</v>
      </c>
      <c r="L1733">
        <v>1142585.5387899999</v>
      </c>
      <c r="M1733">
        <v>391</v>
      </c>
      <c r="N1733" t="s">
        <v>3913</v>
      </c>
    </row>
    <row r="1734" spans="1:14" x14ac:dyDescent="0.25">
      <c r="A1734">
        <v>8501189</v>
      </c>
      <c r="B1734" t="s">
        <v>3914</v>
      </c>
      <c r="C1734" t="s">
        <v>1028</v>
      </c>
      <c r="E1734" t="s">
        <v>87</v>
      </c>
      <c r="F1734" t="s">
        <v>3691</v>
      </c>
      <c r="G1734">
        <v>5886</v>
      </c>
      <c r="H1734" t="s">
        <v>3691</v>
      </c>
      <c r="I1734" t="s">
        <v>1029</v>
      </c>
      <c r="J1734" t="s">
        <v>130</v>
      </c>
      <c r="K1734">
        <v>2558952.8319999999</v>
      </c>
      <c r="L1734">
        <v>1143674.825</v>
      </c>
      <c r="M1734">
        <v>472</v>
      </c>
      <c r="N1734" t="s">
        <v>3915</v>
      </c>
    </row>
    <row r="1735" spans="1:14" x14ac:dyDescent="0.25">
      <c r="A1735">
        <v>8501077</v>
      </c>
      <c r="B1735" t="s">
        <v>3916</v>
      </c>
      <c r="C1735" t="s">
        <v>778</v>
      </c>
      <c r="D1735" t="s">
        <v>302</v>
      </c>
      <c r="E1735" t="s">
        <v>87</v>
      </c>
      <c r="F1735" t="s">
        <v>3691</v>
      </c>
      <c r="G1735">
        <v>5886</v>
      </c>
      <c r="H1735" t="s">
        <v>3691</v>
      </c>
      <c r="I1735" t="s">
        <v>780</v>
      </c>
      <c r="K1735">
        <v>2559332</v>
      </c>
      <c r="L1735">
        <v>1142715</v>
      </c>
      <c r="M1735">
        <v>373</v>
      </c>
      <c r="N1735" t="s">
        <v>3917</v>
      </c>
    </row>
    <row r="1736" spans="1:14" x14ac:dyDescent="0.25">
      <c r="A1736">
        <v>8501383</v>
      </c>
      <c r="B1736" t="s">
        <v>3918</v>
      </c>
      <c r="C1736" t="s">
        <v>1028</v>
      </c>
      <c r="D1736" t="s">
        <v>112</v>
      </c>
      <c r="E1736" t="s">
        <v>87</v>
      </c>
      <c r="F1736" t="s">
        <v>3691</v>
      </c>
      <c r="G1736">
        <v>5886</v>
      </c>
      <c r="H1736" t="s">
        <v>3702</v>
      </c>
      <c r="I1736" t="s">
        <v>1029</v>
      </c>
      <c r="K1736">
        <v>2558690.7769999998</v>
      </c>
      <c r="L1736">
        <v>1144569.297</v>
      </c>
      <c r="M1736">
        <v>527.29999999999995</v>
      </c>
      <c r="N1736" t="s">
        <v>3919</v>
      </c>
    </row>
    <row r="1737" spans="1:14" x14ac:dyDescent="0.25">
      <c r="A1737">
        <v>8501384</v>
      </c>
      <c r="B1737" t="s">
        <v>3920</v>
      </c>
      <c r="C1737" t="s">
        <v>1028</v>
      </c>
      <c r="D1737" t="s">
        <v>112</v>
      </c>
      <c r="E1737" t="s">
        <v>87</v>
      </c>
      <c r="F1737" t="s">
        <v>3691</v>
      </c>
      <c r="G1737">
        <v>5886</v>
      </c>
      <c r="H1737" t="s">
        <v>3807</v>
      </c>
      <c r="I1737" t="s">
        <v>1029</v>
      </c>
      <c r="K1737">
        <v>2560255.2252799999</v>
      </c>
      <c r="L1737">
        <v>1143239.63879</v>
      </c>
      <c r="M1737">
        <v>657.8</v>
      </c>
      <c r="N1737" t="s">
        <v>3921</v>
      </c>
    </row>
    <row r="1738" spans="1:14" x14ac:dyDescent="0.25">
      <c r="A1738">
        <v>8501386</v>
      </c>
      <c r="B1738" t="s">
        <v>3922</v>
      </c>
      <c r="C1738" t="s">
        <v>1028</v>
      </c>
      <c r="D1738" t="s">
        <v>112</v>
      </c>
      <c r="E1738" t="s">
        <v>87</v>
      </c>
      <c r="F1738" t="s">
        <v>3691</v>
      </c>
      <c r="G1738">
        <v>5886</v>
      </c>
      <c r="H1738" t="s">
        <v>3763</v>
      </c>
      <c r="I1738" t="s">
        <v>1029</v>
      </c>
      <c r="K1738">
        <v>2563619.6690000002</v>
      </c>
      <c r="L1738">
        <v>1144925.4280000001</v>
      </c>
      <c r="M1738">
        <v>1080.5999999999999</v>
      </c>
      <c r="N1738" t="s">
        <v>3923</v>
      </c>
    </row>
    <row r="1739" spans="1:14" x14ac:dyDescent="0.25">
      <c r="A1739">
        <v>8501300</v>
      </c>
      <c r="B1739" t="s">
        <v>3691</v>
      </c>
      <c r="C1739" t="s">
        <v>132</v>
      </c>
      <c r="D1739" t="s">
        <v>112</v>
      </c>
      <c r="E1739" t="s">
        <v>87</v>
      </c>
      <c r="F1739" t="s">
        <v>3691</v>
      </c>
      <c r="G1739">
        <v>5886</v>
      </c>
      <c r="H1739" t="s">
        <v>3691</v>
      </c>
      <c r="I1739" t="s">
        <v>133</v>
      </c>
      <c r="K1739">
        <v>2559404.6140000001</v>
      </c>
      <c r="L1739">
        <v>1142864.0519999999</v>
      </c>
      <c r="M1739">
        <v>395.38900000000001</v>
      </c>
      <c r="N1739" t="s">
        <v>3924</v>
      </c>
    </row>
    <row r="1740" spans="1:14" x14ac:dyDescent="0.25">
      <c r="A1740">
        <v>8501370</v>
      </c>
      <c r="B1740" t="s">
        <v>3692</v>
      </c>
      <c r="C1740" t="s">
        <v>3689</v>
      </c>
      <c r="D1740" t="s">
        <v>3690</v>
      </c>
      <c r="E1740" t="s">
        <v>87</v>
      </c>
      <c r="F1740" t="s">
        <v>3691</v>
      </c>
      <c r="G1740">
        <v>5886</v>
      </c>
      <c r="H1740" t="s">
        <v>3692</v>
      </c>
      <c r="I1740" t="s">
        <v>3693</v>
      </c>
      <c r="K1740">
        <v>2560458.0555500002</v>
      </c>
      <c r="L1740">
        <v>1142403.5156099999</v>
      </c>
      <c r="M1740">
        <v>688.2</v>
      </c>
      <c r="N1740" t="s">
        <v>3925</v>
      </c>
    </row>
    <row r="1741" spans="1:14" x14ac:dyDescent="0.25">
      <c r="A1741">
        <v>8501375</v>
      </c>
      <c r="B1741" t="s">
        <v>3807</v>
      </c>
      <c r="C1741" t="s">
        <v>1028</v>
      </c>
      <c r="D1741" t="s">
        <v>112</v>
      </c>
      <c r="E1741" t="s">
        <v>87</v>
      </c>
      <c r="F1741" t="s">
        <v>3691</v>
      </c>
      <c r="G1741">
        <v>5886</v>
      </c>
      <c r="H1741" t="s">
        <v>3807</v>
      </c>
      <c r="I1741" t="s">
        <v>1029</v>
      </c>
      <c r="K1741">
        <v>2559384.4720000001</v>
      </c>
      <c r="L1741">
        <v>1143979.8289999999</v>
      </c>
      <c r="M1741">
        <v>600.5</v>
      </c>
      <c r="N1741" t="s">
        <v>3926</v>
      </c>
    </row>
    <row r="1742" spans="1:14" x14ac:dyDescent="0.25">
      <c r="A1742">
        <v>8501374</v>
      </c>
      <c r="B1742" t="s">
        <v>3927</v>
      </c>
      <c r="C1742" t="s">
        <v>1028</v>
      </c>
      <c r="D1742" t="s">
        <v>112</v>
      </c>
      <c r="E1742" t="s">
        <v>87</v>
      </c>
      <c r="F1742" t="s">
        <v>3691</v>
      </c>
      <c r="G1742">
        <v>5886</v>
      </c>
      <c r="H1742" t="s">
        <v>3709</v>
      </c>
      <c r="I1742" t="s">
        <v>1029</v>
      </c>
      <c r="K1742">
        <v>2558794.145</v>
      </c>
      <c r="L1742">
        <v>1144740.898</v>
      </c>
      <c r="M1742">
        <v>555.9</v>
      </c>
      <c r="N1742" t="s">
        <v>3928</v>
      </c>
    </row>
    <row r="1743" spans="1:14" x14ac:dyDescent="0.25">
      <c r="A1743">
        <v>8501352</v>
      </c>
      <c r="B1743" t="s">
        <v>3929</v>
      </c>
      <c r="C1743" t="s">
        <v>1028</v>
      </c>
      <c r="E1743" t="s">
        <v>87</v>
      </c>
      <c r="F1743" t="s">
        <v>3691</v>
      </c>
      <c r="G1743">
        <v>5886</v>
      </c>
      <c r="H1743" t="s">
        <v>3691</v>
      </c>
      <c r="I1743" t="s">
        <v>1029</v>
      </c>
      <c r="J1743" t="s">
        <v>130</v>
      </c>
      <c r="K1743">
        <v>2559426.406</v>
      </c>
      <c r="L1743">
        <v>1142905.666</v>
      </c>
      <c r="M1743">
        <v>395.3</v>
      </c>
      <c r="N1743" t="s">
        <v>3930</v>
      </c>
    </row>
    <row r="1744" spans="1:14" x14ac:dyDescent="0.25">
      <c r="A1744">
        <v>8501357</v>
      </c>
      <c r="B1744" t="s">
        <v>3931</v>
      </c>
      <c r="C1744" t="s">
        <v>3689</v>
      </c>
      <c r="D1744" t="s">
        <v>3690</v>
      </c>
      <c r="E1744" t="s">
        <v>87</v>
      </c>
      <c r="F1744" t="s">
        <v>3691</v>
      </c>
      <c r="G1744">
        <v>5886</v>
      </c>
      <c r="H1744" t="s">
        <v>3705</v>
      </c>
      <c r="I1744" t="s">
        <v>3693</v>
      </c>
      <c r="K1744">
        <v>2562286.3739999998</v>
      </c>
      <c r="L1744">
        <v>1142676.946</v>
      </c>
      <c r="M1744">
        <v>1174.5</v>
      </c>
      <c r="N1744" t="s">
        <v>3932</v>
      </c>
    </row>
    <row r="1745" spans="1:14" x14ac:dyDescent="0.25">
      <c r="A1745">
        <v>8501382</v>
      </c>
      <c r="B1745" t="s">
        <v>3933</v>
      </c>
      <c r="C1745" t="s">
        <v>1028</v>
      </c>
      <c r="D1745" t="s">
        <v>112</v>
      </c>
      <c r="E1745" t="s">
        <v>87</v>
      </c>
      <c r="F1745" t="s">
        <v>3691</v>
      </c>
      <c r="G1745">
        <v>5886</v>
      </c>
      <c r="H1745" t="s">
        <v>3691</v>
      </c>
      <c r="I1745" t="s">
        <v>1029</v>
      </c>
      <c r="K1745">
        <v>2558698.1740000001</v>
      </c>
      <c r="L1745">
        <v>1144080.108</v>
      </c>
      <c r="M1745">
        <v>501.6</v>
      </c>
      <c r="N1745" t="s">
        <v>3934</v>
      </c>
    </row>
    <row r="1746" spans="1:14" x14ac:dyDescent="0.25">
      <c r="A1746">
        <v>8501306</v>
      </c>
      <c r="B1746" t="s">
        <v>3935</v>
      </c>
      <c r="C1746" t="s">
        <v>639</v>
      </c>
      <c r="D1746" t="s">
        <v>112</v>
      </c>
      <c r="E1746" t="s">
        <v>87</v>
      </c>
      <c r="F1746" t="s">
        <v>3691</v>
      </c>
      <c r="G1746">
        <v>5886</v>
      </c>
      <c r="H1746" t="s">
        <v>3765</v>
      </c>
      <c r="I1746" t="s">
        <v>642</v>
      </c>
      <c r="K1746">
        <v>2559569</v>
      </c>
      <c r="L1746">
        <v>1144857</v>
      </c>
      <c r="M1746">
        <v>725</v>
      </c>
      <c r="N1746" t="s">
        <v>3936</v>
      </c>
    </row>
    <row r="1747" spans="1:14" x14ac:dyDescent="0.25">
      <c r="A1747">
        <v>8501308</v>
      </c>
      <c r="B1747" t="s">
        <v>3937</v>
      </c>
      <c r="C1747" t="s">
        <v>3689</v>
      </c>
      <c r="D1747" t="s">
        <v>3690</v>
      </c>
      <c r="E1747" t="s">
        <v>87</v>
      </c>
      <c r="F1747" t="s">
        <v>3691</v>
      </c>
      <c r="G1747">
        <v>5886</v>
      </c>
      <c r="H1747" t="s">
        <v>3692</v>
      </c>
      <c r="I1747" t="s">
        <v>3693</v>
      </c>
      <c r="K1747">
        <v>2560810</v>
      </c>
      <c r="L1747">
        <v>1142732</v>
      </c>
      <c r="M1747">
        <v>748.5</v>
      </c>
      <c r="N1747" t="s">
        <v>3938</v>
      </c>
    </row>
    <row r="1748" spans="1:14" x14ac:dyDescent="0.25">
      <c r="A1748">
        <v>8501364</v>
      </c>
      <c r="B1748" t="s">
        <v>3939</v>
      </c>
      <c r="C1748" t="s">
        <v>3689</v>
      </c>
      <c r="D1748" t="s">
        <v>3690</v>
      </c>
      <c r="E1748" t="s">
        <v>87</v>
      </c>
      <c r="F1748" t="s">
        <v>3691</v>
      </c>
      <c r="G1748">
        <v>5886</v>
      </c>
      <c r="H1748" t="s">
        <v>3705</v>
      </c>
      <c r="I1748" t="s">
        <v>3693</v>
      </c>
      <c r="K1748">
        <v>2562049.656</v>
      </c>
      <c r="L1748">
        <v>1142434.9779999999</v>
      </c>
      <c r="M1748">
        <v>1102.7</v>
      </c>
      <c r="N1748" t="s">
        <v>3940</v>
      </c>
    </row>
    <row r="1749" spans="1:14" x14ac:dyDescent="0.25">
      <c r="A1749">
        <v>8501368</v>
      </c>
      <c r="B1749" t="s">
        <v>3941</v>
      </c>
      <c r="C1749" t="s">
        <v>3689</v>
      </c>
      <c r="D1749" t="s">
        <v>3690</v>
      </c>
      <c r="E1749" t="s">
        <v>87</v>
      </c>
      <c r="F1749" t="s">
        <v>3691</v>
      </c>
      <c r="G1749">
        <v>5886</v>
      </c>
      <c r="H1749" t="s">
        <v>3705</v>
      </c>
      <c r="I1749" t="s">
        <v>3693</v>
      </c>
      <c r="K1749">
        <v>2564374.3840000001</v>
      </c>
      <c r="L1749">
        <v>1142889.8829999999</v>
      </c>
      <c r="M1749">
        <v>1794.9</v>
      </c>
      <c r="N1749" t="s">
        <v>3942</v>
      </c>
    </row>
    <row r="1750" spans="1:14" x14ac:dyDescent="0.25">
      <c r="A1750">
        <v>8501351</v>
      </c>
      <c r="B1750" t="s">
        <v>3943</v>
      </c>
      <c r="C1750" t="s">
        <v>3944</v>
      </c>
      <c r="D1750" t="s">
        <v>1004</v>
      </c>
      <c r="E1750" t="s">
        <v>87</v>
      </c>
      <c r="F1750" t="s">
        <v>3691</v>
      </c>
      <c r="G1750">
        <v>5886</v>
      </c>
      <c r="H1750" t="s">
        <v>3763</v>
      </c>
      <c r="I1750" t="s">
        <v>3945</v>
      </c>
      <c r="J1750" t="s">
        <v>3946</v>
      </c>
      <c r="K1750">
        <v>2561608</v>
      </c>
      <c r="L1750">
        <v>1145215</v>
      </c>
      <c r="M1750">
        <v>1154</v>
      </c>
      <c r="N1750" t="s">
        <v>3947</v>
      </c>
    </row>
    <row r="1751" spans="1:14" x14ac:dyDescent="0.25">
      <c r="A1751">
        <v>8586315</v>
      </c>
      <c r="B1751" t="s">
        <v>3948</v>
      </c>
      <c r="C1751" t="s">
        <v>94</v>
      </c>
      <c r="D1751" t="s">
        <v>86</v>
      </c>
      <c r="E1751" t="s">
        <v>87</v>
      </c>
      <c r="F1751" t="s">
        <v>3691</v>
      </c>
      <c r="G1751">
        <v>5886</v>
      </c>
      <c r="H1751" t="s">
        <v>3765</v>
      </c>
      <c r="I1751" t="s">
        <v>96</v>
      </c>
      <c r="K1751">
        <v>2559317</v>
      </c>
      <c r="L1751">
        <v>1144978</v>
      </c>
      <c r="M1751">
        <v>701</v>
      </c>
      <c r="N1751" t="s">
        <v>3949</v>
      </c>
    </row>
    <row r="1752" spans="1:14" x14ac:dyDescent="0.25">
      <c r="A1752">
        <v>8511803</v>
      </c>
      <c r="B1752" t="s">
        <v>3950</v>
      </c>
      <c r="C1752" t="s">
        <v>3689</v>
      </c>
      <c r="D1752" t="s">
        <v>86</v>
      </c>
      <c r="E1752" t="s">
        <v>87</v>
      </c>
      <c r="F1752" t="s">
        <v>3691</v>
      </c>
      <c r="G1752">
        <v>5886</v>
      </c>
      <c r="H1752" t="s">
        <v>3692</v>
      </c>
      <c r="I1752" t="s">
        <v>3693</v>
      </c>
      <c r="K1752">
        <v>2560423</v>
      </c>
      <c r="L1752">
        <v>1142520.3</v>
      </c>
      <c r="M1752">
        <v>692</v>
      </c>
      <c r="N1752" t="s">
        <v>3951</v>
      </c>
    </row>
    <row r="1753" spans="1:14" x14ac:dyDescent="0.25">
      <c r="A1753">
        <v>8511912</v>
      </c>
      <c r="B1753" t="s">
        <v>3952</v>
      </c>
      <c r="C1753" t="s">
        <v>1028</v>
      </c>
      <c r="D1753" t="s">
        <v>86</v>
      </c>
      <c r="E1753" t="s">
        <v>87</v>
      </c>
      <c r="F1753" t="s">
        <v>3691</v>
      </c>
      <c r="G1753">
        <v>5886</v>
      </c>
      <c r="H1753" t="s">
        <v>3763</v>
      </c>
      <c r="I1753" t="s">
        <v>1029</v>
      </c>
      <c r="K1753">
        <v>2561970</v>
      </c>
      <c r="L1753">
        <v>1144826</v>
      </c>
      <c r="M1753">
        <v>970.9</v>
      </c>
      <c r="N1753" t="s">
        <v>3953</v>
      </c>
    </row>
    <row r="1754" spans="1:14" x14ac:dyDescent="0.25">
      <c r="A1754">
        <v>8501350</v>
      </c>
      <c r="B1754" t="s">
        <v>3954</v>
      </c>
      <c r="C1754" t="s">
        <v>3944</v>
      </c>
      <c r="D1754" t="s">
        <v>1004</v>
      </c>
      <c r="E1754" t="s">
        <v>87</v>
      </c>
      <c r="F1754" t="s">
        <v>3691</v>
      </c>
      <c r="G1754">
        <v>5886</v>
      </c>
      <c r="H1754" t="s">
        <v>3763</v>
      </c>
      <c r="I1754" t="s">
        <v>3945</v>
      </c>
      <c r="J1754" t="s">
        <v>3955</v>
      </c>
      <c r="K1754">
        <v>2561962</v>
      </c>
      <c r="L1754">
        <v>1144894</v>
      </c>
      <c r="M1754">
        <v>970</v>
      </c>
      <c r="N1754" t="s">
        <v>3956</v>
      </c>
    </row>
    <row r="1755" spans="1:14" x14ac:dyDescent="0.25">
      <c r="A1755">
        <v>8593938</v>
      </c>
      <c r="B1755" t="s">
        <v>3957</v>
      </c>
      <c r="C1755" t="s">
        <v>650</v>
      </c>
      <c r="D1755" t="s">
        <v>86</v>
      </c>
      <c r="E1755" t="s">
        <v>87</v>
      </c>
      <c r="F1755" t="s">
        <v>3691</v>
      </c>
      <c r="G1755">
        <v>5886</v>
      </c>
      <c r="H1755" t="s">
        <v>3691</v>
      </c>
      <c r="I1755" t="s">
        <v>651</v>
      </c>
      <c r="K1755">
        <v>2559514</v>
      </c>
      <c r="L1755">
        <v>1142896</v>
      </c>
      <c r="M1755">
        <v>409</v>
      </c>
      <c r="N1755" t="s">
        <v>3958</v>
      </c>
    </row>
    <row r="1756" spans="1:14" x14ac:dyDescent="0.25">
      <c r="A1756">
        <v>8593920</v>
      </c>
      <c r="B1756" t="s">
        <v>3959</v>
      </c>
      <c r="C1756" t="s">
        <v>650</v>
      </c>
      <c r="D1756" t="s">
        <v>86</v>
      </c>
      <c r="E1756" t="s">
        <v>87</v>
      </c>
      <c r="F1756" t="s">
        <v>3691</v>
      </c>
      <c r="G1756">
        <v>5886</v>
      </c>
      <c r="H1756" t="s">
        <v>3691</v>
      </c>
      <c r="I1756" t="s">
        <v>651</v>
      </c>
      <c r="K1756">
        <v>2559581</v>
      </c>
      <c r="L1756">
        <v>1142359</v>
      </c>
      <c r="M1756">
        <v>390</v>
      </c>
      <c r="N1756" t="s">
        <v>3960</v>
      </c>
    </row>
    <row r="1757" spans="1:14" x14ac:dyDescent="0.25">
      <c r="A1757">
        <v>8593927</v>
      </c>
      <c r="B1757" t="s">
        <v>3961</v>
      </c>
      <c r="C1757" t="s">
        <v>650</v>
      </c>
      <c r="D1757" t="s">
        <v>86</v>
      </c>
      <c r="E1757" t="s">
        <v>87</v>
      </c>
      <c r="F1757" t="s">
        <v>3691</v>
      </c>
      <c r="G1757">
        <v>5886</v>
      </c>
      <c r="H1757" t="s">
        <v>3691</v>
      </c>
      <c r="I1757" t="s">
        <v>651</v>
      </c>
      <c r="K1757">
        <v>2559846.2101500002</v>
      </c>
      <c r="L1757">
        <v>1142374.9995899999</v>
      </c>
      <c r="M1757">
        <v>414</v>
      </c>
      <c r="N1757" t="s">
        <v>3962</v>
      </c>
    </row>
    <row r="1758" spans="1:14" x14ac:dyDescent="0.25">
      <c r="A1758">
        <v>8593946</v>
      </c>
      <c r="B1758" t="s">
        <v>3963</v>
      </c>
      <c r="C1758" t="s">
        <v>650</v>
      </c>
      <c r="D1758" t="s">
        <v>86</v>
      </c>
      <c r="E1758" t="s">
        <v>87</v>
      </c>
      <c r="F1758" t="s">
        <v>3691</v>
      </c>
      <c r="G1758">
        <v>5886</v>
      </c>
      <c r="H1758" t="s">
        <v>3697</v>
      </c>
      <c r="I1758" t="s">
        <v>651</v>
      </c>
      <c r="K1758">
        <v>2560289</v>
      </c>
      <c r="L1758">
        <v>1141965</v>
      </c>
      <c r="M1758">
        <v>391</v>
      </c>
      <c r="N1758" t="s">
        <v>3964</v>
      </c>
    </row>
    <row r="1759" spans="1:14" x14ac:dyDescent="0.25">
      <c r="A1759">
        <v>8593944</v>
      </c>
      <c r="B1759" t="s">
        <v>3965</v>
      </c>
      <c r="C1759" t="s">
        <v>650</v>
      </c>
      <c r="D1759" t="s">
        <v>86</v>
      </c>
      <c r="E1759" t="s">
        <v>87</v>
      </c>
      <c r="F1759" t="s">
        <v>3691</v>
      </c>
      <c r="G1759">
        <v>5886</v>
      </c>
      <c r="H1759" t="s">
        <v>3691</v>
      </c>
      <c r="I1759" t="s">
        <v>651</v>
      </c>
      <c r="K1759">
        <v>2559403.9539999999</v>
      </c>
      <c r="L1759">
        <v>1142989.1950000001</v>
      </c>
      <c r="M1759">
        <v>396</v>
      </c>
      <c r="N1759" t="s">
        <v>3966</v>
      </c>
    </row>
    <row r="1760" spans="1:14" x14ac:dyDescent="0.25">
      <c r="A1760">
        <v>8595971</v>
      </c>
      <c r="B1760" t="s">
        <v>3967</v>
      </c>
      <c r="C1760" t="s">
        <v>650</v>
      </c>
      <c r="D1760" t="s">
        <v>86</v>
      </c>
      <c r="E1760" t="s">
        <v>87</v>
      </c>
      <c r="F1760" t="s">
        <v>3691</v>
      </c>
      <c r="G1760">
        <v>5886</v>
      </c>
      <c r="H1760" t="s">
        <v>3724</v>
      </c>
      <c r="I1760" t="s">
        <v>651</v>
      </c>
      <c r="K1760">
        <v>2558602</v>
      </c>
      <c r="L1760">
        <v>1144658</v>
      </c>
      <c r="M1760">
        <v>511</v>
      </c>
      <c r="N1760" t="s">
        <v>3968</v>
      </c>
    </row>
    <row r="1761" spans="1:14" x14ac:dyDescent="0.25">
      <c r="A1761">
        <v>8593913</v>
      </c>
      <c r="B1761" t="s">
        <v>3969</v>
      </c>
      <c r="C1761" t="s">
        <v>650</v>
      </c>
      <c r="D1761" t="s">
        <v>86</v>
      </c>
      <c r="E1761" t="s">
        <v>87</v>
      </c>
      <c r="F1761" t="s">
        <v>3691</v>
      </c>
      <c r="G1761">
        <v>5886</v>
      </c>
      <c r="H1761" t="s">
        <v>3724</v>
      </c>
      <c r="I1761" t="s">
        <v>651</v>
      </c>
      <c r="K1761">
        <v>2557963</v>
      </c>
      <c r="L1761">
        <v>1144954</v>
      </c>
      <c r="M1761">
        <v>482</v>
      </c>
      <c r="N1761" t="s">
        <v>3970</v>
      </c>
    </row>
    <row r="1762" spans="1:14" x14ac:dyDescent="0.25">
      <c r="A1762">
        <v>8570579</v>
      </c>
      <c r="B1762" t="s">
        <v>3971</v>
      </c>
      <c r="C1762" t="s">
        <v>94</v>
      </c>
      <c r="D1762" t="s">
        <v>86</v>
      </c>
      <c r="E1762" t="s">
        <v>87</v>
      </c>
      <c r="F1762" t="s">
        <v>3691</v>
      </c>
      <c r="G1762">
        <v>5886</v>
      </c>
      <c r="H1762" t="s">
        <v>3807</v>
      </c>
      <c r="I1762" t="s">
        <v>96</v>
      </c>
      <c r="K1762">
        <v>2559391</v>
      </c>
      <c r="L1762">
        <v>1143971</v>
      </c>
      <c r="M1762">
        <v>603</v>
      </c>
      <c r="N1762" t="s">
        <v>3972</v>
      </c>
    </row>
    <row r="1763" spans="1:14" x14ac:dyDescent="0.25">
      <c r="A1763">
        <v>8570574</v>
      </c>
      <c r="B1763" t="s">
        <v>3973</v>
      </c>
      <c r="C1763" t="s">
        <v>94</v>
      </c>
      <c r="D1763" t="s">
        <v>86</v>
      </c>
      <c r="E1763" t="s">
        <v>87</v>
      </c>
      <c r="F1763" t="s">
        <v>3691</v>
      </c>
      <c r="G1763">
        <v>5886</v>
      </c>
      <c r="H1763" t="s">
        <v>3812</v>
      </c>
      <c r="I1763" t="s">
        <v>96</v>
      </c>
      <c r="K1763">
        <v>2561047</v>
      </c>
      <c r="L1763">
        <v>1145595</v>
      </c>
      <c r="M1763">
        <v>982</v>
      </c>
      <c r="N1763" t="s">
        <v>3974</v>
      </c>
    </row>
    <row r="1764" spans="1:14" x14ac:dyDescent="0.25">
      <c r="A1764">
        <v>8507533</v>
      </c>
      <c r="B1764" t="s">
        <v>3975</v>
      </c>
      <c r="C1764" t="s">
        <v>85</v>
      </c>
      <c r="D1764" t="s">
        <v>86</v>
      </c>
      <c r="E1764" t="s">
        <v>87</v>
      </c>
      <c r="F1764" t="s">
        <v>3976</v>
      </c>
      <c r="G1764">
        <v>5492</v>
      </c>
      <c r="H1764" t="s">
        <v>3976</v>
      </c>
      <c r="I1764" t="s">
        <v>89</v>
      </c>
      <c r="K1764">
        <v>2518662.3874300001</v>
      </c>
      <c r="L1764">
        <v>1162369.0127099999</v>
      </c>
      <c r="M1764">
        <v>781.3</v>
      </c>
      <c r="N1764" t="s">
        <v>3977</v>
      </c>
    </row>
    <row r="1765" spans="1:14" x14ac:dyDescent="0.25">
      <c r="A1765">
        <v>8570111</v>
      </c>
      <c r="B1765" t="s">
        <v>3978</v>
      </c>
      <c r="C1765" t="s">
        <v>85</v>
      </c>
      <c r="D1765" t="s">
        <v>86</v>
      </c>
      <c r="E1765" t="s">
        <v>87</v>
      </c>
      <c r="F1765" t="s">
        <v>3976</v>
      </c>
      <c r="G1765">
        <v>5492</v>
      </c>
      <c r="H1765" t="s">
        <v>3976</v>
      </c>
      <c r="I1765" t="s">
        <v>89</v>
      </c>
      <c r="K1765">
        <v>2519833.50929</v>
      </c>
      <c r="L1765">
        <v>1161111.36521</v>
      </c>
      <c r="M1765">
        <v>673.7</v>
      </c>
      <c r="N1765" t="s">
        <v>3979</v>
      </c>
    </row>
    <row r="1766" spans="1:14" x14ac:dyDescent="0.25">
      <c r="A1766">
        <v>8595650</v>
      </c>
      <c r="B1766" t="s">
        <v>3980</v>
      </c>
      <c r="C1766" t="s">
        <v>85</v>
      </c>
      <c r="D1766" t="s">
        <v>86</v>
      </c>
      <c r="E1766" t="s">
        <v>87</v>
      </c>
      <c r="F1766" t="s">
        <v>3976</v>
      </c>
      <c r="G1766">
        <v>5492</v>
      </c>
      <c r="H1766" t="s">
        <v>3976</v>
      </c>
      <c r="I1766" t="s">
        <v>89</v>
      </c>
      <c r="K1766">
        <v>2518768</v>
      </c>
      <c r="L1766">
        <v>1161813</v>
      </c>
      <c r="M1766">
        <v>748</v>
      </c>
      <c r="N1766" t="s">
        <v>3981</v>
      </c>
    </row>
    <row r="1767" spans="1:14" x14ac:dyDescent="0.25">
      <c r="A1767">
        <v>8501734</v>
      </c>
      <c r="B1767" t="s">
        <v>3982</v>
      </c>
      <c r="C1767" t="s">
        <v>85</v>
      </c>
      <c r="D1767" t="s">
        <v>86</v>
      </c>
      <c r="E1767" t="s">
        <v>87</v>
      </c>
      <c r="F1767" t="s">
        <v>3976</v>
      </c>
      <c r="G1767">
        <v>5492</v>
      </c>
      <c r="H1767" t="s">
        <v>3976</v>
      </c>
      <c r="I1767" t="s">
        <v>89</v>
      </c>
      <c r="K1767">
        <v>2518664.5841999999</v>
      </c>
      <c r="L1767">
        <v>1161577.9857900001</v>
      </c>
      <c r="M1767">
        <v>753.2</v>
      </c>
      <c r="N1767" t="s">
        <v>3983</v>
      </c>
    </row>
    <row r="1768" spans="1:14" x14ac:dyDescent="0.25">
      <c r="A1768">
        <v>8570112</v>
      </c>
      <c r="B1768" t="s">
        <v>3984</v>
      </c>
      <c r="C1768" t="s">
        <v>85</v>
      </c>
      <c r="D1768" t="s">
        <v>86</v>
      </c>
      <c r="E1768" t="s">
        <v>87</v>
      </c>
      <c r="F1768" t="s">
        <v>3976</v>
      </c>
      <c r="G1768">
        <v>5492</v>
      </c>
      <c r="H1768" t="s">
        <v>3976</v>
      </c>
      <c r="I1768" t="s">
        <v>89</v>
      </c>
      <c r="K1768">
        <v>2518375</v>
      </c>
      <c r="L1768">
        <v>1161425</v>
      </c>
      <c r="M1768">
        <v>735</v>
      </c>
      <c r="N1768" t="s">
        <v>3985</v>
      </c>
    </row>
    <row r="1769" spans="1:14" x14ac:dyDescent="0.25">
      <c r="A1769">
        <v>8501098</v>
      </c>
      <c r="B1769" t="s">
        <v>3976</v>
      </c>
      <c r="C1769" t="s">
        <v>353</v>
      </c>
      <c r="D1769" t="s">
        <v>112</v>
      </c>
      <c r="E1769" t="s">
        <v>87</v>
      </c>
      <c r="F1769" t="s">
        <v>3976</v>
      </c>
      <c r="G1769">
        <v>5492</v>
      </c>
      <c r="H1769" t="s">
        <v>3976</v>
      </c>
      <c r="I1769" t="s">
        <v>354</v>
      </c>
      <c r="K1769">
        <v>2519879.9909999999</v>
      </c>
      <c r="L1769">
        <v>1161098.0560000001</v>
      </c>
      <c r="M1769">
        <v>673</v>
      </c>
      <c r="N1769" t="s">
        <v>3986</v>
      </c>
    </row>
    <row r="1770" spans="1:14" x14ac:dyDescent="0.25">
      <c r="A1770">
        <v>8583297</v>
      </c>
      <c r="B1770" t="s">
        <v>3987</v>
      </c>
      <c r="C1770" t="s">
        <v>85</v>
      </c>
      <c r="D1770" t="s">
        <v>86</v>
      </c>
      <c r="E1770" t="s">
        <v>87</v>
      </c>
      <c r="F1770" t="s">
        <v>3976</v>
      </c>
      <c r="G1770">
        <v>5492</v>
      </c>
      <c r="H1770" t="s">
        <v>3976</v>
      </c>
      <c r="I1770" t="s">
        <v>89</v>
      </c>
      <c r="K1770">
        <v>2518717.8623199998</v>
      </c>
      <c r="L1770">
        <v>1161326.36837</v>
      </c>
      <c r="M1770">
        <v>719</v>
      </c>
      <c r="N1770" t="s">
        <v>3988</v>
      </c>
    </row>
    <row r="1771" spans="1:14" x14ac:dyDescent="0.25">
      <c r="A1771">
        <v>8500736</v>
      </c>
      <c r="B1771" t="s">
        <v>3989</v>
      </c>
      <c r="C1771" t="s">
        <v>94</v>
      </c>
      <c r="D1771" t="s">
        <v>86</v>
      </c>
      <c r="E1771" t="s">
        <v>87</v>
      </c>
      <c r="F1771" t="s">
        <v>3990</v>
      </c>
      <c r="G1771">
        <v>5859</v>
      </c>
      <c r="H1771" t="s">
        <v>3990</v>
      </c>
      <c r="I1771" t="s">
        <v>96</v>
      </c>
      <c r="K1771">
        <v>2514479</v>
      </c>
      <c r="L1771">
        <v>1147714</v>
      </c>
      <c r="M1771">
        <v>604</v>
      </c>
      <c r="N1771" t="s">
        <v>3991</v>
      </c>
    </row>
    <row r="1772" spans="1:14" x14ac:dyDescent="0.25">
      <c r="A1772">
        <v>8579222</v>
      </c>
      <c r="B1772" t="s">
        <v>3992</v>
      </c>
      <c r="C1772" t="s">
        <v>94</v>
      </c>
      <c r="D1772" t="s">
        <v>86</v>
      </c>
      <c r="E1772" t="s">
        <v>87</v>
      </c>
      <c r="F1772" t="s">
        <v>3990</v>
      </c>
      <c r="G1772">
        <v>5859</v>
      </c>
      <c r="H1772" t="s">
        <v>3990</v>
      </c>
      <c r="I1772" t="s">
        <v>96</v>
      </c>
      <c r="K1772">
        <v>2514866</v>
      </c>
      <c r="L1772">
        <v>1147690</v>
      </c>
      <c r="M1772">
        <v>581</v>
      </c>
      <c r="N1772" t="s">
        <v>3993</v>
      </c>
    </row>
    <row r="1773" spans="1:14" x14ac:dyDescent="0.25">
      <c r="A1773">
        <v>8579224</v>
      </c>
      <c r="B1773" t="s">
        <v>3994</v>
      </c>
      <c r="C1773" t="s">
        <v>94</v>
      </c>
      <c r="D1773" t="s">
        <v>86</v>
      </c>
      <c r="E1773" t="s">
        <v>87</v>
      </c>
      <c r="F1773" t="s">
        <v>3990</v>
      </c>
      <c r="G1773">
        <v>5859</v>
      </c>
      <c r="H1773" t="s">
        <v>3990</v>
      </c>
      <c r="I1773" t="s">
        <v>96</v>
      </c>
      <c r="K1773">
        <v>2515316</v>
      </c>
      <c r="L1773">
        <v>1147408</v>
      </c>
      <c r="M1773">
        <v>503</v>
      </c>
      <c r="N1773" t="s">
        <v>3995</v>
      </c>
    </row>
    <row r="1774" spans="1:14" x14ac:dyDescent="0.25">
      <c r="A1774">
        <v>8582676</v>
      </c>
      <c r="B1774" t="s">
        <v>3996</v>
      </c>
      <c r="C1774" t="s">
        <v>94</v>
      </c>
      <c r="D1774" t="s">
        <v>86</v>
      </c>
      <c r="E1774" t="s">
        <v>87</v>
      </c>
      <c r="F1774" t="s">
        <v>3990</v>
      </c>
      <c r="G1774">
        <v>5859</v>
      </c>
      <c r="H1774" t="s">
        <v>3990</v>
      </c>
      <c r="I1774" t="s">
        <v>96</v>
      </c>
      <c r="K1774">
        <v>2516256</v>
      </c>
      <c r="L1774">
        <v>1146392</v>
      </c>
      <c r="M1774">
        <v>384</v>
      </c>
      <c r="N1774" t="s">
        <v>3997</v>
      </c>
    </row>
    <row r="1775" spans="1:14" x14ac:dyDescent="0.25">
      <c r="A1775">
        <v>8579223</v>
      </c>
      <c r="B1775" t="s">
        <v>3998</v>
      </c>
      <c r="C1775" t="s">
        <v>94</v>
      </c>
      <c r="D1775" t="s">
        <v>86</v>
      </c>
      <c r="E1775" t="s">
        <v>87</v>
      </c>
      <c r="F1775" t="s">
        <v>3990</v>
      </c>
      <c r="G1775">
        <v>5859</v>
      </c>
      <c r="H1775" t="s">
        <v>3990</v>
      </c>
      <c r="I1775" t="s">
        <v>96</v>
      </c>
      <c r="K1775">
        <v>2515280</v>
      </c>
      <c r="L1775">
        <v>1147666</v>
      </c>
      <c r="M1775">
        <v>548</v>
      </c>
      <c r="N1775" t="s">
        <v>3999</v>
      </c>
    </row>
    <row r="1776" spans="1:14" x14ac:dyDescent="0.25">
      <c r="A1776">
        <v>8570036</v>
      </c>
      <c r="B1776" t="s">
        <v>4000</v>
      </c>
      <c r="C1776" t="s">
        <v>94</v>
      </c>
      <c r="D1776" t="s">
        <v>86</v>
      </c>
      <c r="E1776" t="s">
        <v>87</v>
      </c>
      <c r="F1776" t="s">
        <v>3990</v>
      </c>
      <c r="G1776">
        <v>5859</v>
      </c>
      <c r="H1776" t="s">
        <v>3990</v>
      </c>
      <c r="I1776" t="s">
        <v>96</v>
      </c>
      <c r="K1776">
        <v>2516070</v>
      </c>
      <c r="L1776">
        <v>1146486</v>
      </c>
      <c r="M1776">
        <v>393</v>
      </c>
      <c r="N1776" t="s">
        <v>4001</v>
      </c>
    </row>
    <row r="1777" spans="1:14" x14ac:dyDescent="0.25">
      <c r="A1777">
        <v>8579690</v>
      </c>
      <c r="B1777" t="s">
        <v>4002</v>
      </c>
      <c r="C1777" t="s">
        <v>94</v>
      </c>
      <c r="D1777" t="s">
        <v>86</v>
      </c>
      <c r="E1777" t="s">
        <v>87</v>
      </c>
      <c r="F1777" t="s">
        <v>3990</v>
      </c>
      <c r="G1777">
        <v>5859</v>
      </c>
      <c r="H1777" t="s">
        <v>3990</v>
      </c>
      <c r="I1777" t="s">
        <v>96</v>
      </c>
      <c r="K1777">
        <v>2515344</v>
      </c>
      <c r="L1777">
        <v>1148390</v>
      </c>
      <c r="M1777">
        <v>702</v>
      </c>
      <c r="N1777" t="s">
        <v>4003</v>
      </c>
    </row>
    <row r="1778" spans="1:14" x14ac:dyDescent="0.25">
      <c r="A1778">
        <v>8583424</v>
      </c>
      <c r="B1778" t="s">
        <v>4004</v>
      </c>
      <c r="C1778" t="s">
        <v>94</v>
      </c>
      <c r="D1778" t="s">
        <v>86</v>
      </c>
      <c r="E1778" t="s">
        <v>87</v>
      </c>
      <c r="F1778" t="s">
        <v>3990</v>
      </c>
      <c r="G1778">
        <v>5859</v>
      </c>
      <c r="H1778" t="s">
        <v>3990</v>
      </c>
      <c r="I1778" t="s">
        <v>96</v>
      </c>
      <c r="K1778">
        <v>2515697</v>
      </c>
      <c r="L1778">
        <v>1147049</v>
      </c>
      <c r="M1778">
        <v>440</v>
      </c>
      <c r="N1778" t="s">
        <v>4005</v>
      </c>
    </row>
    <row r="1779" spans="1:14" x14ac:dyDescent="0.25">
      <c r="A1779">
        <v>8501873</v>
      </c>
      <c r="B1779" t="s">
        <v>4006</v>
      </c>
      <c r="C1779" t="s">
        <v>94</v>
      </c>
      <c r="D1779" t="s">
        <v>86</v>
      </c>
      <c r="E1779" t="s">
        <v>87</v>
      </c>
      <c r="F1779" t="s">
        <v>3990</v>
      </c>
      <c r="G1779">
        <v>5859</v>
      </c>
      <c r="H1779" t="s">
        <v>3990</v>
      </c>
      <c r="I1779" t="s">
        <v>96</v>
      </c>
      <c r="K1779">
        <v>2515504</v>
      </c>
      <c r="L1779">
        <v>1148740</v>
      </c>
      <c r="M1779">
        <v>714</v>
      </c>
      <c r="N1779" t="s">
        <v>4007</v>
      </c>
    </row>
    <row r="1780" spans="1:14" x14ac:dyDescent="0.25">
      <c r="A1780">
        <v>8500737</v>
      </c>
      <c r="B1780" t="s">
        <v>4008</v>
      </c>
      <c r="C1780" t="s">
        <v>94</v>
      </c>
      <c r="D1780" t="s">
        <v>86</v>
      </c>
      <c r="E1780" t="s">
        <v>87</v>
      </c>
      <c r="F1780" t="s">
        <v>3990</v>
      </c>
      <c r="G1780">
        <v>5859</v>
      </c>
      <c r="H1780" t="s">
        <v>3990</v>
      </c>
      <c r="I1780" t="s">
        <v>96</v>
      </c>
      <c r="K1780">
        <v>2515326</v>
      </c>
      <c r="L1780">
        <v>1147187</v>
      </c>
      <c r="M1780">
        <v>476</v>
      </c>
      <c r="N1780" t="s">
        <v>4009</v>
      </c>
    </row>
    <row r="1781" spans="1:14" x14ac:dyDescent="0.25">
      <c r="A1781">
        <v>8501047</v>
      </c>
      <c r="B1781" t="s">
        <v>4010</v>
      </c>
      <c r="C1781" t="s">
        <v>132</v>
      </c>
      <c r="D1781" t="s">
        <v>112</v>
      </c>
      <c r="E1781" t="s">
        <v>87</v>
      </c>
      <c r="F1781" t="s">
        <v>56</v>
      </c>
      <c r="G1781">
        <v>5642</v>
      </c>
      <c r="H1781" t="s">
        <v>56</v>
      </c>
      <c r="I1781" t="s">
        <v>133</v>
      </c>
      <c r="K1781">
        <v>2528587.9640000002</v>
      </c>
      <c r="L1781">
        <v>1152301.6240000001</v>
      </c>
      <c r="M1781">
        <v>380.161</v>
      </c>
      <c r="N1781" t="s">
        <v>4011</v>
      </c>
    </row>
    <row r="1782" spans="1:14" x14ac:dyDescent="0.25">
      <c r="A1782">
        <v>8588871</v>
      </c>
      <c r="B1782" t="s">
        <v>4012</v>
      </c>
      <c r="C1782" t="s">
        <v>85</v>
      </c>
      <c r="D1782" t="s">
        <v>86</v>
      </c>
      <c r="E1782" t="s">
        <v>87</v>
      </c>
      <c r="F1782" t="s">
        <v>56</v>
      </c>
      <c r="G1782">
        <v>5642</v>
      </c>
      <c r="H1782" t="s">
        <v>56</v>
      </c>
      <c r="I1782" t="s">
        <v>89</v>
      </c>
      <c r="K1782">
        <v>2528535</v>
      </c>
      <c r="L1782">
        <v>1152349</v>
      </c>
      <c r="M1782">
        <v>374</v>
      </c>
      <c r="N1782" t="s">
        <v>4013</v>
      </c>
    </row>
    <row r="1783" spans="1:14" x14ac:dyDescent="0.25">
      <c r="A1783">
        <v>8589249</v>
      </c>
      <c r="B1783" t="s">
        <v>4014</v>
      </c>
      <c r="C1783" t="s">
        <v>85</v>
      </c>
      <c r="D1783" t="s">
        <v>86</v>
      </c>
      <c r="E1783" t="s">
        <v>87</v>
      </c>
      <c r="F1783" t="s">
        <v>56</v>
      </c>
      <c r="G1783">
        <v>5642</v>
      </c>
      <c r="H1783" t="s">
        <v>56</v>
      </c>
      <c r="I1783" t="s">
        <v>89</v>
      </c>
      <c r="K1783">
        <v>2526825.4575999998</v>
      </c>
      <c r="L1783">
        <v>1150749.4537599999</v>
      </c>
      <c r="M1783">
        <v>386.5</v>
      </c>
      <c r="N1783" t="s">
        <v>4015</v>
      </c>
    </row>
    <row r="1784" spans="1:14" x14ac:dyDescent="0.25">
      <c r="A1784">
        <v>8592264</v>
      </c>
      <c r="B1784" t="s">
        <v>4016</v>
      </c>
      <c r="C1784" t="s">
        <v>85</v>
      </c>
      <c r="D1784" t="s">
        <v>86</v>
      </c>
      <c r="E1784" t="s">
        <v>87</v>
      </c>
      <c r="F1784" t="s">
        <v>56</v>
      </c>
      <c r="G1784">
        <v>5642</v>
      </c>
      <c r="H1784" t="s">
        <v>56</v>
      </c>
      <c r="I1784" t="s">
        <v>89</v>
      </c>
      <c r="K1784">
        <v>2527086</v>
      </c>
      <c r="L1784">
        <v>1151704</v>
      </c>
      <c r="M1784">
        <v>390</v>
      </c>
      <c r="N1784" t="s">
        <v>4017</v>
      </c>
    </row>
    <row r="1785" spans="1:14" x14ac:dyDescent="0.25">
      <c r="A1785">
        <v>8592270</v>
      </c>
      <c r="B1785" t="s">
        <v>4018</v>
      </c>
      <c r="C1785" t="s">
        <v>85</v>
      </c>
      <c r="D1785" t="s">
        <v>86</v>
      </c>
      <c r="E1785" t="s">
        <v>87</v>
      </c>
      <c r="F1785" t="s">
        <v>56</v>
      </c>
      <c r="G1785">
        <v>5642</v>
      </c>
      <c r="H1785" t="s">
        <v>56</v>
      </c>
      <c r="I1785" t="s">
        <v>89</v>
      </c>
      <c r="K1785">
        <v>2526400</v>
      </c>
      <c r="L1785">
        <v>1151338</v>
      </c>
      <c r="M1785">
        <v>423</v>
      </c>
      <c r="N1785" t="s">
        <v>4019</v>
      </c>
    </row>
    <row r="1786" spans="1:14" x14ac:dyDescent="0.25">
      <c r="A1786">
        <v>8592272</v>
      </c>
      <c r="B1786" t="s">
        <v>4020</v>
      </c>
      <c r="C1786" t="s">
        <v>85</v>
      </c>
      <c r="D1786" t="s">
        <v>86</v>
      </c>
      <c r="E1786" t="s">
        <v>87</v>
      </c>
      <c r="F1786" t="s">
        <v>56</v>
      </c>
      <c r="G1786">
        <v>5642</v>
      </c>
      <c r="H1786" t="s">
        <v>56</v>
      </c>
      <c r="I1786" t="s">
        <v>89</v>
      </c>
      <c r="K1786">
        <v>2528655</v>
      </c>
      <c r="L1786">
        <v>1152144</v>
      </c>
      <c r="M1786">
        <v>372</v>
      </c>
      <c r="N1786" t="s">
        <v>4021</v>
      </c>
    </row>
    <row r="1787" spans="1:14" x14ac:dyDescent="0.25">
      <c r="A1787">
        <v>8592257</v>
      </c>
      <c r="B1787" t="s">
        <v>4022</v>
      </c>
      <c r="C1787" t="s">
        <v>85</v>
      </c>
      <c r="D1787" t="s">
        <v>86</v>
      </c>
      <c r="E1787" t="s">
        <v>87</v>
      </c>
      <c r="F1787" t="s">
        <v>56</v>
      </c>
      <c r="G1787">
        <v>5642</v>
      </c>
      <c r="H1787" t="s">
        <v>56</v>
      </c>
      <c r="I1787" t="s">
        <v>89</v>
      </c>
      <c r="K1787">
        <v>2527497.96759</v>
      </c>
      <c r="L1787">
        <v>1151964.2643800001</v>
      </c>
      <c r="M1787">
        <v>394.9</v>
      </c>
      <c r="N1787" t="s">
        <v>4023</v>
      </c>
    </row>
    <row r="1788" spans="1:14" x14ac:dyDescent="0.25">
      <c r="A1788">
        <v>8592263</v>
      </c>
      <c r="B1788" t="s">
        <v>4024</v>
      </c>
      <c r="C1788" t="s">
        <v>85</v>
      </c>
      <c r="D1788" t="s">
        <v>86</v>
      </c>
      <c r="E1788" t="s">
        <v>87</v>
      </c>
      <c r="F1788" t="s">
        <v>56</v>
      </c>
      <c r="G1788">
        <v>5642</v>
      </c>
      <c r="H1788" t="s">
        <v>56</v>
      </c>
      <c r="I1788" t="s">
        <v>89</v>
      </c>
      <c r="K1788">
        <v>2528116.72958</v>
      </c>
      <c r="L1788">
        <v>1152144.7522199999</v>
      </c>
      <c r="M1788">
        <v>382.4</v>
      </c>
      <c r="N1788" t="s">
        <v>4025</v>
      </c>
    </row>
    <row r="1789" spans="1:14" x14ac:dyDescent="0.25">
      <c r="A1789">
        <v>8592277</v>
      </c>
      <c r="B1789" t="s">
        <v>4026</v>
      </c>
      <c r="C1789" t="s">
        <v>85</v>
      </c>
      <c r="D1789" t="s">
        <v>86</v>
      </c>
      <c r="E1789" t="s">
        <v>87</v>
      </c>
      <c r="F1789" t="s">
        <v>56</v>
      </c>
      <c r="G1789">
        <v>5642</v>
      </c>
      <c r="H1789" t="s">
        <v>56</v>
      </c>
      <c r="I1789" t="s">
        <v>89</v>
      </c>
      <c r="K1789">
        <v>2527951</v>
      </c>
      <c r="L1789">
        <v>1151533</v>
      </c>
      <c r="M1789">
        <v>374</v>
      </c>
      <c r="N1789" t="s">
        <v>4027</v>
      </c>
    </row>
    <row r="1790" spans="1:14" x14ac:dyDescent="0.25">
      <c r="A1790">
        <v>8592260</v>
      </c>
      <c r="B1790" t="s">
        <v>4028</v>
      </c>
      <c r="C1790" t="s">
        <v>85</v>
      </c>
      <c r="D1790" t="s">
        <v>86</v>
      </c>
      <c r="E1790" t="s">
        <v>87</v>
      </c>
      <c r="F1790" t="s">
        <v>56</v>
      </c>
      <c r="G1790">
        <v>5642</v>
      </c>
      <c r="H1790" t="s">
        <v>56</v>
      </c>
      <c r="I1790" t="s">
        <v>89</v>
      </c>
      <c r="K1790">
        <v>2528220</v>
      </c>
      <c r="L1790">
        <v>1151923</v>
      </c>
      <c r="M1790">
        <v>374</v>
      </c>
      <c r="N1790" t="s">
        <v>4029</v>
      </c>
    </row>
    <row r="1791" spans="1:14" x14ac:dyDescent="0.25">
      <c r="A1791">
        <v>8591836</v>
      </c>
      <c r="B1791" t="s">
        <v>4030</v>
      </c>
      <c r="C1791" t="s">
        <v>85</v>
      </c>
      <c r="D1791" t="s">
        <v>86</v>
      </c>
      <c r="E1791" t="s">
        <v>87</v>
      </c>
      <c r="F1791" t="s">
        <v>56</v>
      </c>
      <c r="G1791">
        <v>5642</v>
      </c>
      <c r="H1791" t="s">
        <v>56</v>
      </c>
      <c r="I1791" t="s">
        <v>89</v>
      </c>
      <c r="K1791">
        <v>2526966</v>
      </c>
      <c r="L1791">
        <v>1151639</v>
      </c>
      <c r="M1791">
        <v>407</v>
      </c>
      <c r="N1791" t="s">
        <v>4031</v>
      </c>
    </row>
    <row r="1792" spans="1:14" x14ac:dyDescent="0.25">
      <c r="A1792">
        <v>8592267</v>
      </c>
      <c r="B1792" t="s">
        <v>4032</v>
      </c>
      <c r="C1792" t="s">
        <v>85</v>
      </c>
      <c r="D1792" t="s">
        <v>86</v>
      </c>
      <c r="E1792" t="s">
        <v>87</v>
      </c>
      <c r="F1792" t="s">
        <v>56</v>
      </c>
      <c r="G1792">
        <v>5642</v>
      </c>
      <c r="H1792" t="s">
        <v>56</v>
      </c>
      <c r="I1792" t="s">
        <v>89</v>
      </c>
      <c r="K1792">
        <v>2527093.9986700001</v>
      </c>
      <c r="L1792">
        <v>1151952.80354</v>
      </c>
      <c r="M1792">
        <v>409.2</v>
      </c>
      <c r="N1792" t="s">
        <v>4033</v>
      </c>
    </row>
    <row r="1793" spans="1:14" x14ac:dyDescent="0.25">
      <c r="A1793">
        <v>8592271</v>
      </c>
      <c r="B1793" t="s">
        <v>4034</v>
      </c>
      <c r="C1793" t="s">
        <v>85</v>
      </c>
      <c r="D1793" t="s">
        <v>86</v>
      </c>
      <c r="E1793" t="s">
        <v>87</v>
      </c>
      <c r="F1793" t="s">
        <v>56</v>
      </c>
      <c r="G1793">
        <v>5642</v>
      </c>
      <c r="H1793" t="s">
        <v>56</v>
      </c>
      <c r="I1793" t="s">
        <v>89</v>
      </c>
      <c r="K1793">
        <v>2527276</v>
      </c>
      <c r="L1793">
        <v>1151669</v>
      </c>
      <c r="M1793">
        <v>384</v>
      </c>
      <c r="N1793" t="s">
        <v>4035</v>
      </c>
    </row>
    <row r="1794" spans="1:14" x14ac:dyDescent="0.25">
      <c r="A1794">
        <v>8592258</v>
      </c>
      <c r="B1794" t="s">
        <v>4036</v>
      </c>
      <c r="C1794" t="s">
        <v>85</v>
      </c>
      <c r="D1794" t="s">
        <v>86</v>
      </c>
      <c r="E1794" t="s">
        <v>87</v>
      </c>
      <c r="F1794" t="s">
        <v>56</v>
      </c>
      <c r="G1794">
        <v>5642</v>
      </c>
      <c r="H1794" t="s">
        <v>56</v>
      </c>
      <c r="I1794" t="s">
        <v>89</v>
      </c>
      <c r="K1794">
        <v>2527762</v>
      </c>
      <c r="L1794">
        <v>1152172</v>
      </c>
      <c r="M1794">
        <v>402</v>
      </c>
      <c r="N1794" t="s">
        <v>4037</v>
      </c>
    </row>
    <row r="1795" spans="1:14" x14ac:dyDescent="0.25">
      <c r="A1795">
        <v>8592278</v>
      </c>
      <c r="B1795" t="s">
        <v>4038</v>
      </c>
      <c r="C1795" t="s">
        <v>85</v>
      </c>
      <c r="D1795" t="s">
        <v>86</v>
      </c>
      <c r="E1795" t="s">
        <v>87</v>
      </c>
      <c r="F1795" t="s">
        <v>56</v>
      </c>
      <c r="G1795">
        <v>5642</v>
      </c>
      <c r="H1795" t="s">
        <v>56</v>
      </c>
      <c r="I1795" t="s">
        <v>89</v>
      </c>
      <c r="K1795">
        <v>2527966</v>
      </c>
      <c r="L1795">
        <v>1151460</v>
      </c>
      <c r="M1795">
        <v>374</v>
      </c>
      <c r="N1795" t="s">
        <v>4039</v>
      </c>
    </row>
    <row r="1796" spans="1:14" x14ac:dyDescent="0.25">
      <c r="A1796">
        <v>8592262</v>
      </c>
      <c r="B1796" t="s">
        <v>4040</v>
      </c>
      <c r="C1796" t="s">
        <v>85</v>
      </c>
      <c r="D1796" t="s">
        <v>86</v>
      </c>
      <c r="E1796" t="s">
        <v>87</v>
      </c>
      <c r="F1796" t="s">
        <v>56</v>
      </c>
      <c r="G1796">
        <v>5642</v>
      </c>
      <c r="H1796" t="s">
        <v>56</v>
      </c>
      <c r="I1796" t="s">
        <v>89</v>
      </c>
      <c r="K1796">
        <v>2527706</v>
      </c>
      <c r="L1796">
        <v>1151398</v>
      </c>
      <c r="M1796">
        <v>375</v>
      </c>
      <c r="N1796" t="s">
        <v>4041</v>
      </c>
    </row>
    <row r="1797" spans="1:14" x14ac:dyDescent="0.25">
      <c r="A1797">
        <v>8592261</v>
      </c>
      <c r="B1797" t="s">
        <v>4042</v>
      </c>
      <c r="C1797" t="s">
        <v>85</v>
      </c>
      <c r="D1797" t="s">
        <v>86</v>
      </c>
      <c r="E1797" t="s">
        <v>87</v>
      </c>
      <c r="F1797" t="s">
        <v>56</v>
      </c>
      <c r="G1797">
        <v>5642</v>
      </c>
      <c r="H1797" t="s">
        <v>56</v>
      </c>
      <c r="I1797" t="s">
        <v>89</v>
      </c>
      <c r="K1797">
        <v>2527894</v>
      </c>
      <c r="L1797">
        <v>1151272</v>
      </c>
      <c r="M1797">
        <v>374</v>
      </c>
      <c r="N1797" t="s">
        <v>4043</v>
      </c>
    </row>
    <row r="1798" spans="1:14" x14ac:dyDescent="0.25">
      <c r="A1798">
        <v>8592266</v>
      </c>
      <c r="B1798" t="s">
        <v>4044</v>
      </c>
      <c r="C1798" t="s">
        <v>85</v>
      </c>
      <c r="D1798" t="s">
        <v>86</v>
      </c>
      <c r="E1798" t="s">
        <v>87</v>
      </c>
      <c r="F1798" t="s">
        <v>56</v>
      </c>
      <c r="G1798">
        <v>5642</v>
      </c>
      <c r="H1798" t="s">
        <v>56</v>
      </c>
      <c r="I1798" t="s">
        <v>89</v>
      </c>
      <c r="K1798">
        <v>2527004.1525400002</v>
      </c>
      <c r="L1798">
        <v>1151243.2246000001</v>
      </c>
      <c r="M1798">
        <v>389.9</v>
      </c>
      <c r="N1798" t="s">
        <v>4045</v>
      </c>
    </row>
    <row r="1799" spans="1:14" x14ac:dyDescent="0.25">
      <c r="A1799">
        <v>8592259</v>
      </c>
      <c r="B1799" t="s">
        <v>4046</v>
      </c>
      <c r="C1799" t="s">
        <v>85</v>
      </c>
      <c r="D1799" t="s">
        <v>86</v>
      </c>
      <c r="E1799" t="s">
        <v>87</v>
      </c>
      <c r="F1799" t="s">
        <v>56</v>
      </c>
      <c r="G1799">
        <v>5642</v>
      </c>
      <c r="H1799" t="s">
        <v>56</v>
      </c>
      <c r="I1799" t="s">
        <v>89</v>
      </c>
      <c r="K1799">
        <v>2528912</v>
      </c>
      <c r="L1799">
        <v>1152181</v>
      </c>
      <c r="M1799">
        <v>374</v>
      </c>
      <c r="N1799" t="s">
        <v>4047</v>
      </c>
    </row>
    <row r="1800" spans="1:14" x14ac:dyDescent="0.25">
      <c r="A1800">
        <v>8592252</v>
      </c>
      <c r="B1800" t="s">
        <v>4048</v>
      </c>
      <c r="C1800" t="s">
        <v>85</v>
      </c>
      <c r="D1800" t="s">
        <v>86</v>
      </c>
      <c r="E1800" t="s">
        <v>87</v>
      </c>
      <c r="F1800" t="s">
        <v>56</v>
      </c>
      <c r="G1800">
        <v>5642</v>
      </c>
      <c r="H1800" t="s">
        <v>56</v>
      </c>
      <c r="I1800" t="s">
        <v>89</v>
      </c>
      <c r="K1800">
        <v>2528710</v>
      </c>
      <c r="L1800">
        <v>1152508</v>
      </c>
      <c r="M1800">
        <v>389</v>
      </c>
      <c r="N1800" t="s">
        <v>4049</v>
      </c>
    </row>
    <row r="1801" spans="1:14" x14ac:dyDescent="0.25">
      <c r="A1801">
        <v>8596054</v>
      </c>
      <c r="B1801" t="s">
        <v>4050</v>
      </c>
      <c r="C1801" t="s">
        <v>85</v>
      </c>
      <c r="D1801" t="s">
        <v>86</v>
      </c>
      <c r="E1801" t="s">
        <v>87</v>
      </c>
      <c r="F1801" t="s">
        <v>56</v>
      </c>
      <c r="G1801">
        <v>5642</v>
      </c>
      <c r="H1801" t="s">
        <v>56</v>
      </c>
      <c r="I1801" t="s">
        <v>89</v>
      </c>
      <c r="K1801">
        <v>2527129</v>
      </c>
      <c r="L1801">
        <v>1150994</v>
      </c>
      <c r="M1801">
        <v>376</v>
      </c>
      <c r="N1801" t="s">
        <v>4051</v>
      </c>
    </row>
    <row r="1802" spans="1:14" x14ac:dyDescent="0.25">
      <c r="A1802">
        <v>8519319</v>
      </c>
      <c r="B1802" t="s">
        <v>4052</v>
      </c>
      <c r="C1802" t="s">
        <v>353</v>
      </c>
      <c r="E1802" t="s">
        <v>87</v>
      </c>
      <c r="F1802" t="s">
        <v>56</v>
      </c>
      <c r="G1802">
        <v>5642</v>
      </c>
      <c r="H1802" t="s">
        <v>56</v>
      </c>
      <c r="I1802" t="s">
        <v>354</v>
      </c>
      <c r="J1802" t="s">
        <v>130</v>
      </c>
      <c r="K1802">
        <v>2527479</v>
      </c>
      <c r="L1802">
        <v>1151556</v>
      </c>
      <c r="M1802">
        <v>382</v>
      </c>
      <c r="N1802" t="s">
        <v>4053</v>
      </c>
    </row>
    <row r="1803" spans="1:14" x14ac:dyDescent="0.25">
      <c r="A1803">
        <v>8570084</v>
      </c>
      <c r="B1803" t="s">
        <v>4054</v>
      </c>
      <c r="C1803" t="s">
        <v>85</v>
      </c>
      <c r="D1803" t="s">
        <v>86</v>
      </c>
      <c r="E1803" t="s">
        <v>87</v>
      </c>
      <c r="F1803" t="s">
        <v>56</v>
      </c>
      <c r="G1803">
        <v>5642</v>
      </c>
      <c r="H1803" t="s">
        <v>56</v>
      </c>
      <c r="I1803" t="s">
        <v>89</v>
      </c>
      <c r="K1803">
        <v>2527527.5228499998</v>
      </c>
      <c r="L1803">
        <v>1151442.27829</v>
      </c>
      <c r="M1803">
        <v>377</v>
      </c>
      <c r="N1803" t="s">
        <v>4055</v>
      </c>
    </row>
    <row r="1804" spans="1:14" x14ac:dyDescent="0.25">
      <c r="A1804">
        <v>8510446</v>
      </c>
      <c r="B1804" t="s">
        <v>4056</v>
      </c>
      <c r="C1804" t="s">
        <v>85</v>
      </c>
      <c r="D1804" t="s">
        <v>86</v>
      </c>
      <c r="E1804" t="s">
        <v>87</v>
      </c>
      <c r="F1804" t="s">
        <v>56</v>
      </c>
      <c r="G1804">
        <v>5642</v>
      </c>
      <c r="H1804" t="s">
        <v>56</v>
      </c>
      <c r="I1804" t="s">
        <v>89</v>
      </c>
      <c r="K1804">
        <v>2526597.8947999999</v>
      </c>
      <c r="L1804">
        <v>1151009.79642</v>
      </c>
      <c r="M1804">
        <v>404.4</v>
      </c>
      <c r="N1804" t="s">
        <v>4057</v>
      </c>
    </row>
    <row r="1805" spans="1:14" x14ac:dyDescent="0.25">
      <c r="A1805">
        <v>8501090</v>
      </c>
      <c r="B1805" t="s">
        <v>4058</v>
      </c>
      <c r="C1805" t="s">
        <v>353</v>
      </c>
      <c r="D1805" t="s">
        <v>112</v>
      </c>
      <c r="E1805" t="s">
        <v>87</v>
      </c>
      <c r="F1805" t="s">
        <v>56</v>
      </c>
      <c r="G1805">
        <v>5642</v>
      </c>
      <c r="H1805" t="s">
        <v>56</v>
      </c>
      <c r="I1805" t="s">
        <v>354</v>
      </c>
      <c r="K1805">
        <v>2526444.8790000002</v>
      </c>
      <c r="L1805">
        <v>1151357.4380000001</v>
      </c>
      <c r="M1805">
        <v>414</v>
      </c>
      <c r="N1805" t="s">
        <v>4059</v>
      </c>
    </row>
    <row r="1806" spans="1:14" x14ac:dyDescent="0.25">
      <c r="A1806">
        <v>8589248</v>
      </c>
      <c r="B1806" t="s">
        <v>4060</v>
      </c>
      <c r="C1806" t="s">
        <v>85</v>
      </c>
      <c r="D1806" t="s">
        <v>86</v>
      </c>
      <c r="E1806" t="s">
        <v>87</v>
      </c>
      <c r="F1806" t="s">
        <v>56</v>
      </c>
      <c r="G1806">
        <v>5642</v>
      </c>
      <c r="H1806" t="s">
        <v>56</v>
      </c>
      <c r="I1806" t="s">
        <v>89</v>
      </c>
      <c r="K1806">
        <v>2527463.2376700002</v>
      </c>
      <c r="L1806">
        <v>1151107.9183799999</v>
      </c>
      <c r="M1806">
        <v>376.3</v>
      </c>
      <c r="N1806" t="s">
        <v>4061</v>
      </c>
    </row>
    <row r="1807" spans="1:14" x14ac:dyDescent="0.25">
      <c r="A1807">
        <v>8570089</v>
      </c>
      <c r="B1807" t="s">
        <v>4062</v>
      </c>
      <c r="C1807" t="s">
        <v>85</v>
      </c>
      <c r="D1807" t="s">
        <v>86</v>
      </c>
      <c r="E1807" t="s">
        <v>87</v>
      </c>
      <c r="F1807" t="s">
        <v>56</v>
      </c>
      <c r="G1807">
        <v>5642</v>
      </c>
      <c r="H1807" t="s">
        <v>56</v>
      </c>
      <c r="I1807" t="s">
        <v>89</v>
      </c>
      <c r="K1807">
        <v>2527951.4451899999</v>
      </c>
      <c r="L1807">
        <v>1151742.49306</v>
      </c>
      <c r="M1807">
        <v>375.1</v>
      </c>
      <c r="N1807" t="s">
        <v>4063</v>
      </c>
    </row>
    <row r="1808" spans="1:14" x14ac:dyDescent="0.25">
      <c r="A1808">
        <v>8592274</v>
      </c>
      <c r="B1808" t="s">
        <v>4064</v>
      </c>
      <c r="C1808" t="s">
        <v>85</v>
      </c>
      <c r="D1808" t="s">
        <v>86</v>
      </c>
      <c r="E1808" t="s">
        <v>87</v>
      </c>
      <c r="F1808" t="s">
        <v>56</v>
      </c>
      <c r="G1808">
        <v>5642</v>
      </c>
      <c r="H1808" t="s">
        <v>56</v>
      </c>
      <c r="I1808" t="s">
        <v>89</v>
      </c>
      <c r="K1808">
        <v>2528237</v>
      </c>
      <c r="L1808">
        <v>1152234</v>
      </c>
      <c r="M1808">
        <v>383</v>
      </c>
      <c r="N1808" t="s">
        <v>4065</v>
      </c>
    </row>
    <row r="1809" spans="1:14" x14ac:dyDescent="0.25">
      <c r="A1809">
        <v>8570081</v>
      </c>
      <c r="B1809" t="s">
        <v>4066</v>
      </c>
      <c r="C1809" t="s">
        <v>85</v>
      </c>
      <c r="D1809" t="s">
        <v>86</v>
      </c>
      <c r="E1809" t="s">
        <v>87</v>
      </c>
      <c r="F1809" t="s">
        <v>56</v>
      </c>
      <c r="G1809">
        <v>5642</v>
      </c>
      <c r="H1809" t="s">
        <v>56</v>
      </c>
      <c r="I1809" t="s">
        <v>89</v>
      </c>
      <c r="K1809">
        <v>2526611</v>
      </c>
      <c r="L1809">
        <v>1151500</v>
      </c>
      <c r="M1809">
        <v>402</v>
      </c>
      <c r="N1809" t="s">
        <v>4067</v>
      </c>
    </row>
    <row r="1810" spans="1:14" x14ac:dyDescent="0.25">
      <c r="A1810">
        <v>8570070</v>
      </c>
      <c r="B1810" t="s">
        <v>4068</v>
      </c>
      <c r="C1810" t="s">
        <v>85</v>
      </c>
      <c r="D1810" t="s">
        <v>86</v>
      </c>
      <c r="E1810" t="s">
        <v>87</v>
      </c>
      <c r="F1810" t="s">
        <v>56</v>
      </c>
      <c r="G1810">
        <v>5642</v>
      </c>
      <c r="H1810" t="s">
        <v>56</v>
      </c>
      <c r="I1810" t="s">
        <v>89</v>
      </c>
      <c r="K1810">
        <v>2527082</v>
      </c>
      <c r="L1810">
        <v>1152278</v>
      </c>
      <c r="M1810">
        <v>428</v>
      </c>
      <c r="N1810" t="s">
        <v>4069</v>
      </c>
    </row>
    <row r="1811" spans="1:14" x14ac:dyDescent="0.25">
      <c r="A1811">
        <v>8570090</v>
      </c>
      <c r="B1811" t="s">
        <v>4070</v>
      </c>
      <c r="C1811" t="s">
        <v>85</v>
      </c>
      <c r="D1811" t="s">
        <v>86</v>
      </c>
      <c r="E1811" t="s">
        <v>87</v>
      </c>
      <c r="F1811" t="s">
        <v>56</v>
      </c>
      <c r="G1811">
        <v>5642</v>
      </c>
      <c r="H1811" t="s">
        <v>56</v>
      </c>
      <c r="I1811" t="s">
        <v>89</v>
      </c>
      <c r="K1811">
        <v>2528308.1277299998</v>
      </c>
      <c r="L1811">
        <v>1152517.9343000001</v>
      </c>
      <c r="M1811">
        <v>396.4</v>
      </c>
      <c r="N1811" t="s">
        <v>4071</v>
      </c>
    </row>
    <row r="1812" spans="1:14" x14ac:dyDescent="0.25">
      <c r="A1812">
        <v>8592268</v>
      </c>
      <c r="B1812" t="s">
        <v>4072</v>
      </c>
      <c r="C1812" t="s">
        <v>85</v>
      </c>
      <c r="D1812" t="s">
        <v>86</v>
      </c>
      <c r="E1812" t="s">
        <v>87</v>
      </c>
      <c r="F1812" t="s">
        <v>56</v>
      </c>
      <c r="G1812">
        <v>5642</v>
      </c>
      <c r="H1812" t="s">
        <v>56</v>
      </c>
      <c r="I1812" t="s">
        <v>89</v>
      </c>
      <c r="K1812">
        <v>2528054</v>
      </c>
      <c r="L1812">
        <v>1152260</v>
      </c>
      <c r="M1812">
        <v>380</v>
      </c>
      <c r="N1812" t="s">
        <v>4073</v>
      </c>
    </row>
    <row r="1813" spans="1:14" x14ac:dyDescent="0.25">
      <c r="A1813">
        <v>8592273</v>
      </c>
      <c r="B1813" t="s">
        <v>4074</v>
      </c>
      <c r="C1813" t="s">
        <v>85</v>
      </c>
      <c r="D1813" t="s">
        <v>86</v>
      </c>
      <c r="E1813" t="s">
        <v>87</v>
      </c>
      <c r="F1813" t="s">
        <v>56</v>
      </c>
      <c r="G1813">
        <v>5642</v>
      </c>
      <c r="H1813" t="s">
        <v>56</v>
      </c>
      <c r="I1813" t="s">
        <v>89</v>
      </c>
      <c r="K1813">
        <v>2526774</v>
      </c>
      <c r="L1813">
        <v>1151568</v>
      </c>
      <c r="M1813">
        <v>411</v>
      </c>
      <c r="N1813" t="s">
        <v>4075</v>
      </c>
    </row>
    <row r="1814" spans="1:14" x14ac:dyDescent="0.25">
      <c r="A1814">
        <v>8501037</v>
      </c>
      <c r="B1814" t="s">
        <v>56</v>
      </c>
      <c r="C1814" t="s">
        <v>132</v>
      </c>
      <c r="D1814" t="s">
        <v>112</v>
      </c>
      <c r="E1814" t="s">
        <v>87</v>
      </c>
      <c r="F1814" t="s">
        <v>56</v>
      </c>
      <c r="G1814">
        <v>5642</v>
      </c>
      <c r="H1814" t="s">
        <v>56</v>
      </c>
      <c r="I1814" t="s">
        <v>133</v>
      </c>
      <c r="K1814">
        <v>2527498.4539999999</v>
      </c>
      <c r="L1814">
        <v>1151525.9850000001</v>
      </c>
      <c r="M1814">
        <v>381.55</v>
      </c>
      <c r="N1814" t="s">
        <v>4076</v>
      </c>
    </row>
    <row r="1815" spans="1:14" x14ac:dyDescent="0.25">
      <c r="A1815">
        <v>8501228</v>
      </c>
      <c r="B1815" t="s">
        <v>4077</v>
      </c>
      <c r="C1815" t="s">
        <v>778</v>
      </c>
      <c r="D1815" t="s">
        <v>302</v>
      </c>
      <c r="E1815" t="s">
        <v>87</v>
      </c>
      <c r="F1815" t="s">
        <v>56</v>
      </c>
      <c r="G1815">
        <v>5642</v>
      </c>
      <c r="H1815" t="s">
        <v>56</v>
      </c>
      <c r="I1815" t="s">
        <v>780</v>
      </c>
      <c r="K1815">
        <v>2527990.98239</v>
      </c>
      <c r="L1815">
        <v>1151220.8860200001</v>
      </c>
      <c r="M1815">
        <v>373</v>
      </c>
      <c r="N1815" t="s">
        <v>4078</v>
      </c>
    </row>
    <row r="1816" spans="1:14" x14ac:dyDescent="0.25">
      <c r="A1816">
        <v>8501054</v>
      </c>
      <c r="B1816" t="s">
        <v>4079</v>
      </c>
      <c r="C1816" t="s">
        <v>353</v>
      </c>
      <c r="D1816" t="s">
        <v>112</v>
      </c>
      <c r="E1816" t="s">
        <v>87</v>
      </c>
      <c r="F1816" t="s">
        <v>56</v>
      </c>
      <c r="G1816">
        <v>5642</v>
      </c>
      <c r="H1816" t="s">
        <v>56</v>
      </c>
      <c r="I1816" t="s">
        <v>354</v>
      </c>
      <c r="K1816">
        <v>2526762.4920000001</v>
      </c>
      <c r="L1816">
        <v>1151028.933</v>
      </c>
      <c r="M1816">
        <v>397</v>
      </c>
      <c r="N1816" t="s">
        <v>4080</v>
      </c>
    </row>
    <row r="1817" spans="1:14" x14ac:dyDescent="0.25">
      <c r="A1817">
        <v>8570069</v>
      </c>
      <c r="B1817" t="s">
        <v>4081</v>
      </c>
      <c r="C1817" t="s">
        <v>85</v>
      </c>
      <c r="D1817" t="s">
        <v>86</v>
      </c>
      <c r="E1817" t="s">
        <v>87</v>
      </c>
      <c r="F1817" t="s">
        <v>56</v>
      </c>
      <c r="G1817">
        <v>5642</v>
      </c>
      <c r="H1817" t="s">
        <v>56</v>
      </c>
      <c r="I1817" t="s">
        <v>89</v>
      </c>
      <c r="K1817">
        <v>2527306.1191400001</v>
      </c>
      <c r="L1817">
        <v>1151834.78761</v>
      </c>
      <c r="M1817">
        <v>397.6</v>
      </c>
      <c r="N1817" t="s">
        <v>4082</v>
      </c>
    </row>
    <row r="1818" spans="1:14" x14ac:dyDescent="0.25">
      <c r="A1818">
        <v>8582065</v>
      </c>
      <c r="B1818" t="s">
        <v>4083</v>
      </c>
      <c r="C1818" t="s">
        <v>242</v>
      </c>
      <c r="D1818" t="s">
        <v>86</v>
      </c>
      <c r="E1818" t="s">
        <v>87</v>
      </c>
      <c r="F1818" t="s">
        <v>4084</v>
      </c>
      <c r="G1818">
        <v>5527</v>
      </c>
      <c r="H1818" t="s">
        <v>4085</v>
      </c>
      <c r="I1818" t="s">
        <v>243</v>
      </c>
      <c r="K1818">
        <v>2537817</v>
      </c>
      <c r="L1818">
        <v>1160152</v>
      </c>
      <c r="M1818">
        <v>696</v>
      </c>
      <c r="N1818" t="s">
        <v>4086</v>
      </c>
    </row>
    <row r="1819" spans="1:14" x14ac:dyDescent="0.25">
      <c r="A1819">
        <v>8592166</v>
      </c>
      <c r="B1819" t="s">
        <v>4087</v>
      </c>
      <c r="C1819" t="s">
        <v>94</v>
      </c>
      <c r="D1819" t="s">
        <v>86</v>
      </c>
      <c r="E1819" t="s">
        <v>87</v>
      </c>
      <c r="F1819" t="s">
        <v>4088</v>
      </c>
      <c r="G1819">
        <v>5678</v>
      </c>
      <c r="H1819" t="s">
        <v>4088</v>
      </c>
      <c r="I1819" t="s">
        <v>96</v>
      </c>
      <c r="K1819">
        <v>2551020</v>
      </c>
      <c r="L1819">
        <v>1168574</v>
      </c>
      <c r="M1819">
        <v>512</v>
      </c>
      <c r="N1819" t="s">
        <v>4089</v>
      </c>
    </row>
    <row r="1820" spans="1:14" x14ac:dyDescent="0.25">
      <c r="A1820">
        <v>8592165</v>
      </c>
      <c r="B1820" t="s">
        <v>4090</v>
      </c>
      <c r="C1820" t="s">
        <v>94</v>
      </c>
      <c r="D1820" t="s">
        <v>86</v>
      </c>
      <c r="E1820" t="s">
        <v>87</v>
      </c>
      <c r="F1820" t="s">
        <v>4088</v>
      </c>
      <c r="G1820">
        <v>5678</v>
      </c>
      <c r="H1820" t="s">
        <v>4088</v>
      </c>
      <c r="I1820" t="s">
        <v>96</v>
      </c>
      <c r="K1820">
        <v>2550763</v>
      </c>
      <c r="L1820">
        <v>1168088</v>
      </c>
      <c r="M1820">
        <v>525</v>
      </c>
      <c r="N1820" t="s">
        <v>4091</v>
      </c>
    </row>
    <row r="1821" spans="1:14" x14ac:dyDescent="0.25">
      <c r="A1821">
        <v>8504120</v>
      </c>
      <c r="B1821" t="s">
        <v>4088</v>
      </c>
      <c r="C1821" t="s">
        <v>132</v>
      </c>
      <c r="D1821" t="s">
        <v>112</v>
      </c>
      <c r="E1821" t="s">
        <v>87</v>
      </c>
      <c r="F1821" t="s">
        <v>4088</v>
      </c>
      <c r="G1821">
        <v>5678</v>
      </c>
      <c r="H1821" t="s">
        <v>4088</v>
      </c>
      <c r="I1821" t="s">
        <v>133</v>
      </c>
      <c r="K1821">
        <v>2551319.2769999998</v>
      </c>
      <c r="L1821">
        <v>1168734.577</v>
      </c>
      <c r="M1821">
        <v>509.9</v>
      </c>
      <c r="N1821" t="s">
        <v>4092</v>
      </c>
    </row>
    <row r="1822" spans="1:14" x14ac:dyDescent="0.25">
      <c r="A1822">
        <v>8570341</v>
      </c>
      <c r="B1822" t="s">
        <v>4093</v>
      </c>
      <c r="C1822" t="s">
        <v>94</v>
      </c>
      <c r="D1822" t="s">
        <v>86</v>
      </c>
      <c r="E1822" t="s">
        <v>87</v>
      </c>
      <c r="F1822" t="s">
        <v>4088</v>
      </c>
      <c r="G1822">
        <v>5678</v>
      </c>
      <c r="H1822" t="s">
        <v>4088</v>
      </c>
      <c r="I1822" t="s">
        <v>96</v>
      </c>
      <c r="K1822">
        <v>2550418</v>
      </c>
      <c r="L1822">
        <v>1168799</v>
      </c>
      <c r="M1822">
        <v>532</v>
      </c>
      <c r="N1822" t="s">
        <v>4094</v>
      </c>
    </row>
    <row r="1823" spans="1:14" x14ac:dyDescent="0.25">
      <c r="A1823">
        <v>8570338</v>
      </c>
      <c r="B1823" t="s">
        <v>4095</v>
      </c>
      <c r="C1823" t="s">
        <v>94</v>
      </c>
      <c r="D1823" t="s">
        <v>86</v>
      </c>
      <c r="E1823" t="s">
        <v>87</v>
      </c>
      <c r="F1823" t="s">
        <v>4088</v>
      </c>
      <c r="G1823">
        <v>5678</v>
      </c>
      <c r="H1823" t="s">
        <v>4088</v>
      </c>
      <c r="I1823" t="s">
        <v>96</v>
      </c>
      <c r="K1823">
        <v>2551223</v>
      </c>
      <c r="L1823">
        <v>1169025</v>
      </c>
      <c r="M1823">
        <v>517</v>
      </c>
      <c r="N1823" t="s">
        <v>4096</v>
      </c>
    </row>
    <row r="1824" spans="1:14" x14ac:dyDescent="0.25">
      <c r="A1824">
        <v>8570339</v>
      </c>
      <c r="B1824" t="s">
        <v>4097</v>
      </c>
      <c r="C1824" t="s">
        <v>94</v>
      </c>
      <c r="D1824" t="s">
        <v>86</v>
      </c>
      <c r="E1824" t="s">
        <v>87</v>
      </c>
      <c r="F1824" t="s">
        <v>4088</v>
      </c>
      <c r="G1824">
        <v>5678</v>
      </c>
      <c r="H1824" t="s">
        <v>4088</v>
      </c>
      <c r="I1824" t="s">
        <v>96</v>
      </c>
      <c r="K1824">
        <v>2551335</v>
      </c>
      <c r="L1824">
        <v>1169281</v>
      </c>
      <c r="M1824">
        <v>531</v>
      </c>
      <c r="N1824" t="s">
        <v>4098</v>
      </c>
    </row>
    <row r="1825" spans="1:14" x14ac:dyDescent="0.25">
      <c r="A1825">
        <v>8570340</v>
      </c>
      <c r="B1825" t="s">
        <v>4099</v>
      </c>
      <c r="C1825" t="s">
        <v>94</v>
      </c>
      <c r="D1825" t="s">
        <v>86</v>
      </c>
      <c r="E1825" t="s">
        <v>87</v>
      </c>
      <c r="F1825" t="s">
        <v>4088</v>
      </c>
      <c r="G1825">
        <v>5678</v>
      </c>
      <c r="H1825" t="s">
        <v>4088</v>
      </c>
      <c r="I1825" t="s">
        <v>96</v>
      </c>
      <c r="K1825">
        <v>2551094</v>
      </c>
      <c r="L1825">
        <v>1169170</v>
      </c>
      <c r="M1825">
        <v>536</v>
      </c>
      <c r="N1825" t="s">
        <v>4100</v>
      </c>
    </row>
    <row r="1826" spans="1:14" x14ac:dyDescent="0.25">
      <c r="A1826">
        <v>8570393</v>
      </c>
      <c r="B1826" t="s">
        <v>4101</v>
      </c>
      <c r="C1826" t="s">
        <v>94</v>
      </c>
      <c r="D1826" t="s">
        <v>86</v>
      </c>
      <c r="E1826" t="s">
        <v>87</v>
      </c>
      <c r="F1826" t="s">
        <v>4088</v>
      </c>
      <c r="G1826">
        <v>5678</v>
      </c>
      <c r="H1826" t="s">
        <v>4088</v>
      </c>
      <c r="I1826" t="s">
        <v>96</v>
      </c>
      <c r="K1826">
        <v>2551294</v>
      </c>
      <c r="L1826">
        <v>1168719</v>
      </c>
      <c r="M1826">
        <v>511</v>
      </c>
      <c r="N1826" t="s">
        <v>4102</v>
      </c>
    </row>
    <row r="1827" spans="1:14" x14ac:dyDescent="0.25">
      <c r="A1827">
        <v>8579243</v>
      </c>
      <c r="B1827" t="s">
        <v>4103</v>
      </c>
      <c r="C1827" t="s">
        <v>94</v>
      </c>
      <c r="D1827" t="s">
        <v>86</v>
      </c>
      <c r="E1827" t="s">
        <v>87</v>
      </c>
      <c r="F1827" t="s">
        <v>4088</v>
      </c>
      <c r="G1827">
        <v>5678</v>
      </c>
      <c r="H1827" t="s">
        <v>4088</v>
      </c>
      <c r="I1827" t="s">
        <v>96</v>
      </c>
      <c r="K1827">
        <v>2550259</v>
      </c>
      <c r="L1827">
        <v>1166935</v>
      </c>
      <c r="M1827">
        <v>533</v>
      </c>
      <c r="N1827" t="s">
        <v>4104</v>
      </c>
    </row>
    <row r="1828" spans="1:14" x14ac:dyDescent="0.25">
      <c r="A1828">
        <v>8581513</v>
      </c>
      <c r="B1828" t="s">
        <v>4105</v>
      </c>
      <c r="C1828" t="s">
        <v>94</v>
      </c>
      <c r="D1828" t="s">
        <v>86</v>
      </c>
      <c r="E1828" t="s">
        <v>87</v>
      </c>
      <c r="F1828" t="s">
        <v>4088</v>
      </c>
      <c r="G1828">
        <v>5678</v>
      </c>
      <c r="H1828" t="s">
        <v>4088</v>
      </c>
      <c r="I1828" t="s">
        <v>96</v>
      </c>
      <c r="K1828">
        <v>2550959</v>
      </c>
      <c r="L1828">
        <v>1169256</v>
      </c>
      <c r="M1828">
        <v>549</v>
      </c>
      <c r="N1828" t="s">
        <v>4106</v>
      </c>
    </row>
    <row r="1829" spans="1:14" x14ac:dyDescent="0.25">
      <c r="A1829">
        <v>8570356</v>
      </c>
      <c r="B1829" t="s">
        <v>4107</v>
      </c>
      <c r="C1829" t="s">
        <v>94</v>
      </c>
      <c r="D1829" t="s">
        <v>86</v>
      </c>
      <c r="E1829" t="s">
        <v>87</v>
      </c>
      <c r="F1829" t="s">
        <v>4088</v>
      </c>
      <c r="G1829">
        <v>5678</v>
      </c>
      <c r="H1829" t="s">
        <v>4088</v>
      </c>
      <c r="I1829" t="s">
        <v>96</v>
      </c>
      <c r="K1829">
        <v>2551464</v>
      </c>
      <c r="L1829">
        <v>1169764</v>
      </c>
      <c r="M1829">
        <v>564</v>
      </c>
      <c r="N1829" t="s">
        <v>4108</v>
      </c>
    </row>
    <row r="1830" spans="1:14" x14ac:dyDescent="0.25">
      <c r="A1830">
        <v>8504019</v>
      </c>
      <c r="B1830" t="s">
        <v>4109</v>
      </c>
      <c r="C1830" t="s">
        <v>132</v>
      </c>
      <c r="E1830" t="s">
        <v>87</v>
      </c>
      <c r="F1830" t="s">
        <v>4088</v>
      </c>
      <c r="G1830">
        <v>5678</v>
      </c>
      <c r="H1830" t="s">
        <v>4088</v>
      </c>
      <c r="I1830" t="s">
        <v>133</v>
      </c>
      <c r="K1830">
        <v>2550445.0660000001</v>
      </c>
      <c r="L1830">
        <v>1167084.669</v>
      </c>
      <c r="M1830">
        <v>533.21299999999997</v>
      </c>
      <c r="N1830" t="s">
        <v>4110</v>
      </c>
    </row>
    <row r="1831" spans="1:14" x14ac:dyDescent="0.25">
      <c r="A1831">
        <v>8570342</v>
      </c>
      <c r="B1831" t="s">
        <v>4111</v>
      </c>
      <c r="C1831" t="s">
        <v>94</v>
      </c>
      <c r="D1831" t="s">
        <v>86</v>
      </c>
      <c r="E1831" t="s">
        <v>87</v>
      </c>
      <c r="F1831" t="s">
        <v>4088</v>
      </c>
      <c r="G1831">
        <v>5678</v>
      </c>
      <c r="H1831" t="s">
        <v>4088</v>
      </c>
      <c r="I1831" t="s">
        <v>96</v>
      </c>
      <c r="K1831">
        <v>2550176</v>
      </c>
      <c r="L1831">
        <v>1168297</v>
      </c>
      <c r="M1831">
        <v>566</v>
      </c>
      <c r="N1831" t="s">
        <v>4112</v>
      </c>
    </row>
    <row r="1832" spans="1:14" x14ac:dyDescent="0.25">
      <c r="A1832">
        <v>8507691</v>
      </c>
      <c r="B1832" t="s">
        <v>4113</v>
      </c>
      <c r="C1832" t="s">
        <v>94</v>
      </c>
      <c r="D1832" t="s">
        <v>86</v>
      </c>
      <c r="E1832" t="s">
        <v>87</v>
      </c>
      <c r="F1832" t="s">
        <v>4114</v>
      </c>
      <c r="G1832">
        <v>5563</v>
      </c>
      <c r="H1832" t="s">
        <v>4114</v>
      </c>
      <c r="I1832" t="s">
        <v>96</v>
      </c>
      <c r="K1832">
        <v>2545777</v>
      </c>
      <c r="L1832">
        <v>1192590</v>
      </c>
      <c r="M1832">
        <v>749</v>
      </c>
      <c r="N1832" t="s">
        <v>4115</v>
      </c>
    </row>
    <row r="1833" spans="1:14" x14ac:dyDescent="0.25">
      <c r="A1833">
        <v>8570284</v>
      </c>
      <c r="B1833" t="s">
        <v>4116</v>
      </c>
      <c r="C1833" t="s">
        <v>94</v>
      </c>
      <c r="D1833" t="s">
        <v>86</v>
      </c>
      <c r="E1833" t="s">
        <v>87</v>
      </c>
      <c r="F1833" t="s">
        <v>4114</v>
      </c>
      <c r="G1833">
        <v>5563</v>
      </c>
      <c r="H1833" t="s">
        <v>4114</v>
      </c>
      <c r="I1833" t="s">
        <v>96</v>
      </c>
      <c r="K1833">
        <v>2545508</v>
      </c>
      <c r="L1833">
        <v>1193056</v>
      </c>
      <c r="M1833">
        <v>756</v>
      </c>
      <c r="N1833" t="s">
        <v>4117</v>
      </c>
    </row>
    <row r="1834" spans="1:14" x14ac:dyDescent="0.25">
      <c r="A1834">
        <v>8507694</v>
      </c>
      <c r="B1834" t="s">
        <v>4118</v>
      </c>
      <c r="C1834" t="s">
        <v>94</v>
      </c>
      <c r="D1834" t="s">
        <v>86</v>
      </c>
      <c r="E1834" t="s">
        <v>87</v>
      </c>
      <c r="F1834" t="s">
        <v>4119</v>
      </c>
      <c r="G1834">
        <v>5564</v>
      </c>
      <c r="H1834" t="s">
        <v>4119</v>
      </c>
      <c r="I1834" t="s">
        <v>96</v>
      </c>
      <c r="K1834">
        <v>2535704</v>
      </c>
      <c r="L1834">
        <v>1186718</v>
      </c>
      <c r="M1834">
        <v>571</v>
      </c>
      <c r="N1834" t="s">
        <v>4120</v>
      </c>
    </row>
    <row r="1835" spans="1:14" x14ac:dyDescent="0.25">
      <c r="A1835">
        <v>8570582</v>
      </c>
      <c r="B1835" t="s">
        <v>4121</v>
      </c>
      <c r="C1835" t="s">
        <v>94</v>
      </c>
      <c r="D1835" t="s">
        <v>86</v>
      </c>
      <c r="E1835" t="s">
        <v>87</v>
      </c>
      <c r="F1835" t="s">
        <v>4122</v>
      </c>
      <c r="G1835">
        <v>5408</v>
      </c>
      <c r="H1835" t="s">
        <v>4122</v>
      </c>
      <c r="I1835" t="s">
        <v>96</v>
      </c>
      <c r="K1835">
        <v>2560160</v>
      </c>
      <c r="L1835">
        <v>1137274</v>
      </c>
      <c r="M1835">
        <v>375</v>
      </c>
      <c r="N1835" t="s">
        <v>4123</v>
      </c>
    </row>
    <row r="1836" spans="1:14" x14ac:dyDescent="0.25">
      <c r="A1836">
        <v>8570588</v>
      </c>
      <c r="B1836" t="s">
        <v>4124</v>
      </c>
      <c r="C1836" t="s">
        <v>94</v>
      </c>
      <c r="D1836" t="s">
        <v>86</v>
      </c>
      <c r="E1836" t="s">
        <v>87</v>
      </c>
      <c r="F1836" t="s">
        <v>4122</v>
      </c>
      <c r="G1836">
        <v>5408</v>
      </c>
      <c r="H1836" t="s">
        <v>4122</v>
      </c>
      <c r="I1836" t="s">
        <v>96</v>
      </c>
      <c r="K1836">
        <v>2558671</v>
      </c>
      <c r="L1836">
        <v>1134929</v>
      </c>
      <c r="M1836">
        <v>379</v>
      </c>
      <c r="N1836" t="s">
        <v>4125</v>
      </c>
    </row>
    <row r="1837" spans="1:14" x14ac:dyDescent="0.25">
      <c r="A1837">
        <v>8557105</v>
      </c>
      <c r="B1837" t="s">
        <v>4126</v>
      </c>
      <c r="C1837" t="s">
        <v>94</v>
      </c>
      <c r="D1837" t="s">
        <v>86</v>
      </c>
      <c r="E1837" t="s">
        <v>87</v>
      </c>
      <c r="F1837" t="s">
        <v>4122</v>
      </c>
      <c r="G1837">
        <v>5408</v>
      </c>
      <c r="H1837" t="s">
        <v>4122</v>
      </c>
      <c r="I1837" t="s">
        <v>96</v>
      </c>
      <c r="K1837">
        <v>2558615</v>
      </c>
      <c r="L1837">
        <v>1136588</v>
      </c>
      <c r="M1837">
        <v>380</v>
      </c>
      <c r="N1837" t="s">
        <v>4127</v>
      </c>
    </row>
    <row r="1838" spans="1:14" x14ac:dyDescent="0.25">
      <c r="A1838">
        <v>8580445</v>
      </c>
      <c r="B1838" t="s">
        <v>4128</v>
      </c>
      <c r="C1838" t="s">
        <v>94</v>
      </c>
      <c r="D1838" t="s">
        <v>86</v>
      </c>
      <c r="E1838" t="s">
        <v>87</v>
      </c>
      <c r="F1838" t="s">
        <v>4122</v>
      </c>
      <c r="G1838">
        <v>5408</v>
      </c>
      <c r="H1838" t="s">
        <v>4122</v>
      </c>
      <c r="I1838" t="s">
        <v>96</v>
      </c>
      <c r="K1838">
        <v>2558700</v>
      </c>
      <c r="L1838">
        <v>1135187</v>
      </c>
      <c r="M1838">
        <v>379</v>
      </c>
      <c r="N1838" t="s">
        <v>4129</v>
      </c>
    </row>
    <row r="1839" spans="1:14" x14ac:dyDescent="0.25">
      <c r="A1839">
        <v>8502637</v>
      </c>
      <c r="B1839" t="s">
        <v>4130</v>
      </c>
      <c r="C1839" t="s">
        <v>650</v>
      </c>
      <c r="D1839" t="s">
        <v>86</v>
      </c>
      <c r="E1839" t="s">
        <v>87</v>
      </c>
      <c r="F1839" t="s">
        <v>4122</v>
      </c>
      <c r="G1839">
        <v>5408</v>
      </c>
      <c r="H1839" t="s">
        <v>4122</v>
      </c>
      <c r="I1839" t="s">
        <v>651</v>
      </c>
      <c r="K1839">
        <v>2560193.1379999998</v>
      </c>
      <c r="L1839">
        <v>1137739.034</v>
      </c>
      <c r="M1839">
        <v>373</v>
      </c>
      <c r="N1839" t="s">
        <v>4131</v>
      </c>
    </row>
    <row r="1840" spans="1:14" x14ac:dyDescent="0.25">
      <c r="A1840">
        <v>8502636</v>
      </c>
      <c r="B1840" t="s">
        <v>4132</v>
      </c>
      <c r="C1840" t="s">
        <v>650</v>
      </c>
      <c r="D1840" t="s">
        <v>86</v>
      </c>
      <c r="E1840" t="s">
        <v>87</v>
      </c>
      <c r="F1840" t="s">
        <v>4122</v>
      </c>
      <c r="G1840">
        <v>5408</v>
      </c>
      <c r="H1840" t="s">
        <v>4122</v>
      </c>
      <c r="I1840" t="s">
        <v>651</v>
      </c>
      <c r="K1840">
        <v>2560231.0847299998</v>
      </c>
      <c r="L1840">
        <v>1138027.1466999999</v>
      </c>
      <c r="M1840">
        <v>374</v>
      </c>
      <c r="N1840" t="s">
        <v>4133</v>
      </c>
    </row>
    <row r="1841" spans="1:14" x14ac:dyDescent="0.25">
      <c r="A1841">
        <v>8501069</v>
      </c>
      <c r="B1841" t="s">
        <v>4134</v>
      </c>
      <c r="C1841" t="s">
        <v>227</v>
      </c>
      <c r="D1841" t="s">
        <v>112</v>
      </c>
      <c r="E1841" t="s">
        <v>87</v>
      </c>
      <c r="F1841" t="s">
        <v>4135</v>
      </c>
      <c r="G1841">
        <v>5724</v>
      </c>
      <c r="H1841" t="s">
        <v>4135</v>
      </c>
      <c r="I1841" t="s">
        <v>228</v>
      </c>
      <c r="K1841">
        <v>2505657.1902600001</v>
      </c>
      <c r="L1841">
        <v>1139674.1548899999</v>
      </c>
      <c r="M1841">
        <v>474.1</v>
      </c>
      <c r="N1841" t="s">
        <v>4136</v>
      </c>
    </row>
    <row r="1842" spans="1:14" x14ac:dyDescent="0.25">
      <c r="A1842">
        <v>8579306</v>
      </c>
      <c r="B1842" t="s">
        <v>4137</v>
      </c>
      <c r="C1842" t="s">
        <v>206</v>
      </c>
      <c r="D1842" t="s">
        <v>86</v>
      </c>
      <c r="E1842" t="s">
        <v>87</v>
      </c>
      <c r="F1842" t="s">
        <v>4135</v>
      </c>
      <c r="G1842">
        <v>5724</v>
      </c>
      <c r="H1842" t="s">
        <v>4135</v>
      </c>
      <c r="I1842" t="s">
        <v>208</v>
      </c>
      <c r="K1842">
        <v>2506696</v>
      </c>
      <c r="L1842">
        <v>1137554</v>
      </c>
      <c r="M1842">
        <v>415</v>
      </c>
      <c r="N1842" t="s">
        <v>4138</v>
      </c>
    </row>
    <row r="1843" spans="1:14" x14ac:dyDescent="0.25">
      <c r="A1843">
        <v>8510730</v>
      </c>
      <c r="B1843" t="s">
        <v>4139</v>
      </c>
      <c r="C1843" t="s">
        <v>223</v>
      </c>
      <c r="D1843" t="s">
        <v>86</v>
      </c>
      <c r="E1843" t="s">
        <v>87</v>
      </c>
      <c r="F1843" t="s">
        <v>4135</v>
      </c>
      <c r="G1843">
        <v>5724</v>
      </c>
      <c r="H1843" t="s">
        <v>4135</v>
      </c>
      <c r="I1843" t="s">
        <v>224</v>
      </c>
      <c r="K1843">
        <v>2506182.3999600001</v>
      </c>
      <c r="L1843">
        <v>1139516.64955</v>
      </c>
      <c r="M1843">
        <v>464</v>
      </c>
      <c r="N1843" t="s">
        <v>4140</v>
      </c>
    </row>
    <row r="1844" spans="1:14" x14ac:dyDescent="0.25">
      <c r="A1844">
        <v>8588659</v>
      </c>
      <c r="B1844" t="s">
        <v>4141</v>
      </c>
      <c r="C1844" t="s">
        <v>206</v>
      </c>
      <c r="D1844" t="s">
        <v>86</v>
      </c>
      <c r="E1844" t="s">
        <v>87</v>
      </c>
      <c r="F1844" t="s">
        <v>4135</v>
      </c>
      <c r="G1844">
        <v>5724</v>
      </c>
      <c r="H1844" t="s">
        <v>4135</v>
      </c>
      <c r="I1844" t="s">
        <v>208</v>
      </c>
      <c r="K1844">
        <v>2507026</v>
      </c>
      <c r="L1844">
        <v>1136288</v>
      </c>
      <c r="M1844">
        <v>393</v>
      </c>
      <c r="N1844" t="s">
        <v>4142</v>
      </c>
    </row>
    <row r="1845" spans="1:14" x14ac:dyDescent="0.25">
      <c r="A1845">
        <v>8588660</v>
      </c>
      <c r="B1845" t="s">
        <v>4143</v>
      </c>
      <c r="C1845" t="s">
        <v>206</v>
      </c>
      <c r="D1845" t="s">
        <v>86</v>
      </c>
      <c r="E1845" t="s">
        <v>87</v>
      </c>
      <c r="F1845" t="s">
        <v>4135</v>
      </c>
      <c r="G1845">
        <v>5724</v>
      </c>
      <c r="H1845" t="s">
        <v>4135</v>
      </c>
      <c r="I1845" t="s">
        <v>208</v>
      </c>
      <c r="K1845">
        <v>2506836.3245999999</v>
      </c>
      <c r="L1845">
        <v>1136130.85445</v>
      </c>
      <c r="M1845">
        <v>390.2</v>
      </c>
      <c r="N1845" t="s">
        <v>4144</v>
      </c>
    </row>
    <row r="1846" spans="1:14" x14ac:dyDescent="0.25">
      <c r="A1846">
        <v>8579307</v>
      </c>
      <c r="B1846" t="s">
        <v>4145</v>
      </c>
      <c r="C1846" t="s">
        <v>1944</v>
      </c>
      <c r="D1846" t="s">
        <v>86</v>
      </c>
      <c r="E1846" t="s">
        <v>87</v>
      </c>
      <c r="F1846" t="s">
        <v>4135</v>
      </c>
      <c r="G1846">
        <v>5724</v>
      </c>
      <c r="H1846" t="s">
        <v>4135</v>
      </c>
      <c r="I1846" t="s">
        <v>1945</v>
      </c>
      <c r="J1846" t="s">
        <v>4146</v>
      </c>
      <c r="K1846">
        <v>2506455</v>
      </c>
      <c r="L1846">
        <v>1137766</v>
      </c>
      <c r="M1846">
        <v>421</v>
      </c>
      <c r="N1846" t="s">
        <v>4147</v>
      </c>
    </row>
    <row r="1847" spans="1:14" x14ac:dyDescent="0.25">
      <c r="A1847">
        <v>8593897</v>
      </c>
      <c r="B1847" t="s">
        <v>4148</v>
      </c>
      <c r="C1847" t="s">
        <v>1944</v>
      </c>
      <c r="D1847" t="s">
        <v>86</v>
      </c>
      <c r="E1847" t="s">
        <v>87</v>
      </c>
      <c r="F1847" t="s">
        <v>4135</v>
      </c>
      <c r="G1847">
        <v>5724</v>
      </c>
      <c r="H1847" t="s">
        <v>4135</v>
      </c>
      <c r="I1847" t="s">
        <v>1945</v>
      </c>
      <c r="K1847">
        <v>2507703</v>
      </c>
      <c r="L1847">
        <v>1138182</v>
      </c>
      <c r="M1847">
        <v>403</v>
      </c>
      <c r="N1847" t="s">
        <v>4149</v>
      </c>
    </row>
    <row r="1848" spans="1:14" x14ac:dyDescent="0.25">
      <c r="A1848">
        <v>8593891</v>
      </c>
      <c r="B1848" t="s">
        <v>4150</v>
      </c>
      <c r="C1848" t="s">
        <v>1944</v>
      </c>
      <c r="D1848" t="s">
        <v>86</v>
      </c>
      <c r="E1848" t="s">
        <v>87</v>
      </c>
      <c r="F1848" t="s">
        <v>4135</v>
      </c>
      <c r="G1848">
        <v>5724</v>
      </c>
      <c r="H1848" t="s">
        <v>4135</v>
      </c>
      <c r="I1848" t="s">
        <v>1945</v>
      </c>
      <c r="K1848">
        <v>2506860.6683800002</v>
      </c>
      <c r="L1848">
        <v>1138028.06947</v>
      </c>
      <c r="M1848">
        <v>419.3</v>
      </c>
      <c r="N1848" t="s">
        <v>4151</v>
      </c>
    </row>
    <row r="1849" spans="1:14" x14ac:dyDescent="0.25">
      <c r="A1849">
        <v>8593890</v>
      </c>
      <c r="B1849" t="s">
        <v>4152</v>
      </c>
      <c r="C1849" t="s">
        <v>1944</v>
      </c>
      <c r="D1849" t="s">
        <v>86</v>
      </c>
      <c r="E1849" t="s">
        <v>87</v>
      </c>
      <c r="F1849" t="s">
        <v>4135</v>
      </c>
      <c r="G1849">
        <v>5724</v>
      </c>
      <c r="H1849" t="s">
        <v>4135</v>
      </c>
      <c r="I1849" t="s">
        <v>1945</v>
      </c>
      <c r="K1849">
        <v>2507860.7044799998</v>
      </c>
      <c r="L1849">
        <v>1137758.1484300001</v>
      </c>
      <c r="M1849">
        <v>398.6</v>
      </c>
      <c r="N1849" t="s">
        <v>4153</v>
      </c>
    </row>
    <row r="1850" spans="1:14" x14ac:dyDescent="0.25">
      <c r="A1850">
        <v>8593895</v>
      </c>
      <c r="B1850" t="s">
        <v>4154</v>
      </c>
      <c r="C1850" t="s">
        <v>1944</v>
      </c>
      <c r="D1850" t="s">
        <v>86</v>
      </c>
      <c r="E1850" t="s">
        <v>87</v>
      </c>
      <c r="F1850" t="s">
        <v>4135</v>
      </c>
      <c r="G1850">
        <v>5724</v>
      </c>
      <c r="H1850" t="s">
        <v>4135</v>
      </c>
      <c r="I1850" t="s">
        <v>1945</v>
      </c>
      <c r="K1850">
        <v>2505858</v>
      </c>
      <c r="L1850">
        <v>1137265</v>
      </c>
      <c r="M1850">
        <v>418</v>
      </c>
      <c r="N1850" t="s">
        <v>4155</v>
      </c>
    </row>
    <row r="1851" spans="1:14" x14ac:dyDescent="0.25">
      <c r="A1851">
        <v>8593892</v>
      </c>
      <c r="B1851" t="s">
        <v>4156</v>
      </c>
      <c r="C1851" t="s">
        <v>1944</v>
      </c>
      <c r="D1851" t="s">
        <v>86</v>
      </c>
      <c r="E1851" t="s">
        <v>87</v>
      </c>
      <c r="F1851" t="s">
        <v>4135</v>
      </c>
      <c r="G1851">
        <v>5724</v>
      </c>
      <c r="H1851" t="s">
        <v>4135</v>
      </c>
      <c r="I1851" t="s">
        <v>1945</v>
      </c>
      <c r="K1851">
        <v>2507746.3961499999</v>
      </c>
      <c r="L1851">
        <v>1137593.4617900001</v>
      </c>
      <c r="M1851">
        <v>398.7</v>
      </c>
      <c r="N1851" t="s">
        <v>4157</v>
      </c>
    </row>
    <row r="1852" spans="1:14" x14ac:dyDescent="0.25">
      <c r="A1852">
        <v>8593877</v>
      </c>
      <c r="B1852" t="s">
        <v>4158</v>
      </c>
      <c r="C1852" t="s">
        <v>1944</v>
      </c>
      <c r="D1852" t="s">
        <v>86</v>
      </c>
      <c r="E1852" t="s">
        <v>87</v>
      </c>
      <c r="F1852" t="s">
        <v>4135</v>
      </c>
      <c r="G1852">
        <v>5724</v>
      </c>
      <c r="H1852" t="s">
        <v>4135</v>
      </c>
      <c r="I1852" t="s">
        <v>1945</v>
      </c>
      <c r="J1852" t="s">
        <v>4159</v>
      </c>
      <c r="K1852">
        <v>2505928</v>
      </c>
      <c r="L1852">
        <v>1137488</v>
      </c>
      <c r="M1852">
        <v>426</v>
      </c>
      <c r="N1852" t="s">
        <v>4160</v>
      </c>
    </row>
    <row r="1853" spans="1:14" x14ac:dyDescent="0.25">
      <c r="A1853">
        <v>8593881</v>
      </c>
      <c r="B1853" t="s">
        <v>4161</v>
      </c>
      <c r="C1853" t="s">
        <v>1944</v>
      </c>
      <c r="D1853" t="s">
        <v>86</v>
      </c>
      <c r="E1853" t="s">
        <v>87</v>
      </c>
      <c r="F1853" t="s">
        <v>4135</v>
      </c>
      <c r="G1853">
        <v>5724</v>
      </c>
      <c r="H1853" t="s">
        <v>4135</v>
      </c>
      <c r="I1853" t="s">
        <v>1945</v>
      </c>
      <c r="K1853">
        <v>2507333</v>
      </c>
      <c r="L1853">
        <v>1138528</v>
      </c>
      <c r="M1853">
        <v>420</v>
      </c>
      <c r="N1853" t="s">
        <v>4162</v>
      </c>
    </row>
    <row r="1854" spans="1:14" x14ac:dyDescent="0.25">
      <c r="A1854">
        <v>8593893</v>
      </c>
      <c r="B1854" t="s">
        <v>4163</v>
      </c>
      <c r="C1854" t="s">
        <v>206</v>
      </c>
      <c r="D1854" t="s">
        <v>86</v>
      </c>
      <c r="E1854" t="s">
        <v>87</v>
      </c>
      <c r="F1854" t="s">
        <v>4135</v>
      </c>
      <c r="G1854">
        <v>5724</v>
      </c>
      <c r="H1854" t="s">
        <v>4135</v>
      </c>
      <c r="I1854" t="s">
        <v>208</v>
      </c>
      <c r="K1854">
        <v>2506492</v>
      </c>
      <c r="L1854">
        <v>1137656</v>
      </c>
      <c r="M1854">
        <v>419</v>
      </c>
      <c r="N1854" t="s">
        <v>4164</v>
      </c>
    </row>
    <row r="1855" spans="1:14" x14ac:dyDescent="0.25">
      <c r="A1855">
        <v>8593899</v>
      </c>
      <c r="B1855" t="s">
        <v>4165</v>
      </c>
      <c r="C1855" t="s">
        <v>206</v>
      </c>
      <c r="D1855" t="s">
        <v>86</v>
      </c>
      <c r="E1855" t="s">
        <v>87</v>
      </c>
      <c r="F1855" t="s">
        <v>4135</v>
      </c>
      <c r="G1855">
        <v>5724</v>
      </c>
      <c r="H1855" t="s">
        <v>4135</v>
      </c>
      <c r="I1855" t="s">
        <v>208</v>
      </c>
      <c r="K1855">
        <v>2507799.3049900001</v>
      </c>
      <c r="L1855">
        <v>1137635.7850200001</v>
      </c>
      <c r="M1855">
        <v>397.4</v>
      </c>
      <c r="N1855" t="s">
        <v>4166</v>
      </c>
    </row>
    <row r="1856" spans="1:14" x14ac:dyDescent="0.25">
      <c r="A1856">
        <v>8593885</v>
      </c>
      <c r="B1856" t="s">
        <v>4167</v>
      </c>
      <c r="C1856" t="s">
        <v>1944</v>
      </c>
      <c r="D1856" t="s">
        <v>86</v>
      </c>
      <c r="E1856" t="s">
        <v>87</v>
      </c>
      <c r="F1856" t="s">
        <v>4135</v>
      </c>
      <c r="G1856">
        <v>5724</v>
      </c>
      <c r="H1856" t="s">
        <v>4135</v>
      </c>
      <c r="I1856" t="s">
        <v>1945</v>
      </c>
      <c r="K1856">
        <v>2506940</v>
      </c>
      <c r="L1856">
        <v>1138206</v>
      </c>
      <c r="M1856">
        <v>415</v>
      </c>
      <c r="N1856" t="s">
        <v>4168</v>
      </c>
    </row>
    <row r="1857" spans="1:14" x14ac:dyDescent="0.25">
      <c r="A1857">
        <v>8593884</v>
      </c>
      <c r="B1857" t="s">
        <v>4169</v>
      </c>
      <c r="C1857" t="s">
        <v>1944</v>
      </c>
      <c r="D1857" t="s">
        <v>86</v>
      </c>
      <c r="E1857" t="s">
        <v>87</v>
      </c>
      <c r="F1857" t="s">
        <v>4135</v>
      </c>
      <c r="G1857">
        <v>5724</v>
      </c>
      <c r="H1857" t="s">
        <v>4135</v>
      </c>
      <c r="I1857" t="s">
        <v>1945</v>
      </c>
      <c r="K1857">
        <v>2506965</v>
      </c>
      <c r="L1857">
        <v>1138543</v>
      </c>
      <c r="M1857">
        <v>424</v>
      </c>
      <c r="N1857" t="s">
        <v>4170</v>
      </c>
    </row>
    <row r="1858" spans="1:14" x14ac:dyDescent="0.25">
      <c r="A1858">
        <v>8593873</v>
      </c>
      <c r="B1858" t="s">
        <v>4171</v>
      </c>
      <c r="C1858" t="s">
        <v>1944</v>
      </c>
      <c r="D1858" t="s">
        <v>86</v>
      </c>
      <c r="E1858" t="s">
        <v>87</v>
      </c>
      <c r="F1858" t="s">
        <v>4135</v>
      </c>
      <c r="G1858">
        <v>5724</v>
      </c>
      <c r="H1858" t="s">
        <v>4135</v>
      </c>
      <c r="I1858" t="s">
        <v>1945</v>
      </c>
      <c r="K1858">
        <v>2507167</v>
      </c>
      <c r="L1858">
        <v>1138614</v>
      </c>
      <c r="M1858">
        <v>425</v>
      </c>
      <c r="N1858" t="s">
        <v>4172</v>
      </c>
    </row>
    <row r="1859" spans="1:14" x14ac:dyDescent="0.25">
      <c r="A1859">
        <v>8593878</v>
      </c>
      <c r="B1859" t="s">
        <v>4173</v>
      </c>
      <c r="C1859" t="s">
        <v>1944</v>
      </c>
      <c r="D1859" t="s">
        <v>86</v>
      </c>
      <c r="E1859" t="s">
        <v>87</v>
      </c>
      <c r="F1859" t="s">
        <v>4135</v>
      </c>
      <c r="G1859">
        <v>5724</v>
      </c>
      <c r="H1859" t="s">
        <v>4135</v>
      </c>
      <c r="I1859" t="s">
        <v>1945</v>
      </c>
      <c r="K1859">
        <v>2507591.3020899999</v>
      </c>
      <c r="L1859">
        <v>1138669.2511799999</v>
      </c>
      <c r="M1859">
        <v>416.6</v>
      </c>
      <c r="N1859" t="s">
        <v>4174</v>
      </c>
    </row>
    <row r="1860" spans="1:14" x14ac:dyDescent="0.25">
      <c r="A1860">
        <v>8593883</v>
      </c>
      <c r="B1860" t="s">
        <v>4175</v>
      </c>
      <c r="C1860" t="s">
        <v>1944</v>
      </c>
      <c r="D1860" t="s">
        <v>86</v>
      </c>
      <c r="E1860" t="s">
        <v>87</v>
      </c>
      <c r="F1860" t="s">
        <v>4135</v>
      </c>
      <c r="G1860">
        <v>5724</v>
      </c>
      <c r="H1860" t="s">
        <v>4135</v>
      </c>
      <c r="I1860" t="s">
        <v>1945</v>
      </c>
      <c r="K1860">
        <v>2507832.9389800001</v>
      </c>
      <c r="L1860">
        <v>1137987.1334800001</v>
      </c>
      <c r="M1860">
        <v>390.3</v>
      </c>
      <c r="N1860" t="s">
        <v>4176</v>
      </c>
    </row>
    <row r="1861" spans="1:14" x14ac:dyDescent="0.25">
      <c r="A1861">
        <v>8593882</v>
      </c>
      <c r="B1861" t="s">
        <v>4177</v>
      </c>
      <c r="C1861" t="s">
        <v>1944</v>
      </c>
      <c r="D1861" t="s">
        <v>86</v>
      </c>
      <c r="E1861" t="s">
        <v>87</v>
      </c>
      <c r="F1861" t="s">
        <v>4135</v>
      </c>
      <c r="G1861">
        <v>5724</v>
      </c>
      <c r="H1861" t="s">
        <v>4135</v>
      </c>
      <c r="I1861" t="s">
        <v>1945</v>
      </c>
      <c r="K1861">
        <v>2506107</v>
      </c>
      <c r="L1861">
        <v>1137333</v>
      </c>
      <c r="M1861">
        <v>417</v>
      </c>
      <c r="N1861" t="s">
        <v>4178</v>
      </c>
    </row>
    <row r="1862" spans="1:14" x14ac:dyDescent="0.25">
      <c r="A1862">
        <v>8593894</v>
      </c>
      <c r="B1862" t="s">
        <v>4179</v>
      </c>
      <c r="C1862" t="s">
        <v>1944</v>
      </c>
      <c r="D1862" t="s">
        <v>86</v>
      </c>
      <c r="E1862" t="s">
        <v>87</v>
      </c>
      <c r="F1862" t="s">
        <v>4135</v>
      </c>
      <c r="G1862">
        <v>5724</v>
      </c>
      <c r="H1862" t="s">
        <v>4135</v>
      </c>
      <c r="I1862" t="s">
        <v>1945</v>
      </c>
      <c r="J1862" t="s">
        <v>4146</v>
      </c>
      <c r="K1862">
        <v>2507199</v>
      </c>
      <c r="L1862">
        <v>1138370</v>
      </c>
      <c r="M1862">
        <v>421</v>
      </c>
      <c r="N1862" t="s">
        <v>4180</v>
      </c>
    </row>
    <row r="1863" spans="1:14" x14ac:dyDescent="0.25">
      <c r="A1863">
        <v>8593886</v>
      </c>
      <c r="B1863" t="s">
        <v>4181</v>
      </c>
      <c r="C1863" t="s">
        <v>1944</v>
      </c>
      <c r="D1863" t="s">
        <v>86</v>
      </c>
      <c r="E1863" t="s">
        <v>87</v>
      </c>
      <c r="F1863" t="s">
        <v>4135</v>
      </c>
      <c r="G1863">
        <v>5724</v>
      </c>
      <c r="H1863" t="s">
        <v>4135</v>
      </c>
      <c r="I1863" t="s">
        <v>1945</v>
      </c>
      <c r="K1863">
        <v>2507397.4195500002</v>
      </c>
      <c r="L1863">
        <v>1138508.1492900001</v>
      </c>
      <c r="M1863">
        <v>415.2</v>
      </c>
      <c r="N1863" t="s">
        <v>4182</v>
      </c>
    </row>
    <row r="1864" spans="1:14" x14ac:dyDescent="0.25">
      <c r="A1864">
        <v>8593898</v>
      </c>
      <c r="B1864" t="s">
        <v>4183</v>
      </c>
      <c r="C1864" t="s">
        <v>1944</v>
      </c>
      <c r="D1864" t="s">
        <v>86</v>
      </c>
      <c r="E1864" t="s">
        <v>87</v>
      </c>
      <c r="F1864" t="s">
        <v>4135</v>
      </c>
      <c r="G1864">
        <v>5724</v>
      </c>
      <c r="H1864" t="s">
        <v>4135</v>
      </c>
      <c r="I1864" t="s">
        <v>1945</v>
      </c>
      <c r="K1864">
        <v>2507125</v>
      </c>
      <c r="L1864">
        <v>1138624</v>
      </c>
      <c r="M1864">
        <v>425</v>
      </c>
      <c r="N1864" t="s">
        <v>4184</v>
      </c>
    </row>
    <row r="1865" spans="1:14" x14ac:dyDescent="0.25">
      <c r="A1865">
        <v>8593887</v>
      </c>
      <c r="B1865" t="s">
        <v>4185</v>
      </c>
      <c r="C1865" t="s">
        <v>1944</v>
      </c>
      <c r="D1865" t="s">
        <v>86</v>
      </c>
      <c r="E1865" t="s">
        <v>87</v>
      </c>
      <c r="F1865" t="s">
        <v>4135</v>
      </c>
      <c r="G1865">
        <v>5724</v>
      </c>
      <c r="H1865" t="s">
        <v>4135</v>
      </c>
      <c r="I1865" t="s">
        <v>1945</v>
      </c>
      <c r="K1865">
        <v>2507102</v>
      </c>
      <c r="L1865">
        <v>1138729</v>
      </c>
      <c r="M1865">
        <v>427</v>
      </c>
      <c r="N1865" t="s">
        <v>4186</v>
      </c>
    </row>
    <row r="1866" spans="1:14" x14ac:dyDescent="0.25">
      <c r="A1866">
        <v>8593901</v>
      </c>
      <c r="B1866" t="s">
        <v>4187</v>
      </c>
      <c r="C1866" t="s">
        <v>206</v>
      </c>
      <c r="D1866" t="s">
        <v>86</v>
      </c>
      <c r="E1866" t="s">
        <v>87</v>
      </c>
      <c r="F1866" t="s">
        <v>4135</v>
      </c>
      <c r="G1866">
        <v>5724</v>
      </c>
      <c r="H1866" t="s">
        <v>4135</v>
      </c>
      <c r="I1866" t="s">
        <v>208</v>
      </c>
      <c r="K1866">
        <v>2506351</v>
      </c>
      <c r="L1866">
        <v>1137721</v>
      </c>
      <c r="M1866">
        <v>421</v>
      </c>
      <c r="N1866" t="s">
        <v>4188</v>
      </c>
    </row>
    <row r="1867" spans="1:14" x14ac:dyDescent="0.25">
      <c r="A1867">
        <v>8519325</v>
      </c>
      <c r="B1867" t="s">
        <v>4189</v>
      </c>
      <c r="C1867" t="s">
        <v>227</v>
      </c>
      <c r="E1867" t="s">
        <v>87</v>
      </c>
      <c r="F1867" t="s">
        <v>4135</v>
      </c>
      <c r="G1867">
        <v>5724</v>
      </c>
      <c r="H1867" t="s">
        <v>4135</v>
      </c>
      <c r="I1867" t="s">
        <v>228</v>
      </c>
      <c r="J1867" t="s">
        <v>130</v>
      </c>
      <c r="K1867">
        <v>2507438</v>
      </c>
      <c r="L1867">
        <v>1137730</v>
      </c>
      <c r="M1867">
        <v>395</v>
      </c>
      <c r="N1867" t="s">
        <v>4190</v>
      </c>
    </row>
    <row r="1868" spans="1:14" x14ac:dyDescent="0.25">
      <c r="A1868">
        <v>8501227</v>
      </c>
      <c r="B1868" t="s">
        <v>4191</v>
      </c>
      <c r="C1868" t="s">
        <v>778</v>
      </c>
      <c r="D1868" t="s">
        <v>302</v>
      </c>
      <c r="E1868" t="s">
        <v>87</v>
      </c>
      <c r="F1868" t="s">
        <v>4135</v>
      </c>
      <c r="G1868">
        <v>5724</v>
      </c>
      <c r="H1868" t="s">
        <v>4135</v>
      </c>
      <c r="I1868" t="s">
        <v>780</v>
      </c>
      <c r="K1868">
        <v>2508063</v>
      </c>
      <c r="L1868">
        <v>1137471</v>
      </c>
      <c r="M1868">
        <v>373</v>
      </c>
      <c r="N1868" t="s">
        <v>4192</v>
      </c>
    </row>
    <row r="1869" spans="1:14" x14ac:dyDescent="0.25">
      <c r="A1869">
        <v>8501030</v>
      </c>
      <c r="B1869" t="s">
        <v>4135</v>
      </c>
      <c r="C1869" t="s">
        <v>132</v>
      </c>
      <c r="D1869" t="s">
        <v>112</v>
      </c>
      <c r="E1869" t="s">
        <v>87</v>
      </c>
      <c r="F1869" t="s">
        <v>4135</v>
      </c>
      <c r="G1869">
        <v>5724</v>
      </c>
      <c r="H1869" t="s">
        <v>4135</v>
      </c>
      <c r="I1869" t="s">
        <v>133</v>
      </c>
      <c r="K1869">
        <v>2507482.4339999999</v>
      </c>
      <c r="L1869">
        <v>1137716.3929999999</v>
      </c>
      <c r="M1869">
        <v>405.61200000000002</v>
      </c>
      <c r="N1869" t="s">
        <v>4193</v>
      </c>
    </row>
    <row r="1870" spans="1:14" x14ac:dyDescent="0.25">
      <c r="A1870">
        <v>8515645</v>
      </c>
      <c r="B1870" t="s">
        <v>4194</v>
      </c>
      <c r="C1870" t="s">
        <v>132</v>
      </c>
      <c r="E1870" t="s">
        <v>87</v>
      </c>
      <c r="F1870" t="s">
        <v>4135</v>
      </c>
      <c r="G1870">
        <v>5724</v>
      </c>
      <c r="H1870" t="s">
        <v>4135</v>
      </c>
      <c r="I1870" t="s">
        <v>133</v>
      </c>
      <c r="J1870" t="s">
        <v>130</v>
      </c>
      <c r="K1870">
        <v>2507301.3051</v>
      </c>
      <c r="L1870">
        <v>1137512.6923</v>
      </c>
      <c r="M1870">
        <v>404.97</v>
      </c>
      <c r="N1870" t="s">
        <v>4195</v>
      </c>
    </row>
    <row r="1871" spans="1:14" x14ac:dyDescent="0.25">
      <c r="A1871">
        <v>8501053</v>
      </c>
      <c r="B1871" t="s">
        <v>4196</v>
      </c>
      <c r="C1871" t="s">
        <v>227</v>
      </c>
      <c r="D1871" t="s">
        <v>112</v>
      </c>
      <c r="E1871" t="s">
        <v>87</v>
      </c>
      <c r="F1871" t="s">
        <v>4135</v>
      </c>
      <c r="G1871">
        <v>5724</v>
      </c>
      <c r="H1871" t="s">
        <v>4135</v>
      </c>
      <c r="I1871" t="s">
        <v>228</v>
      </c>
      <c r="K1871">
        <v>2506052.2704500002</v>
      </c>
      <c r="L1871">
        <v>1139370.71527</v>
      </c>
      <c r="M1871">
        <v>464.4</v>
      </c>
      <c r="N1871" t="s">
        <v>4197</v>
      </c>
    </row>
    <row r="1872" spans="1:14" x14ac:dyDescent="0.25">
      <c r="A1872">
        <v>8570008</v>
      </c>
      <c r="B1872" t="s">
        <v>4198</v>
      </c>
      <c r="C1872" t="s">
        <v>94</v>
      </c>
      <c r="D1872" t="s">
        <v>86</v>
      </c>
      <c r="E1872" t="s">
        <v>87</v>
      </c>
      <c r="F1872" t="s">
        <v>4135</v>
      </c>
      <c r="G1872">
        <v>5724</v>
      </c>
      <c r="H1872" t="s">
        <v>4135</v>
      </c>
      <c r="I1872" t="s">
        <v>96</v>
      </c>
      <c r="K1872">
        <v>2507662</v>
      </c>
      <c r="L1872">
        <v>1138516</v>
      </c>
      <c r="M1872">
        <v>419</v>
      </c>
      <c r="N1872" t="s">
        <v>4199</v>
      </c>
    </row>
    <row r="1873" spans="1:14" x14ac:dyDescent="0.25">
      <c r="A1873">
        <v>8593889</v>
      </c>
      <c r="B1873" t="s">
        <v>4200</v>
      </c>
      <c r="C1873" t="s">
        <v>1944</v>
      </c>
      <c r="D1873" t="s">
        <v>86</v>
      </c>
      <c r="E1873" t="s">
        <v>87</v>
      </c>
      <c r="F1873" t="s">
        <v>4135</v>
      </c>
      <c r="G1873">
        <v>5724</v>
      </c>
      <c r="H1873" t="s">
        <v>4135</v>
      </c>
      <c r="I1873" t="s">
        <v>1945</v>
      </c>
      <c r="J1873" t="s">
        <v>4146</v>
      </c>
      <c r="K1873">
        <v>2506742</v>
      </c>
      <c r="L1873">
        <v>1138023</v>
      </c>
      <c r="M1873">
        <v>421</v>
      </c>
      <c r="N1873" t="s">
        <v>4201</v>
      </c>
    </row>
    <row r="1874" spans="1:14" x14ac:dyDescent="0.25">
      <c r="A1874">
        <v>8593888</v>
      </c>
      <c r="B1874" t="s">
        <v>4202</v>
      </c>
      <c r="C1874" t="s">
        <v>1944</v>
      </c>
      <c r="D1874" t="s">
        <v>86</v>
      </c>
      <c r="E1874" t="s">
        <v>87</v>
      </c>
      <c r="F1874" t="s">
        <v>4135</v>
      </c>
      <c r="G1874">
        <v>5724</v>
      </c>
      <c r="H1874" t="s">
        <v>4135</v>
      </c>
      <c r="I1874" t="s">
        <v>1945</v>
      </c>
      <c r="K1874">
        <v>2506256</v>
      </c>
      <c r="L1874">
        <v>1137883</v>
      </c>
      <c r="M1874">
        <v>425</v>
      </c>
      <c r="N1874" t="s">
        <v>4203</v>
      </c>
    </row>
    <row r="1875" spans="1:14" x14ac:dyDescent="0.25">
      <c r="A1875">
        <v>8593880</v>
      </c>
      <c r="B1875" t="s">
        <v>4204</v>
      </c>
      <c r="C1875" t="s">
        <v>206</v>
      </c>
      <c r="D1875" t="s">
        <v>86</v>
      </c>
      <c r="E1875" t="s">
        <v>87</v>
      </c>
      <c r="F1875" t="s">
        <v>4135</v>
      </c>
      <c r="G1875">
        <v>5724</v>
      </c>
      <c r="H1875" t="s">
        <v>4135</v>
      </c>
      <c r="I1875" t="s">
        <v>208</v>
      </c>
      <c r="K1875">
        <v>2507349</v>
      </c>
      <c r="L1875">
        <v>1137128</v>
      </c>
      <c r="M1875">
        <v>401</v>
      </c>
      <c r="N1875" t="s">
        <v>4205</v>
      </c>
    </row>
    <row r="1876" spans="1:14" x14ac:dyDescent="0.25">
      <c r="A1876">
        <v>8593896</v>
      </c>
      <c r="B1876" t="s">
        <v>4206</v>
      </c>
      <c r="C1876" t="s">
        <v>1944</v>
      </c>
      <c r="D1876" t="s">
        <v>86</v>
      </c>
      <c r="E1876" t="s">
        <v>87</v>
      </c>
      <c r="F1876" t="s">
        <v>4135</v>
      </c>
      <c r="G1876">
        <v>5724</v>
      </c>
      <c r="H1876" t="s">
        <v>4135</v>
      </c>
      <c r="I1876" t="s">
        <v>1945</v>
      </c>
      <c r="K1876">
        <v>2506667.6915699998</v>
      </c>
      <c r="L1876">
        <v>1137419.8201900001</v>
      </c>
      <c r="M1876">
        <v>413.9</v>
      </c>
      <c r="N1876" t="s">
        <v>4207</v>
      </c>
    </row>
    <row r="1877" spans="1:14" x14ac:dyDescent="0.25">
      <c r="A1877">
        <v>8595597</v>
      </c>
      <c r="B1877" t="s">
        <v>4208</v>
      </c>
      <c r="C1877" t="s">
        <v>1944</v>
      </c>
      <c r="D1877" t="s">
        <v>86</v>
      </c>
      <c r="E1877" t="s">
        <v>87</v>
      </c>
      <c r="F1877" t="s">
        <v>4135</v>
      </c>
      <c r="G1877">
        <v>5724</v>
      </c>
      <c r="H1877" t="s">
        <v>4135</v>
      </c>
      <c r="I1877" t="s">
        <v>1945</v>
      </c>
      <c r="K1877">
        <v>2507044</v>
      </c>
      <c r="L1877">
        <v>1137347</v>
      </c>
      <c r="M1877">
        <v>408</v>
      </c>
      <c r="N1877" t="s">
        <v>4209</v>
      </c>
    </row>
    <row r="1878" spans="1:14" x14ac:dyDescent="0.25">
      <c r="A1878">
        <v>8570001</v>
      </c>
      <c r="B1878" t="s">
        <v>4210</v>
      </c>
      <c r="C1878" t="s">
        <v>206</v>
      </c>
      <c r="D1878" t="s">
        <v>86</v>
      </c>
      <c r="E1878" t="s">
        <v>87</v>
      </c>
      <c r="F1878" t="s">
        <v>4135</v>
      </c>
      <c r="G1878">
        <v>5724</v>
      </c>
      <c r="H1878" t="s">
        <v>4135</v>
      </c>
      <c r="I1878" t="s">
        <v>208</v>
      </c>
      <c r="K1878">
        <v>2507078.0014599999</v>
      </c>
      <c r="L1878">
        <v>1137822.8577000001</v>
      </c>
      <c r="M1878">
        <v>412.6</v>
      </c>
      <c r="N1878" t="s">
        <v>4211</v>
      </c>
    </row>
    <row r="1879" spans="1:14" x14ac:dyDescent="0.25">
      <c r="A1879">
        <v>8510728</v>
      </c>
      <c r="B1879" t="s">
        <v>4212</v>
      </c>
      <c r="C1879" t="s">
        <v>223</v>
      </c>
      <c r="D1879" t="s">
        <v>86</v>
      </c>
      <c r="E1879" t="s">
        <v>87</v>
      </c>
      <c r="F1879" t="s">
        <v>4135</v>
      </c>
      <c r="G1879">
        <v>5724</v>
      </c>
      <c r="H1879" t="s">
        <v>4135</v>
      </c>
      <c r="I1879" t="s">
        <v>224</v>
      </c>
      <c r="K1879">
        <v>2505787.39842</v>
      </c>
      <c r="L1879">
        <v>1139676.6554700001</v>
      </c>
      <c r="M1879">
        <v>477</v>
      </c>
      <c r="N1879" t="s">
        <v>4213</v>
      </c>
    </row>
    <row r="1880" spans="1:14" x14ac:dyDescent="0.25">
      <c r="A1880">
        <v>8593874</v>
      </c>
      <c r="B1880" t="s">
        <v>4214</v>
      </c>
      <c r="C1880" t="s">
        <v>1944</v>
      </c>
      <c r="D1880" t="s">
        <v>86</v>
      </c>
      <c r="E1880" t="s">
        <v>87</v>
      </c>
      <c r="F1880" t="s">
        <v>4135</v>
      </c>
      <c r="G1880">
        <v>5724</v>
      </c>
      <c r="H1880" t="s">
        <v>4135</v>
      </c>
      <c r="I1880" t="s">
        <v>1945</v>
      </c>
      <c r="K1880">
        <v>2507479.4562300001</v>
      </c>
      <c r="L1880">
        <v>1137567.0321</v>
      </c>
      <c r="M1880">
        <v>399.4</v>
      </c>
      <c r="N1880" t="s">
        <v>4215</v>
      </c>
    </row>
    <row r="1881" spans="1:14" x14ac:dyDescent="0.25">
      <c r="A1881">
        <v>8593879</v>
      </c>
      <c r="B1881" t="s">
        <v>4216</v>
      </c>
      <c r="C1881" t="s">
        <v>1944</v>
      </c>
      <c r="D1881" t="s">
        <v>86</v>
      </c>
      <c r="E1881" t="s">
        <v>87</v>
      </c>
      <c r="F1881" t="s">
        <v>4135</v>
      </c>
      <c r="G1881">
        <v>5724</v>
      </c>
      <c r="H1881" t="s">
        <v>4135</v>
      </c>
      <c r="I1881" t="s">
        <v>1945</v>
      </c>
      <c r="K1881">
        <v>2507093.1591699999</v>
      </c>
      <c r="L1881">
        <v>1138402.86996</v>
      </c>
      <c r="M1881">
        <v>420.8</v>
      </c>
      <c r="N1881" t="s">
        <v>4217</v>
      </c>
    </row>
    <row r="1882" spans="1:14" x14ac:dyDescent="0.25">
      <c r="A1882">
        <v>8593876</v>
      </c>
      <c r="B1882" t="s">
        <v>4218</v>
      </c>
      <c r="C1882" t="s">
        <v>1944</v>
      </c>
      <c r="D1882" t="s">
        <v>86</v>
      </c>
      <c r="E1882" t="s">
        <v>87</v>
      </c>
      <c r="F1882" t="s">
        <v>4135</v>
      </c>
      <c r="G1882">
        <v>5724</v>
      </c>
      <c r="H1882" t="s">
        <v>4135</v>
      </c>
      <c r="I1882" t="s">
        <v>1945</v>
      </c>
      <c r="K1882">
        <v>2506249</v>
      </c>
      <c r="L1882">
        <v>1137409</v>
      </c>
      <c r="M1882">
        <v>419</v>
      </c>
      <c r="N1882" t="s">
        <v>4219</v>
      </c>
    </row>
    <row r="1883" spans="1:14" x14ac:dyDescent="0.25">
      <c r="A1883">
        <v>8588658</v>
      </c>
      <c r="B1883" t="s">
        <v>4220</v>
      </c>
      <c r="C1883" t="s">
        <v>206</v>
      </c>
      <c r="D1883" t="s">
        <v>86</v>
      </c>
      <c r="E1883" t="s">
        <v>87</v>
      </c>
      <c r="F1883" t="s">
        <v>4135</v>
      </c>
      <c r="G1883">
        <v>5724</v>
      </c>
      <c r="H1883" t="s">
        <v>4135</v>
      </c>
      <c r="I1883" t="s">
        <v>208</v>
      </c>
      <c r="K1883">
        <v>2507611</v>
      </c>
      <c r="L1883">
        <v>1137006</v>
      </c>
      <c r="M1883">
        <v>378</v>
      </c>
      <c r="N1883" t="s">
        <v>4221</v>
      </c>
    </row>
    <row r="1884" spans="1:14" x14ac:dyDescent="0.25">
      <c r="A1884">
        <v>8588656</v>
      </c>
      <c r="B1884" t="s">
        <v>4222</v>
      </c>
      <c r="C1884" t="s">
        <v>206</v>
      </c>
      <c r="D1884" t="s">
        <v>86</v>
      </c>
      <c r="E1884" t="s">
        <v>87</v>
      </c>
      <c r="F1884" t="s">
        <v>4135</v>
      </c>
      <c r="G1884">
        <v>5724</v>
      </c>
      <c r="H1884" t="s">
        <v>4135</v>
      </c>
      <c r="I1884" t="s">
        <v>208</v>
      </c>
      <c r="K1884">
        <v>2507427.2126500001</v>
      </c>
      <c r="L1884">
        <v>1136882.15747</v>
      </c>
      <c r="M1884">
        <v>381.9</v>
      </c>
      <c r="N1884" t="s">
        <v>4223</v>
      </c>
    </row>
    <row r="1885" spans="1:14" x14ac:dyDescent="0.25">
      <c r="A1885">
        <v>8570002</v>
      </c>
      <c r="B1885" t="s">
        <v>4224</v>
      </c>
      <c r="C1885" t="s">
        <v>206</v>
      </c>
      <c r="D1885" t="s">
        <v>86</v>
      </c>
      <c r="E1885" t="s">
        <v>87</v>
      </c>
      <c r="F1885" t="s">
        <v>4135</v>
      </c>
      <c r="G1885">
        <v>5724</v>
      </c>
      <c r="H1885" t="s">
        <v>4135</v>
      </c>
      <c r="I1885" t="s">
        <v>208</v>
      </c>
      <c r="K1885">
        <v>2506632</v>
      </c>
      <c r="L1885">
        <v>1138174</v>
      </c>
      <c r="M1885">
        <v>421</v>
      </c>
      <c r="N1885" t="s">
        <v>4225</v>
      </c>
    </row>
    <row r="1886" spans="1:14" x14ac:dyDescent="0.25">
      <c r="A1886">
        <v>8511579</v>
      </c>
      <c r="B1886" t="s">
        <v>4226</v>
      </c>
      <c r="C1886" t="s">
        <v>206</v>
      </c>
      <c r="D1886" t="s">
        <v>86</v>
      </c>
      <c r="E1886" t="s">
        <v>87</v>
      </c>
      <c r="F1886" t="s">
        <v>4135</v>
      </c>
      <c r="G1886">
        <v>5724</v>
      </c>
      <c r="H1886" t="s">
        <v>4135</v>
      </c>
      <c r="I1886" t="s">
        <v>208</v>
      </c>
      <c r="K1886">
        <v>2507876.38106</v>
      </c>
      <c r="L1886">
        <v>1137247.19252</v>
      </c>
      <c r="M1886">
        <v>374.2</v>
      </c>
      <c r="N1886" t="s">
        <v>4227</v>
      </c>
    </row>
    <row r="1887" spans="1:14" x14ac:dyDescent="0.25">
      <c r="A1887">
        <v>8595599</v>
      </c>
      <c r="B1887" t="s">
        <v>4228</v>
      </c>
      <c r="C1887" t="s">
        <v>1944</v>
      </c>
      <c r="D1887" t="s">
        <v>86</v>
      </c>
      <c r="E1887" t="s">
        <v>87</v>
      </c>
      <c r="F1887" t="s">
        <v>4135</v>
      </c>
      <c r="G1887">
        <v>5724</v>
      </c>
      <c r="H1887" t="s">
        <v>4135</v>
      </c>
      <c r="I1887" t="s">
        <v>1945</v>
      </c>
      <c r="K1887">
        <v>2508060.8390000002</v>
      </c>
      <c r="L1887">
        <v>1137610.82259</v>
      </c>
      <c r="M1887">
        <v>377.1</v>
      </c>
      <c r="N1887" t="s">
        <v>4229</v>
      </c>
    </row>
    <row r="1888" spans="1:14" x14ac:dyDescent="0.25">
      <c r="A1888">
        <v>8595596</v>
      </c>
      <c r="B1888" t="s">
        <v>4230</v>
      </c>
      <c r="C1888" t="s">
        <v>1944</v>
      </c>
      <c r="D1888" t="s">
        <v>86</v>
      </c>
      <c r="E1888" t="s">
        <v>87</v>
      </c>
      <c r="F1888" t="s">
        <v>4135</v>
      </c>
      <c r="G1888">
        <v>5724</v>
      </c>
      <c r="H1888" t="s">
        <v>4135</v>
      </c>
      <c r="I1888" t="s">
        <v>1945</v>
      </c>
      <c r="K1888">
        <v>2506350.9445099998</v>
      </c>
      <c r="L1888">
        <v>1138060.4659</v>
      </c>
      <c r="M1888">
        <v>423.9</v>
      </c>
      <c r="N1888" t="s">
        <v>4231</v>
      </c>
    </row>
    <row r="1889" spans="1:14" x14ac:dyDescent="0.25">
      <c r="A1889">
        <v>8501059</v>
      </c>
      <c r="B1889" t="s">
        <v>4232</v>
      </c>
      <c r="C1889" t="s">
        <v>227</v>
      </c>
      <c r="D1889" t="s">
        <v>112</v>
      </c>
      <c r="E1889" t="s">
        <v>87</v>
      </c>
      <c r="F1889" t="s">
        <v>4135</v>
      </c>
      <c r="G1889">
        <v>5724</v>
      </c>
      <c r="H1889" t="s">
        <v>4135</v>
      </c>
      <c r="I1889" t="s">
        <v>228</v>
      </c>
      <c r="K1889">
        <v>2506983.9569399999</v>
      </c>
      <c r="L1889">
        <v>1138440.93814</v>
      </c>
      <c r="M1889">
        <v>422.4</v>
      </c>
      <c r="N1889" t="s">
        <v>4233</v>
      </c>
    </row>
    <row r="1890" spans="1:14" x14ac:dyDescent="0.25">
      <c r="A1890">
        <v>8595598</v>
      </c>
      <c r="B1890" t="s">
        <v>4234</v>
      </c>
      <c r="C1890" t="s">
        <v>1944</v>
      </c>
      <c r="D1890" t="s">
        <v>86</v>
      </c>
      <c r="E1890" t="s">
        <v>87</v>
      </c>
      <c r="F1890" t="s">
        <v>4135</v>
      </c>
      <c r="G1890">
        <v>5724</v>
      </c>
      <c r="H1890" t="s">
        <v>4135</v>
      </c>
      <c r="I1890" t="s">
        <v>1945</v>
      </c>
      <c r="K1890">
        <v>2506394.5661800001</v>
      </c>
      <c r="L1890">
        <v>1138440.90591</v>
      </c>
      <c r="M1890">
        <v>430.3</v>
      </c>
      <c r="N1890" t="s">
        <v>4235</v>
      </c>
    </row>
    <row r="1891" spans="1:14" x14ac:dyDescent="0.25">
      <c r="A1891">
        <v>8570000</v>
      </c>
      <c r="B1891" t="s">
        <v>4236</v>
      </c>
      <c r="C1891" t="s">
        <v>94</v>
      </c>
      <c r="D1891" t="s">
        <v>86</v>
      </c>
      <c r="E1891" t="s">
        <v>87</v>
      </c>
      <c r="F1891" t="s">
        <v>4135</v>
      </c>
      <c r="G1891">
        <v>5724</v>
      </c>
      <c r="H1891" t="s">
        <v>4135</v>
      </c>
      <c r="I1891" t="s">
        <v>96</v>
      </c>
      <c r="K1891">
        <v>2507510</v>
      </c>
      <c r="L1891">
        <v>1137711</v>
      </c>
      <c r="M1891">
        <v>406</v>
      </c>
      <c r="N1891" t="s">
        <v>4237</v>
      </c>
    </row>
    <row r="1892" spans="1:14" x14ac:dyDescent="0.25">
      <c r="A1892">
        <v>8579305</v>
      </c>
      <c r="B1892" t="s">
        <v>4238</v>
      </c>
      <c r="C1892" t="s">
        <v>206</v>
      </c>
      <c r="D1892" t="s">
        <v>86</v>
      </c>
      <c r="E1892" t="s">
        <v>87</v>
      </c>
      <c r="F1892" t="s">
        <v>4135</v>
      </c>
      <c r="G1892">
        <v>5724</v>
      </c>
      <c r="H1892" t="s">
        <v>4135</v>
      </c>
      <c r="I1892" t="s">
        <v>208</v>
      </c>
      <c r="K1892">
        <v>2507100</v>
      </c>
      <c r="L1892">
        <v>1137600</v>
      </c>
      <c r="M1892">
        <v>406</v>
      </c>
      <c r="N1892" t="s">
        <v>4239</v>
      </c>
    </row>
    <row r="1893" spans="1:14" x14ac:dyDescent="0.25">
      <c r="A1893">
        <v>8570397</v>
      </c>
      <c r="B1893" t="s">
        <v>4240</v>
      </c>
      <c r="C1893" t="s">
        <v>94</v>
      </c>
      <c r="D1893" t="s">
        <v>86</v>
      </c>
      <c r="E1893" t="s">
        <v>87</v>
      </c>
      <c r="F1893" t="s">
        <v>4241</v>
      </c>
      <c r="G1893">
        <v>5680</v>
      </c>
      <c r="H1893" t="s">
        <v>4241</v>
      </c>
      <c r="I1893" t="s">
        <v>96</v>
      </c>
      <c r="K1893">
        <v>2545203</v>
      </c>
      <c r="L1893">
        <v>1173564</v>
      </c>
      <c r="M1893">
        <v>632</v>
      </c>
      <c r="N1893" t="s">
        <v>4242</v>
      </c>
    </row>
    <row r="1894" spans="1:14" x14ac:dyDescent="0.25">
      <c r="A1894">
        <v>8501401</v>
      </c>
      <c r="B1894" t="s">
        <v>4243</v>
      </c>
      <c r="C1894" t="s">
        <v>132</v>
      </c>
      <c r="E1894" t="s">
        <v>87</v>
      </c>
      <c r="F1894" t="s">
        <v>4244</v>
      </c>
      <c r="G1894">
        <v>5409</v>
      </c>
      <c r="H1894" t="s">
        <v>4243</v>
      </c>
      <c r="I1894" t="s">
        <v>133</v>
      </c>
      <c r="J1894" t="s">
        <v>625</v>
      </c>
      <c r="K1894">
        <v>2564023.6239999998</v>
      </c>
      <c r="L1894">
        <v>1125371.9180000001</v>
      </c>
      <c r="M1894">
        <v>390.67</v>
      </c>
      <c r="N1894" t="s">
        <v>4245</v>
      </c>
    </row>
    <row r="1895" spans="1:14" x14ac:dyDescent="0.25">
      <c r="A1895">
        <v>8501447</v>
      </c>
      <c r="B1895" t="s">
        <v>4246</v>
      </c>
      <c r="C1895" t="s">
        <v>111</v>
      </c>
      <c r="D1895" t="s">
        <v>112</v>
      </c>
      <c r="E1895" t="s">
        <v>87</v>
      </c>
      <c r="F1895" t="s">
        <v>4244</v>
      </c>
      <c r="G1895">
        <v>5409</v>
      </c>
      <c r="H1895" t="s">
        <v>4247</v>
      </c>
      <c r="I1895" t="s">
        <v>113</v>
      </c>
      <c r="K1895">
        <v>2570907.335</v>
      </c>
      <c r="L1895">
        <v>1126997.9369999999</v>
      </c>
      <c r="M1895">
        <v>1301.9000000000001</v>
      </c>
      <c r="N1895" t="s">
        <v>4248</v>
      </c>
    </row>
    <row r="1896" spans="1:14" x14ac:dyDescent="0.25">
      <c r="A1896">
        <v>8501495</v>
      </c>
      <c r="B1896" t="s">
        <v>4247</v>
      </c>
      <c r="C1896" t="s">
        <v>111</v>
      </c>
      <c r="D1896" t="s">
        <v>112</v>
      </c>
      <c r="E1896" t="s">
        <v>87</v>
      </c>
      <c r="F1896" t="s">
        <v>4244</v>
      </c>
      <c r="G1896">
        <v>5409</v>
      </c>
      <c r="H1896" t="s">
        <v>4247</v>
      </c>
      <c r="I1896" t="s">
        <v>113</v>
      </c>
      <c r="K1896">
        <v>2570533.426</v>
      </c>
      <c r="L1896">
        <v>1127277.67</v>
      </c>
      <c r="M1896">
        <v>1253.5</v>
      </c>
      <c r="N1896" t="s">
        <v>4249</v>
      </c>
    </row>
    <row r="1897" spans="1:14" x14ac:dyDescent="0.25">
      <c r="A1897">
        <v>8501470</v>
      </c>
      <c r="B1897" t="s">
        <v>4250</v>
      </c>
      <c r="C1897" t="s">
        <v>111</v>
      </c>
      <c r="D1897" t="s">
        <v>112</v>
      </c>
      <c r="E1897" t="s">
        <v>87</v>
      </c>
      <c r="F1897" t="s">
        <v>4244</v>
      </c>
      <c r="G1897">
        <v>5409</v>
      </c>
      <c r="H1897" t="s">
        <v>4251</v>
      </c>
      <c r="I1897" t="s">
        <v>113</v>
      </c>
      <c r="K1897">
        <v>2564950</v>
      </c>
      <c r="L1897">
        <v>1128632</v>
      </c>
      <c r="M1897">
        <v>565</v>
      </c>
      <c r="N1897" t="s">
        <v>4252</v>
      </c>
    </row>
    <row r="1898" spans="1:14" x14ac:dyDescent="0.25">
      <c r="A1898">
        <v>8504430</v>
      </c>
      <c r="B1898" t="s">
        <v>4253</v>
      </c>
      <c r="C1898" t="s">
        <v>101</v>
      </c>
      <c r="D1898" t="s">
        <v>86</v>
      </c>
      <c r="E1898" t="s">
        <v>87</v>
      </c>
      <c r="F1898" t="s">
        <v>4244</v>
      </c>
      <c r="G1898">
        <v>5409</v>
      </c>
      <c r="H1898" t="s">
        <v>4243</v>
      </c>
      <c r="I1898" t="s">
        <v>103</v>
      </c>
      <c r="K1898">
        <v>2564562</v>
      </c>
      <c r="L1898">
        <v>1126927</v>
      </c>
      <c r="M1898">
        <v>429</v>
      </c>
      <c r="N1898" t="s">
        <v>4254</v>
      </c>
    </row>
    <row r="1899" spans="1:14" x14ac:dyDescent="0.25">
      <c r="A1899">
        <v>8504446</v>
      </c>
      <c r="B1899" t="s">
        <v>4255</v>
      </c>
      <c r="C1899" t="s">
        <v>101</v>
      </c>
      <c r="D1899" t="s">
        <v>86</v>
      </c>
      <c r="E1899" t="s">
        <v>87</v>
      </c>
      <c r="F1899" t="s">
        <v>4244</v>
      </c>
      <c r="G1899">
        <v>5409</v>
      </c>
      <c r="H1899" t="s">
        <v>4251</v>
      </c>
      <c r="I1899" t="s">
        <v>103</v>
      </c>
      <c r="K1899">
        <v>2567157</v>
      </c>
      <c r="L1899">
        <v>1124640</v>
      </c>
      <c r="M1899">
        <v>485</v>
      </c>
      <c r="N1899" t="s">
        <v>4256</v>
      </c>
    </row>
    <row r="1900" spans="1:14" x14ac:dyDescent="0.25">
      <c r="A1900">
        <v>8504435</v>
      </c>
      <c r="B1900" t="s">
        <v>4257</v>
      </c>
      <c r="C1900" t="s">
        <v>101</v>
      </c>
      <c r="D1900" t="s">
        <v>86</v>
      </c>
      <c r="E1900" t="s">
        <v>87</v>
      </c>
      <c r="F1900" t="s">
        <v>4244</v>
      </c>
      <c r="G1900">
        <v>5409</v>
      </c>
      <c r="H1900" t="s">
        <v>4251</v>
      </c>
      <c r="I1900" t="s">
        <v>103</v>
      </c>
      <c r="K1900">
        <v>2565404</v>
      </c>
      <c r="L1900">
        <v>1127110</v>
      </c>
      <c r="M1900">
        <v>430</v>
      </c>
      <c r="N1900" t="s">
        <v>4258</v>
      </c>
    </row>
    <row r="1901" spans="1:14" x14ac:dyDescent="0.25">
      <c r="A1901">
        <v>8504439</v>
      </c>
      <c r="B1901" t="s">
        <v>4259</v>
      </c>
      <c r="C1901" t="s">
        <v>101</v>
      </c>
      <c r="D1901" t="s">
        <v>86</v>
      </c>
      <c r="E1901" t="s">
        <v>87</v>
      </c>
      <c r="F1901" t="s">
        <v>4244</v>
      </c>
      <c r="G1901">
        <v>5409</v>
      </c>
      <c r="H1901" t="s">
        <v>4251</v>
      </c>
      <c r="I1901" t="s">
        <v>103</v>
      </c>
      <c r="K1901">
        <v>2566873</v>
      </c>
      <c r="L1901">
        <v>1125598</v>
      </c>
      <c r="M1901">
        <v>565</v>
      </c>
      <c r="N1901" t="s">
        <v>4260</v>
      </c>
    </row>
    <row r="1902" spans="1:14" x14ac:dyDescent="0.25">
      <c r="A1902">
        <v>8504688</v>
      </c>
      <c r="B1902" t="s">
        <v>4261</v>
      </c>
      <c r="C1902" t="s">
        <v>101</v>
      </c>
      <c r="D1902" t="s">
        <v>86</v>
      </c>
      <c r="E1902" t="s">
        <v>87</v>
      </c>
      <c r="F1902" t="s">
        <v>4244</v>
      </c>
      <c r="G1902">
        <v>5409</v>
      </c>
      <c r="H1902" t="s">
        <v>4251</v>
      </c>
      <c r="I1902" t="s">
        <v>103</v>
      </c>
      <c r="K1902">
        <v>2567603</v>
      </c>
      <c r="L1902">
        <v>1125642</v>
      </c>
      <c r="M1902">
        <v>738</v>
      </c>
      <c r="N1902" t="s">
        <v>4262</v>
      </c>
    </row>
    <row r="1903" spans="1:14" x14ac:dyDescent="0.25">
      <c r="A1903">
        <v>8504687</v>
      </c>
      <c r="B1903" t="s">
        <v>4263</v>
      </c>
      <c r="C1903" t="s">
        <v>101</v>
      </c>
      <c r="D1903" t="s">
        <v>86</v>
      </c>
      <c r="E1903" t="s">
        <v>87</v>
      </c>
      <c r="F1903" t="s">
        <v>4244</v>
      </c>
      <c r="G1903">
        <v>5409</v>
      </c>
      <c r="H1903" t="s">
        <v>4251</v>
      </c>
      <c r="I1903" t="s">
        <v>103</v>
      </c>
      <c r="K1903">
        <v>2567195</v>
      </c>
      <c r="L1903">
        <v>1126083</v>
      </c>
      <c r="M1903">
        <v>698</v>
      </c>
      <c r="N1903" t="s">
        <v>4264</v>
      </c>
    </row>
    <row r="1904" spans="1:14" x14ac:dyDescent="0.25">
      <c r="A1904">
        <v>8579114</v>
      </c>
      <c r="B1904" t="s">
        <v>4265</v>
      </c>
      <c r="C1904" t="s">
        <v>101</v>
      </c>
      <c r="D1904" t="s">
        <v>86</v>
      </c>
      <c r="E1904" t="s">
        <v>87</v>
      </c>
      <c r="F1904" t="s">
        <v>4244</v>
      </c>
      <c r="G1904">
        <v>5409</v>
      </c>
      <c r="H1904" t="s">
        <v>4247</v>
      </c>
      <c r="I1904" t="s">
        <v>103</v>
      </c>
      <c r="K1904">
        <v>2570522</v>
      </c>
      <c r="L1904">
        <v>1127221</v>
      </c>
      <c r="M1904">
        <v>1254</v>
      </c>
      <c r="N1904" t="s">
        <v>4266</v>
      </c>
    </row>
    <row r="1905" spans="1:14" x14ac:dyDescent="0.25">
      <c r="A1905">
        <v>8579130</v>
      </c>
      <c r="B1905" t="s">
        <v>4267</v>
      </c>
      <c r="C1905" t="s">
        <v>101</v>
      </c>
      <c r="D1905" t="s">
        <v>86</v>
      </c>
      <c r="E1905" t="s">
        <v>87</v>
      </c>
      <c r="F1905" t="s">
        <v>4244</v>
      </c>
      <c r="G1905">
        <v>5409</v>
      </c>
      <c r="H1905" t="s">
        <v>4268</v>
      </c>
      <c r="I1905" t="s">
        <v>103</v>
      </c>
      <c r="K1905">
        <v>2569012</v>
      </c>
      <c r="L1905">
        <v>1127224</v>
      </c>
      <c r="M1905">
        <v>1100</v>
      </c>
      <c r="N1905" t="s">
        <v>4269</v>
      </c>
    </row>
    <row r="1906" spans="1:14" x14ac:dyDescent="0.25">
      <c r="A1906">
        <v>8579131</v>
      </c>
      <c r="B1906" t="s">
        <v>4270</v>
      </c>
      <c r="C1906" t="s">
        <v>101</v>
      </c>
      <c r="D1906" t="s">
        <v>86</v>
      </c>
      <c r="E1906" t="s">
        <v>87</v>
      </c>
      <c r="F1906" t="s">
        <v>4244</v>
      </c>
      <c r="G1906">
        <v>5409</v>
      </c>
      <c r="H1906" t="s">
        <v>4271</v>
      </c>
      <c r="I1906" t="s">
        <v>103</v>
      </c>
      <c r="K1906">
        <v>2568490</v>
      </c>
      <c r="L1906">
        <v>1126903</v>
      </c>
      <c r="M1906">
        <v>1035</v>
      </c>
      <c r="N1906" t="s">
        <v>4272</v>
      </c>
    </row>
    <row r="1907" spans="1:14" x14ac:dyDescent="0.25">
      <c r="A1907">
        <v>8579128</v>
      </c>
      <c r="B1907" t="s">
        <v>4273</v>
      </c>
      <c r="C1907" t="s">
        <v>101</v>
      </c>
      <c r="D1907" t="s">
        <v>86</v>
      </c>
      <c r="E1907" t="s">
        <v>87</v>
      </c>
      <c r="F1907" t="s">
        <v>4244</v>
      </c>
      <c r="G1907">
        <v>5409</v>
      </c>
      <c r="H1907" t="s">
        <v>4268</v>
      </c>
      <c r="I1907" t="s">
        <v>103</v>
      </c>
      <c r="K1907">
        <v>2569507.4630700001</v>
      </c>
      <c r="L1907">
        <v>1127791.3634200001</v>
      </c>
      <c r="M1907">
        <v>1202</v>
      </c>
      <c r="N1907" t="s">
        <v>4274</v>
      </c>
    </row>
    <row r="1908" spans="1:14" x14ac:dyDescent="0.25">
      <c r="A1908">
        <v>8509507</v>
      </c>
      <c r="B1908" t="s">
        <v>4275</v>
      </c>
      <c r="C1908" t="s">
        <v>101</v>
      </c>
      <c r="D1908" t="s">
        <v>86</v>
      </c>
      <c r="E1908" t="s">
        <v>87</v>
      </c>
      <c r="F1908" t="s">
        <v>4244</v>
      </c>
      <c r="G1908">
        <v>5409</v>
      </c>
      <c r="H1908" t="s">
        <v>4243</v>
      </c>
      <c r="I1908" t="s">
        <v>103</v>
      </c>
      <c r="K1908">
        <v>2564446</v>
      </c>
      <c r="L1908">
        <v>1126671</v>
      </c>
      <c r="M1908">
        <v>412</v>
      </c>
      <c r="N1908" t="s">
        <v>4276</v>
      </c>
    </row>
    <row r="1909" spans="1:14" x14ac:dyDescent="0.25">
      <c r="A1909">
        <v>8510071</v>
      </c>
      <c r="B1909" t="s">
        <v>4277</v>
      </c>
      <c r="C1909" t="s">
        <v>101</v>
      </c>
      <c r="D1909" t="s">
        <v>86</v>
      </c>
      <c r="E1909" t="s">
        <v>87</v>
      </c>
      <c r="F1909" t="s">
        <v>4244</v>
      </c>
      <c r="G1909">
        <v>5409</v>
      </c>
      <c r="H1909" t="s">
        <v>4247</v>
      </c>
      <c r="I1909" t="s">
        <v>103</v>
      </c>
      <c r="K1909">
        <v>2570631.3791200002</v>
      </c>
      <c r="L1909">
        <v>1127482.2074200001</v>
      </c>
      <c r="M1909">
        <v>1276</v>
      </c>
      <c r="N1909" t="s">
        <v>4278</v>
      </c>
    </row>
    <row r="1910" spans="1:14" x14ac:dyDescent="0.25">
      <c r="A1910">
        <v>8510070</v>
      </c>
      <c r="B1910" t="s">
        <v>4279</v>
      </c>
      <c r="C1910" t="s">
        <v>101</v>
      </c>
      <c r="D1910" t="s">
        <v>86</v>
      </c>
      <c r="E1910" t="s">
        <v>87</v>
      </c>
      <c r="F1910" t="s">
        <v>4244</v>
      </c>
      <c r="G1910">
        <v>5409</v>
      </c>
      <c r="H1910" t="s">
        <v>4268</v>
      </c>
      <c r="I1910" t="s">
        <v>103</v>
      </c>
      <c r="K1910">
        <v>2570443.23979</v>
      </c>
      <c r="L1910">
        <v>1128073.7019400001</v>
      </c>
      <c r="M1910">
        <v>1267</v>
      </c>
      <c r="N1910" t="s">
        <v>4280</v>
      </c>
    </row>
    <row r="1911" spans="1:14" x14ac:dyDescent="0.25">
      <c r="A1911">
        <v>8510072</v>
      </c>
      <c r="B1911" t="s">
        <v>4281</v>
      </c>
      <c r="C1911" t="s">
        <v>101</v>
      </c>
      <c r="D1911" t="s">
        <v>86</v>
      </c>
      <c r="E1911" t="s">
        <v>87</v>
      </c>
      <c r="F1911" t="s">
        <v>4244</v>
      </c>
      <c r="G1911">
        <v>5409</v>
      </c>
      <c r="H1911" t="s">
        <v>4247</v>
      </c>
      <c r="I1911" t="s">
        <v>103</v>
      </c>
      <c r="K1911">
        <v>2570411.7814000002</v>
      </c>
      <c r="L1911">
        <v>1127446.0238600001</v>
      </c>
      <c r="M1911">
        <v>1251</v>
      </c>
      <c r="N1911" t="s">
        <v>4282</v>
      </c>
    </row>
    <row r="1912" spans="1:14" x14ac:dyDescent="0.25">
      <c r="A1912">
        <v>8510224</v>
      </c>
      <c r="B1912" t="s">
        <v>4283</v>
      </c>
      <c r="C1912" t="s">
        <v>101</v>
      </c>
      <c r="D1912" t="s">
        <v>86</v>
      </c>
      <c r="E1912" t="s">
        <v>87</v>
      </c>
      <c r="F1912" t="s">
        <v>4244</v>
      </c>
      <c r="G1912">
        <v>5409</v>
      </c>
      <c r="H1912" t="s">
        <v>4268</v>
      </c>
      <c r="I1912" t="s">
        <v>103</v>
      </c>
      <c r="K1912">
        <v>2570128.4027200001</v>
      </c>
      <c r="L1912">
        <v>1128088.3624199999</v>
      </c>
      <c r="M1912">
        <v>1267</v>
      </c>
      <c r="N1912" t="s">
        <v>4284</v>
      </c>
    </row>
    <row r="1913" spans="1:14" x14ac:dyDescent="0.25">
      <c r="A1913">
        <v>8510589</v>
      </c>
      <c r="B1913" t="s">
        <v>4285</v>
      </c>
      <c r="C1913" t="s">
        <v>101</v>
      </c>
      <c r="D1913" t="s">
        <v>86</v>
      </c>
      <c r="E1913" t="s">
        <v>87</v>
      </c>
      <c r="F1913" t="s">
        <v>4244</v>
      </c>
      <c r="G1913">
        <v>5409</v>
      </c>
      <c r="H1913" t="s">
        <v>4247</v>
      </c>
      <c r="I1913" t="s">
        <v>103</v>
      </c>
      <c r="K1913">
        <v>2570265</v>
      </c>
      <c r="L1913">
        <v>1127452</v>
      </c>
      <c r="M1913">
        <v>1223</v>
      </c>
      <c r="N1913" t="s">
        <v>4286</v>
      </c>
    </row>
    <row r="1914" spans="1:14" x14ac:dyDescent="0.25">
      <c r="A1914">
        <v>8510590</v>
      </c>
      <c r="B1914" t="s">
        <v>4287</v>
      </c>
      <c r="C1914" t="s">
        <v>101</v>
      </c>
      <c r="D1914" t="s">
        <v>86</v>
      </c>
      <c r="E1914" t="s">
        <v>87</v>
      </c>
      <c r="F1914" t="s">
        <v>4244</v>
      </c>
      <c r="G1914">
        <v>5409</v>
      </c>
      <c r="H1914" t="s">
        <v>4268</v>
      </c>
      <c r="I1914" t="s">
        <v>103</v>
      </c>
      <c r="K1914">
        <v>2568923</v>
      </c>
      <c r="L1914">
        <v>1127792</v>
      </c>
      <c r="M1914">
        <v>1291.9000000000001</v>
      </c>
      <c r="N1914" t="s">
        <v>4288</v>
      </c>
    </row>
    <row r="1915" spans="1:14" x14ac:dyDescent="0.25">
      <c r="A1915">
        <v>8508300</v>
      </c>
      <c r="B1915" t="s">
        <v>4289</v>
      </c>
      <c r="C1915" t="s">
        <v>101</v>
      </c>
      <c r="D1915" t="s">
        <v>86</v>
      </c>
      <c r="E1915" t="s">
        <v>87</v>
      </c>
      <c r="F1915" t="s">
        <v>4244</v>
      </c>
      <c r="G1915">
        <v>5409</v>
      </c>
      <c r="H1915" t="s">
        <v>4243</v>
      </c>
      <c r="I1915" t="s">
        <v>103</v>
      </c>
      <c r="K1915">
        <v>2564134</v>
      </c>
      <c r="L1915">
        <v>1125395</v>
      </c>
      <c r="M1915">
        <v>392</v>
      </c>
      <c r="N1915" t="s">
        <v>4290</v>
      </c>
    </row>
    <row r="1916" spans="1:14" x14ac:dyDescent="0.25">
      <c r="A1916">
        <v>8508334</v>
      </c>
      <c r="B1916" t="s">
        <v>4291</v>
      </c>
      <c r="C1916" t="s">
        <v>101</v>
      </c>
      <c r="D1916" t="s">
        <v>86</v>
      </c>
      <c r="E1916" t="s">
        <v>87</v>
      </c>
      <c r="F1916" t="s">
        <v>4244</v>
      </c>
      <c r="G1916">
        <v>5409</v>
      </c>
      <c r="H1916" t="s">
        <v>4251</v>
      </c>
      <c r="I1916" t="s">
        <v>103</v>
      </c>
      <c r="K1916">
        <v>2567080</v>
      </c>
      <c r="L1916">
        <v>1124979</v>
      </c>
      <c r="M1916">
        <v>537</v>
      </c>
      <c r="N1916" t="s">
        <v>4292</v>
      </c>
    </row>
    <row r="1917" spans="1:14" x14ac:dyDescent="0.25">
      <c r="A1917">
        <v>8510625</v>
      </c>
      <c r="B1917" t="s">
        <v>4293</v>
      </c>
      <c r="C1917" t="s">
        <v>101</v>
      </c>
      <c r="D1917" t="s">
        <v>86</v>
      </c>
      <c r="E1917" t="s">
        <v>87</v>
      </c>
      <c r="F1917" t="s">
        <v>4244</v>
      </c>
      <c r="G1917">
        <v>5409</v>
      </c>
      <c r="H1917" t="s">
        <v>4294</v>
      </c>
      <c r="I1917" t="s">
        <v>103</v>
      </c>
      <c r="K1917">
        <v>2568268</v>
      </c>
      <c r="L1917">
        <v>1130039</v>
      </c>
      <c r="M1917">
        <v>1128</v>
      </c>
      <c r="N1917" t="s">
        <v>4295</v>
      </c>
    </row>
    <row r="1918" spans="1:14" x14ac:dyDescent="0.25">
      <c r="A1918">
        <v>8530052</v>
      </c>
      <c r="B1918" t="s">
        <v>4296</v>
      </c>
      <c r="C1918" t="s">
        <v>4297</v>
      </c>
      <c r="D1918" t="s">
        <v>692</v>
      </c>
      <c r="E1918" t="s">
        <v>87</v>
      </c>
      <c r="F1918" t="s">
        <v>4244</v>
      </c>
      <c r="G1918">
        <v>5409</v>
      </c>
      <c r="H1918" t="s">
        <v>4247</v>
      </c>
      <c r="I1918" t="s">
        <v>4298</v>
      </c>
      <c r="J1918" t="s">
        <v>4299</v>
      </c>
      <c r="K1918">
        <v>2572373</v>
      </c>
      <c r="L1918">
        <v>1131005</v>
      </c>
      <c r="M1918">
        <v>1712</v>
      </c>
      <c r="N1918" t="s">
        <v>4300</v>
      </c>
    </row>
    <row r="1919" spans="1:14" x14ac:dyDescent="0.25">
      <c r="A1919">
        <v>8579126</v>
      </c>
      <c r="B1919" t="s">
        <v>4301</v>
      </c>
      <c r="C1919" t="s">
        <v>101</v>
      </c>
      <c r="D1919" t="s">
        <v>86</v>
      </c>
      <c r="E1919" t="s">
        <v>87</v>
      </c>
      <c r="F1919" t="s">
        <v>4244</v>
      </c>
      <c r="G1919">
        <v>5409</v>
      </c>
      <c r="H1919" t="s">
        <v>4247</v>
      </c>
      <c r="I1919" t="s">
        <v>103</v>
      </c>
      <c r="K1919">
        <v>2570203</v>
      </c>
      <c r="L1919">
        <v>1127726</v>
      </c>
      <c r="M1919">
        <v>1237</v>
      </c>
      <c r="N1919" t="s">
        <v>4302</v>
      </c>
    </row>
    <row r="1920" spans="1:14" x14ac:dyDescent="0.25">
      <c r="A1920">
        <v>8579119</v>
      </c>
      <c r="B1920" t="s">
        <v>4303</v>
      </c>
      <c r="C1920" t="s">
        <v>101</v>
      </c>
      <c r="D1920" t="s">
        <v>86</v>
      </c>
      <c r="E1920" t="s">
        <v>87</v>
      </c>
      <c r="F1920" t="s">
        <v>4244</v>
      </c>
      <c r="G1920">
        <v>5409</v>
      </c>
      <c r="H1920" t="s">
        <v>4247</v>
      </c>
      <c r="I1920" t="s">
        <v>103</v>
      </c>
      <c r="J1920" t="s">
        <v>4304</v>
      </c>
      <c r="K1920">
        <v>2571597</v>
      </c>
      <c r="L1920">
        <v>1126879</v>
      </c>
      <c r="M1920">
        <v>1392</v>
      </c>
      <c r="N1920" t="s">
        <v>4305</v>
      </c>
    </row>
    <row r="1921" spans="1:14" x14ac:dyDescent="0.25">
      <c r="A1921">
        <v>8579127</v>
      </c>
      <c r="B1921" t="s">
        <v>4306</v>
      </c>
      <c r="C1921" t="s">
        <v>101</v>
      </c>
      <c r="D1921" t="s">
        <v>86</v>
      </c>
      <c r="E1921" t="s">
        <v>87</v>
      </c>
      <c r="F1921" t="s">
        <v>4244</v>
      </c>
      <c r="G1921">
        <v>5409</v>
      </c>
      <c r="H1921" t="s">
        <v>4268</v>
      </c>
      <c r="I1921" t="s">
        <v>103</v>
      </c>
      <c r="K1921">
        <v>2569802.9651700002</v>
      </c>
      <c r="L1921">
        <v>1127920.9593700001</v>
      </c>
      <c r="M1921">
        <v>1223</v>
      </c>
      <c r="N1921" t="s">
        <v>4307</v>
      </c>
    </row>
    <row r="1922" spans="1:14" x14ac:dyDescent="0.25">
      <c r="A1922">
        <v>8579129</v>
      </c>
      <c r="B1922" t="s">
        <v>4308</v>
      </c>
      <c r="C1922" t="s">
        <v>101</v>
      </c>
      <c r="D1922" t="s">
        <v>86</v>
      </c>
      <c r="E1922" t="s">
        <v>87</v>
      </c>
      <c r="F1922" t="s">
        <v>4244</v>
      </c>
      <c r="G1922">
        <v>5409</v>
      </c>
      <c r="H1922" t="s">
        <v>4268</v>
      </c>
      <c r="I1922" t="s">
        <v>103</v>
      </c>
      <c r="K1922">
        <v>2569226</v>
      </c>
      <c r="L1922">
        <v>1127454</v>
      </c>
      <c r="M1922">
        <v>1132</v>
      </c>
      <c r="N1922" t="s">
        <v>4309</v>
      </c>
    </row>
    <row r="1923" spans="1:14" x14ac:dyDescent="0.25">
      <c r="A1923">
        <v>8501704</v>
      </c>
      <c r="B1923" t="s">
        <v>4310</v>
      </c>
      <c r="C1923" t="s">
        <v>101</v>
      </c>
      <c r="D1923" t="s">
        <v>86</v>
      </c>
      <c r="E1923" t="s">
        <v>87</v>
      </c>
      <c r="F1923" t="s">
        <v>4244</v>
      </c>
      <c r="G1923">
        <v>5409</v>
      </c>
      <c r="H1923" t="s">
        <v>4247</v>
      </c>
      <c r="I1923" t="s">
        <v>103</v>
      </c>
      <c r="K1923">
        <v>2575971</v>
      </c>
      <c r="L1923">
        <v>1130405</v>
      </c>
      <c r="M1923">
        <v>1776</v>
      </c>
      <c r="N1923" t="s">
        <v>4311</v>
      </c>
    </row>
    <row r="1924" spans="1:14" x14ac:dyDescent="0.25">
      <c r="A1924">
        <v>8501452</v>
      </c>
      <c r="B1924" t="s">
        <v>4312</v>
      </c>
      <c r="C1924" t="s">
        <v>111</v>
      </c>
      <c r="D1924" t="s">
        <v>112</v>
      </c>
      <c r="E1924" t="s">
        <v>87</v>
      </c>
      <c r="F1924" t="s">
        <v>4244</v>
      </c>
      <c r="G1924">
        <v>5409</v>
      </c>
      <c r="H1924" t="s">
        <v>4243</v>
      </c>
      <c r="I1924" t="s">
        <v>113</v>
      </c>
      <c r="K1924">
        <v>2564158.4879999999</v>
      </c>
      <c r="L1924">
        <v>1125317.28</v>
      </c>
      <c r="M1924">
        <v>396.23200000000003</v>
      </c>
      <c r="N1924" t="s">
        <v>4313</v>
      </c>
    </row>
    <row r="1925" spans="1:14" x14ac:dyDescent="0.25">
      <c r="A1925">
        <v>8508332</v>
      </c>
      <c r="B1925" t="s">
        <v>4314</v>
      </c>
      <c r="C1925" t="s">
        <v>101</v>
      </c>
      <c r="D1925" t="s">
        <v>86</v>
      </c>
      <c r="E1925" t="s">
        <v>87</v>
      </c>
      <c r="F1925" t="s">
        <v>4244</v>
      </c>
      <c r="G1925">
        <v>5409</v>
      </c>
      <c r="H1925" t="s">
        <v>4251</v>
      </c>
      <c r="I1925" t="s">
        <v>103</v>
      </c>
      <c r="K1925">
        <v>2566617</v>
      </c>
      <c r="L1925">
        <v>1125821</v>
      </c>
      <c r="M1925">
        <v>555</v>
      </c>
      <c r="N1925" t="s">
        <v>4315</v>
      </c>
    </row>
    <row r="1926" spans="1:14" x14ac:dyDescent="0.25">
      <c r="A1926">
        <v>8530051</v>
      </c>
      <c r="B1926" t="s">
        <v>4316</v>
      </c>
      <c r="C1926" t="s">
        <v>4297</v>
      </c>
      <c r="D1926" t="s">
        <v>692</v>
      </c>
      <c r="E1926" t="s">
        <v>87</v>
      </c>
      <c r="F1926" t="s">
        <v>4244</v>
      </c>
      <c r="G1926">
        <v>5409</v>
      </c>
      <c r="H1926" t="s">
        <v>4247</v>
      </c>
      <c r="I1926" t="s">
        <v>4317</v>
      </c>
      <c r="J1926" t="s">
        <v>4318</v>
      </c>
      <c r="K1926">
        <v>2572770</v>
      </c>
      <c r="L1926">
        <v>1129980</v>
      </c>
      <c r="M1926">
        <v>1978</v>
      </c>
      <c r="N1926" t="s">
        <v>4319</v>
      </c>
    </row>
    <row r="1927" spans="1:14" x14ac:dyDescent="0.25">
      <c r="A1927">
        <v>8501497</v>
      </c>
      <c r="B1927" t="s">
        <v>4320</v>
      </c>
      <c r="C1927" t="s">
        <v>111</v>
      </c>
      <c r="D1927" t="s">
        <v>112</v>
      </c>
      <c r="E1927" t="s">
        <v>87</v>
      </c>
      <c r="F1927" t="s">
        <v>4244</v>
      </c>
      <c r="G1927">
        <v>5409</v>
      </c>
      <c r="H1927" t="s">
        <v>4247</v>
      </c>
      <c r="I1927" t="s">
        <v>113</v>
      </c>
      <c r="K1927">
        <v>2571563.5630000001</v>
      </c>
      <c r="L1927">
        <v>1128237.6459999999</v>
      </c>
      <c r="M1927">
        <v>1526.8</v>
      </c>
      <c r="N1927" t="s">
        <v>4321</v>
      </c>
    </row>
    <row r="1928" spans="1:14" x14ac:dyDescent="0.25">
      <c r="A1928">
        <v>8501498</v>
      </c>
      <c r="B1928" t="s">
        <v>4322</v>
      </c>
      <c r="C1928" t="s">
        <v>111</v>
      </c>
      <c r="D1928" t="s">
        <v>112</v>
      </c>
      <c r="E1928" t="s">
        <v>87</v>
      </c>
      <c r="F1928" t="s">
        <v>4244</v>
      </c>
      <c r="G1928">
        <v>5409</v>
      </c>
      <c r="H1928" t="s">
        <v>4247</v>
      </c>
      <c r="I1928" t="s">
        <v>113</v>
      </c>
      <c r="K1928">
        <v>2571785.2459999998</v>
      </c>
      <c r="L1928">
        <v>1129510.571</v>
      </c>
      <c r="M1928">
        <v>1758.5</v>
      </c>
      <c r="N1928" t="s">
        <v>4323</v>
      </c>
    </row>
    <row r="1929" spans="1:14" x14ac:dyDescent="0.25">
      <c r="A1929">
        <v>8501472</v>
      </c>
      <c r="B1929" t="s">
        <v>4324</v>
      </c>
      <c r="C1929" t="s">
        <v>111</v>
      </c>
      <c r="D1929" t="s">
        <v>112</v>
      </c>
      <c r="E1929" t="s">
        <v>87</v>
      </c>
      <c r="F1929" t="s">
        <v>4244</v>
      </c>
      <c r="G1929">
        <v>5409</v>
      </c>
      <c r="H1929" t="s">
        <v>4325</v>
      </c>
      <c r="I1929" t="s">
        <v>113</v>
      </c>
      <c r="K1929">
        <v>2569188.9589999998</v>
      </c>
      <c r="L1929">
        <v>1131825.551</v>
      </c>
      <c r="M1929">
        <v>863</v>
      </c>
      <c r="N1929" t="s">
        <v>4326</v>
      </c>
    </row>
    <row r="1930" spans="1:14" x14ac:dyDescent="0.25">
      <c r="A1930">
        <v>8501727</v>
      </c>
      <c r="B1930" t="s">
        <v>4327</v>
      </c>
      <c r="C1930" t="s">
        <v>111</v>
      </c>
      <c r="D1930" t="s">
        <v>112</v>
      </c>
      <c r="E1930" t="s">
        <v>87</v>
      </c>
      <c r="F1930" t="s">
        <v>4244</v>
      </c>
      <c r="G1930">
        <v>5409</v>
      </c>
      <c r="H1930" t="s">
        <v>4328</v>
      </c>
      <c r="I1930" t="s">
        <v>113</v>
      </c>
      <c r="K1930">
        <v>2571436.173</v>
      </c>
      <c r="L1930">
        <v>1126392.885</v>
      </c>
      <c r="M1930">
        <v>1219.7</v>
      </c>
      <c r="N1930" t="s">
        <v>4329</v>
      </c>
    </row>
    <row r="1931" spans="1:14" x14ac:dyDescent="0.25">
      <c r="A1931">
        <v>8504427</v>
      </c>
      <c r="B1931" t="s">
        <v>4330</v>
      </c>
      <c r="C1931" t="s">
        <v>101</v>
      </c>
      <c r="D1931" t="s">
        <v>86</v>
      </c>
      <c r="E1931" t="s">
        <v>87</v>
      </c>
      <c r="F1931" t="s">
        <v>4244</v>
      </c>
      <c r="G1931">
        <v>5409</v>
      </c>
      <c r="H1931" t="s">
        <v>4243</v>
      </c>
      <c r="I1931" t="s">
        <v>103</v>
      </c>
      <c r="K1931">
        <v>2563109</v>
      </c>
      <c r="L1931">
        <v>1126939</v>
      </c>
      <c r="M1931">
        <v>387</v>
      </c>
      <c r="N1931" t="s">
        <v>4331</v>
      </c>
    </row>
    <row r="1932" spans="1:14" x14ac:dyDescent="0.25">
      <c r="A1932">
        <v>8504429</v>
      </c>
      <c r="B1932" t="s">
        <v>4332</v>
      </c>
      <c r="C1932" t="s">
        <v>101</v>
      </c>
      <c r="D1932" t="s">
        <v>86</v>
      </c>
      <c r="E1932" t="s">
        <v>87</v>
      </c>
      <c r="F1932" t="s">
        <v>4244</v>
      </c>
      <c r="G1932">
        <v>5409</v>
      </c>
      <c r="H1932" t="s">
        <v>4243</v>
      </c>
      <c r="I1932" t="s">
        <v>103</v>
      </c>
      <c r="K1932">
        <v>2564583</v>
      </c>
      <c r="L1932">
        <v>1127208</v>
      </c>
      <c r="M1932">
        <v>409</v>
      </c>
      <c r="N1932" t="s">
        <v>4333</v>
      </c>
    </row>
    <row r="1933" spans="1:14" x14ac:dyDescent="0.25">
      <c r="A1933">
        <v>8504431</v>
      </c>
      <c r="B1933" t="s">
        <v>4334</v>
      </c>
      <c r="C1933" t="s">
        <v>101</v>
      </c>
      <c r="D1933" t="s">
        <v>86</v>
      </c>
      <c r="E1933" t="s">
        <v>87</v>
      </c>
      <c r="F1933" t="s">
        <v>4244</v>
      </c>
      <c r="G1933">
        <v>5409</v>
      </c>
      <c r="H1933" t="s">
        <v>4243</v>
      </c>
      <c r="I1933" t="s">
        <v>103</v>
      </c>
      <c r="K1933">
        <v>2564790</v>
      </c>
      <c r="L1933">
        <v>1126815</v>
      </c>
      <c r="M1933">
        <v>396</v>
      </c>
      <c r="N1933" t="s">
        <v>4335</v>
      </c>
    </row>
    <row r="1934" spans="1:14" x14ac:dyDescent="0.25">
      <c r="A1934">
        <v>8504436</v>
      </c>
      <c r="B1934" t="s">
        <v>4336</v>
      </c>
      <c r="C1934" t="s">
        <v>101</v>
      </c>
      <c r="D1934" t="s">
        <v>86</v>
      </c>
      <c r="E1934" t="s">
        <v>87</v>
      </c>
      <c r="F1934" t="s">
        <v>4244</v>
      </c>
      <c r="G1934">
        <v>5409</v>
      </c>
      <c r="H1934" t="s">
        <v>4251</v>
      </c>
      <c r="I1934" t="s">
        <v>103</v>
      </c>
      <c r="K1934">
        <v>2565286</v>
      </c>
      <c r="L1934">
        <v>1127473</v>
      </c>
      <c r="M1934">
        <v>434</v>
      </c>
      <c r="N1934" t="s">
        <v>4337</v>
      </c>
    </row>
    <row r="1935" spans="1:14" x14ac:dyDescent="0.25">
      <c r="A1935">
        <v>8504438</v>
      </c>
      <c r="B1935" t="s">
        <v>4338</v>
      </c>
      <c r="C1935" t="s">
        <v>101</v>
      </c>
      <c r="D1935" t="s">
        <v>86</v>
      </c>
      <c r="E1935" t="s">
        <v>87</v>
      </c>
      <c r="F1935" t="s">
        <v>4244</v>
      </c>
      <c r="G1935">
        <v>5409</v>
      </c>
      <c r="H1935" t="s">
        <v>4251</v>
      </c>
      <c r="I1935" t="s">
        <v>103</v>
      </c>
      <c r="K1935">
        <v>2566532</v>
      </c>
      <c r="L1935">
        <v>1126478</v>
      </c>
      <c r="M1935">
        <v>561</v>
      </c>
      <c r="N1935" t="s">
        <v>4339</v>
      </c>
    </row>
    <row r="1936" spans="1:14" x14ac:dyDescent="0.25">
      <c r="A1936">
        <v>8504443</v>
      </c>
      <c r="B1936" t="s">
        <v>4340</v>
      </c>
      <c r="C1936" t="s">
        <v>101</v>
      </c>
      <c r="D1936" t="s">
        <v>86</v>
      </c>
      <c r="E1936" t="s">
        <v>87</v>
      </c>
      <c r="F1936" t="s">
        <v>4244</v>
      </c>
      <c r="G1936">
        <v>5409</v>
      </c>
      <c r="H1936" t="s">
        <v>4251</v>
      </c>
      <c r="I1936" t="s">
        <v>103</v>
      </c>
      <c r="K1936">
        <v>2567163</v>
      </c>
      <c r="L1936">
        <v>1125110</v>
      </c>
      <c r="M1936">
        <v>581</v>
      </c>
      <c r="N1936" t="s">
        <v>4341</v>
      </c>
    </row>
    <row r="1937" spans="1:14" x14ac:dyDescent="0.25">
      <c r="A1937">
        <v>8504445</v>
      </c>
      <c r="B1937" t="s">
        <v>4342</v>
      </c>
      <c r="C1937" t="s">
        <v>101</v>
      </c>
      <c r="D1937" t="s">
        <v>86</v>
      </c>
      <c r="E1937" t="s">
        <v>87</v>
      </c>
      <c r="F1937" t="s">
        <v>4244</v>
      </c>
      <c r="G1937">
        <v>5409</v>
      </c>
      <c r="H1937" t="s">
        <v>4251</v>
      </c>
      <c r="I1937" t="s">
        <v>103</v>
      </c>
      <c r="K1937">
        <v>2566897</v>
      </c>
      <c r="L1937">
        <v>1124800</v>
      </c>
      <c r="M1937">
        <v>467</v>
      </c>
      <c r="N1937" t="s">
        <v>4343</v>
      </c>
    </row>
    <row r="1938" spans="1:14" x14ac:dyDescent="0.25">
      <c r="A1938">
        <v>8510587</v>
      </c>
      <c r="B1938" t="s">
        <v>4344</v>
      </c>
      <c r="C1938" t="s">
        <v>101</v>
      </c>
      <c r="D1938" t="s">
        <v>86</v>
      </c>
      <c r="E1938" t="s">
        <v>87</v>
      </c>
      <c r="F1938" t="s">
        <v>4244</v>
      </c>
      <c r="G1938">
        <v>5409</v>
      </c>
      <c r="H1938" t="s">
        <v>4328</v>
      </c>
      <c r="I1938" t="s">
        <v>103</v>
      </c>
      <c r="K1938">
        <v>2570736</v>
      </c>
      <c r="L1938">
        <v>1126708</v>
      </c>
      <c r="M1938">
        <v>1292.5</v>
      </c>
      <c r="N1938" t="s">
        <v>4345</v>
      </c>
    </row>
    <row r="1939" spans="1:14" x14ac:dyDescent="0.25">
      <c r="A1939">
        <v>8510588</v>
      </c>
      <c r="B1939" t="s">
        <v>4346</v>
      </c>
      <c r="C1939" t="s">
        <v>101</v>
      </c>
      <c r="D1939" t="s">
        <v>86</v>
      </c>
      <c r="E1939" t="s">
        <v>87</v>
      </c>
      <c r="F1939" t="s">
        <v>4244</v>
      </c>
      <c r="G1939">
        <v>5409</v>
      </c>
      <c r="H1939" t="s">
        <v>4247</v>
      </c>
      <c r="I1939" t="s">
        <v>103</v>
      </c>
      <c r="K1939">
        <v>2570494</v>
      </c>
      <c r="L1939">
        <v>1126874</v>
      </c>
      <c r="M1939">
        <v>1252.8</v>
      </c>
      <c r="N1939" t="s">
        <v>4347</v>
      </c>
    </row>
    <row r="1940" spans="1:14" x14ac:dyDescent="0.25">
      <c r="A1940">
        <v>8510591</v>
      </c>
      <c r="B1940" t="s">
        <v>4348</v>
      </c>
      <c r="C1940" t="s">
        <v>101</v>
      </c>
      <c r="D1940" t="s">
        <v>86</v>
      </c>
      <c r="E1940" t="s">
        <v>87</v>
      </c>
      <c r="F1940" t="s">
        <v>4244</v>
      </c>
      <c r="G1940">
        <v>5409</v>
      </c>
      <c r="H1940" t="s">
        <v>4268</v>
      </c>
      <c r="I1940" t="s">
        <v>103</v>
      </c>
      <c r="K1940">
        <v>2568439</v>
      </c>
      <c r="L1940">
        <v>1127838</v>
      </c>
      <c r="M1940">
        <v>1288.5999999999999</v>
      </c>
      <c r="N1940" t="s">
        <v>4349</v>
      </c>
    </row>
    <row r="1941" spans="1:14" x14ac:dyDescent="0.25">
      <c r="A1941">
        <v>8510819</v>
      </c>
      <c r="B1941" t="s">
        <v>4350</v>
      </c>
      <c r="C1941" t="s">
        <v>101</v>
      </c>
      <c r="D1941" t="s">
        <v>86</v>
      </c>
      <c r="E1941" t="s">
        <v>87</v>
      </c>
      <c r="F1941" t="s">
        <v>4244</v>
      </c>
      <c r="G1941">
        <v>5409</v>
      </c>
      <c r="H1941" t="s">
        <v>4251</v>
      </c>
      <c r="I1941" t="s">
        <v>103</v>
      </c>
      <c r="K1941">
        <v>2564318</v>
      </c>
      <c r="L1941">
        <v>1127957</v>
      </c>
      <c r="M1941">
        <v>402</v>
      </c>
      <c r="N1941" t="s">
        <v>4351</v>
      </c>
    </row>
    <row r="1942" spans="1:14" x14ac:dyDescent="0.25">
      <c r="A1942">
        <v>8511065</v>
      </c>
      <c r="B1942" t="s">
        <v>4352</v>
      </c>
      <c r="C1942" t="s">
        <v>101</v>
      </c>
      <c r="D1942" t="s">
        <v>86</v>
      </c>
      <c r="E1942" t="s">
        <v>87</v>
      </c>
      <c r="F1942" t="s">
        <v>4244</v>
      </c>
      <c r="G1942">
        <v>5409</v>
      </c>
      <c r="H1942" t="s">
        <v>4268</v>
      </c>
      <c r="I1942" t="s">
        <v>103</v>
      </c>
      <c r="K1942">
        <v>2569157.18787</v>
      </c>
      <c r="L1942">
        <v>1127916.6410099999</v>
      </c>
      <c r="M1942">
        <v>1263</v>
      </c>
      <c r="N1942" t="s">
        <v>4353</v>
      </c>
    </row>
    <row r="1943" spans="1:14" x14ac:dyDescent="0.25">
      <c r="A1943">
        <v>8530043</v>
      </c>
      <c r="B1943" t="s">
        <v>4354</v>
      </c>
      <c r="C1943" t="s">
        <v>2214</v>
      </c>
      <c r="D1943" t="s">
        <v>1036</v>
      </c>
      <c r="E1943" t="s">
        <v>87</v>
      </c>
      <c r="F1943" t="s">
        <v>4244</v>
      </c>
      <c r="G1943">
        <v>5409</v>
      </c>
      <c r="H1943" t="s">
        <v>4247</v>
      </c>
      <c r="I1943" t="s">
        <v>2215</v>
      </c>
      <c r="J1943" t="s">
        <v>4355</v>
      </c>
      <c r="K1943">
        <v>2571139</v>
      </c>
      <c r="L1943">
        <v>1130146</v>
      </c>
      <c r="M1943">
        <v>1952</v>
      </c>
      <c r="N1943" t="s">
        <v>4356</v>
      </c>
    </row>
    <row r="1944" spans="1:14" x14ac:dyDescent="0.25">
      <c r="A1944">
        <v>8530045</v>
      </c>
      <c r="B1944" t="s">
        <v>4357</v>
      </c>
      <c r="C1944" t="s">
        <v>4297</v>
      </c>
      <c r="D1944" t="s">
        <v>692</v>
      </c>
      <c r="E1944" t="s">
        <v>87</v>
      </c>
      <c r="F1944" t="s">
        <v>4244</v>
      </c>
      <c r="G1944">
        <v>5409</v>
      </c>
      <c r="H1944" t="s">
        <v>4247</v>
      </c>
      <c r="I1944" t="s">
        <v>4358</v>
      </c>
      <c r="J1944" t="s">
        <v>4359</v>
      </c>
      <c r="K1944">
        <v>2570976</v>
      </c>
      <c r="L1944">
        <v>1130646</v>
      </c>
      <c r="M1944">
        <v>2101</v>
      </c>
      <c r="N1944" t="s">
        <v>4360</v>
      </c>
    </row>
    <row r="1945" spans="1:14" x14ac:dyDescent="0.25">
      <c r="A1945">
        <v>8570607</v>
      </c>
      <c r="B1945" t="s">
        <v>4361</v>
      </c>
      <c r="C1945" t="s">
        <v>101</v>
      </c>
      <c r="D1945" t="s">
        <v>86</v>
      </c>
      <c r="E1945" t="s">
        <v>87</v>
      </c>
      <c r="F1945" t="s">
        <v>4244</v>
      </c>
      <c r="G1945">
        <v>5409</v>
      </c>
      <c r="H1945" t="s">
        <v>4251</v>
      </c>
      <c r="I1945" t="s">
        <v>103</v>
      </c>
      <c r="K1945">
        <v>2565688</v>
      </c>
      <c r="L1945">
        <v>1127370</v>
      </c>
      <c r="M1945">
        <v>467</v>
      </c>
      <c r="N1945" t="s">
        <v>4362</v>
      </c>
    </row>
    <row r="1946" spans="1:14" x14ac:dyDescent="0.25">
      <c r="A1946">
        <v>8570611</v>
      </c>
      <c r="B1946" t="s">
        <v>4363</v>
      </c>
      <c r="C1946" t="s">
        <v>101</v>
      </c>
      <c r="D1946" t="s">
        <v>86</v>
      </c>
      <c r="E1946" t="s">
        <v>87</v>
      </c>
      <c r="F1946" t="s">
        <v>4244</v>
      </c>
      <c r="G1946">
        <v>5409</v>
      </c>
      <c r="H1946" t="s">
        <v>4294</v>
      </c>
      <c r="I1946" t="s">
        <v>103</v>
      </c>
      <c r="K1946">
        <v>2566844</v>
      </c>
      <c r="L1946">
        <v>1128691</v>
      </c>
      <c r="M1946">
        <v>849</v>
      </c>
      <c r="N1946" t="s">
        <v>4364</v>
      </c>
    </row>
    <row r="1947" spans="1:14" x14ac:dyDescent="0.25">
      <c r="A1947">
        <v>8510069</v>
      </c>
      <c r="B1947" t="s">
        <v>4365</v>
      </c>
      <c r="C1947" t="s">
        <v>101</v>
      </c>
      <c r="D1947" t="s">
        <v>86</v>
      </c>
      <c r="E1947" t="s">
        <v>87</v>
      </c>
      <c r="F1947" t="s">
        <v>4244</v>
      </c>
      <c r="G1947">
        <v>5409</v>
      </c>
      <c r="H1947" t="s">
        <v>4268</v>
      </c>
      <c r="I1947" t="s">
        <v>103</v>
      </c>
      <c r="K1947">
        <v>2570109.2482500002</v>
      </c>
      <c r="L1947">
        <v>1127854.5805899999</v>
      </c>
      <c r="M1947">
        <v>1237</v>
      </c>
      <c r="N1947" t="s">
        <v>4366</v>
      </c>
    </row>
    <row r="1948" spans="1:14" x14ac:dyDescent="0.25">
      <c r="A1948">
        <v>8510592</v>
      </c>
      <c r="B1948" t="s">
        <v>4367</v>
      </c>
      <c r="C1948" t="s">
        <v>101</v>
      </c>
      <c r="D1948" t="s">
        <v>86</v>
      </c>
      <c r="E1948" t="s">
        <v>87</v>
      </c>
      <c r="F1948" t="s">
        <v>4244</v>
      </c>
      <c r="G1948">
        <v>5409</v>
      </c>
      <c r="H1948" t="s">
        <v>4268</v>
      </c>
      <c r="I1948" t="s">
        <v>103</v>
      </c>
      <c r="K1948">
        <v>2568299</v>
      </c>
      <c r="L1948">
        <v>1127965</v>
      </c>
      <c r="M1948">
        <v>1295.2</v>
      </c>
      <c r="N1948" t="s">
        <v>4368</v>
      </c>
    </row>
    <row r="1949" spans="1:14" x14ac:dyDescent="0.25">
      <c r="A1949">
        <v>8530050</v>
      </c>
      <c r="B1949" t="s">
        <v>4369</v>
      </c>
      <c r="C1949" t="s">
        <v>4297</v>
      </c>
      <c r="D1949" t="s">
        <v>692</v>
      </c>
      <c r="E1949" t="s">
        <v>87</v>
      </c>
      <c r="F1949" t="s">
        <v>4244</v>
      </c>
      <c r="G1949">
        <v>5409</v>
      </c>
      <c r="H1949" t="s">
        <v>4247</v>
      </c>
      <c r="I1949" t="s">
        <v>4317</v>
      </c>
      <c r="J1949" t="s">
        <v>4370</v>
      </c>
      <c r="K1949">
        <v>2572240</v>
      </c>
      <c r="L1949">
        <v>1130755</v>
      </c>
      <c r="M1949">
        <v>1719</v>
      </c>
      <c r="N1949" t="s">
        <v>4371</v>
      </c>
    </row>
    <row r="1950" spans="1:14" x14ac:dyDescent="0.25">
      <c r="A1950">
        <v>8509508</v>
      </c>
      <c r="B1950" t="s">
        <v>4372</v>
      </c>
      <c r="C1950" t="s">
        <v>101</v>
      </c>
      <c r="D1950" t="s">
        <v>86</v>
      </c>
      <c r="E1950" t="s">
        <v>87</v>
      </c>
      <c r="F1950" t="s">
        <v>4244</v>
      </c>
      <c r="G1950">
        <v>5409</v>
      </c>
      <c r="H1950" t="s">
        <v>4243</v>
      </c>
      <c r="I1950" t="s">
        <v>103</v>
      </c>
      <c r="K1950">
        <v>2563911.0595</v>
      </c>
      <c r="L1950">
        <v>1126451.9249499999</v>
      </c>
      <c r="M1950">
        <v>392</v>
      </c>
      <c r="N1950" t="s">
        <v>4373</v>
      </c>
    </row>
    <row r="1951" spans="1:14" x14ac:dyDescent="0.25">
      <c r="A1951">
        <v>8510593</v>
      </c>
      <c r="B1951" t="s">
        <v>4374</v>
      </c>
      <c r="C1951" t="s">
        <v>101</v>
      </c>
      <c r="D1951" t="s">
        <v>86</v>
      </c>
      <c r="E1951" t="s">
        <v>87</v>
      </c>
      <c r="F1951" t="s">
        <v>4244</v>
      </c>
      <c r="G1951">
        <v>5409</v>
      </c>
      <c r="H1951" t="s">
        <v>4294</v>
      </c>
      <c r="I1951" t="s">
        <v>103</v>
      </c>
      <c r="K1951">
        <v>2567963</v>
      </c>
      <c r="L1951">
        <v>1129156</v>
      </c>
      <c r="M1951">
        <v>1223.8</v>
      </c>
      <c r="N1951" t="s">
        <v>4375</v>
      </c>
    </row>
    <row r="1952" spans="1:14" x14ac:dyDescent="0.25">
      <c r="A1952">
        <v>8510594</v>
      </c>
      <c r="B1952" t="s">
        <v>4376</v>
      </c>
      <c r="C1952" t="s">
        <v>101</v>
      </c>
      <c r="D1952" t="s">
        <v>86</v>
      </c>
      <c r="E1952" t="s">
        <v>87</v>
      </c>
      <c r="F1952" t="s">
        <v>4244</v>
      </c>
      <c r="G1952">
        <v>5409</v>
      </c>
      <c r="H1952" t="s">
        <v>4294</v>
      </c>
      <c r="I1952" t="s">
        <v>103</v>
      </c>
      <c r="K1952">
        <v>2568490</v>
      </c>
      <c r="L1952">
        <v>1130197</v>
      </c>
      <c r="M1952">
        <v>1159</v>
      </c>
      <c r="N1952" t="s">
        <v>4377</v>
      </c>
    </row>
    <row r="1953" spans="1:14" x14ac:dyDescent="0.25">
      <c r="A1953">
        <v>8510706</v>
      </c>
      <c r="B1953" t="s">
        <v>4378</v>
      </c>
      <c r="C1953" t="s">
        <v>101</v>
      </c>
      <c r="D1953" t="s">
        <v>86</v>
      </c>
      <c r="E1953" t="s">
        <v>87</v>
      </c>
      <c r="F1953" t="s">
        <v>4244</v>
      </c>
      <c r="G1953">
        <v>5409</v>
      </c>
      <c r="H1953" t="s">
        <v>4247</v>
      </c>
      <c r="I1953" t="s">
        <v>103</v>
      </c>
      <c r="K1953">
        <v>2573587.30693</v>
      </c>
      <c r="L1953">
        <v>1128506.81874</v>
      </c>
      <c r="M1953">
        <v>1432</v>
      </c>
      <c r="N1953" t="s">
        <v>4379</v>
      </c>
    </row>
    <row r="1954" spans="1:14" x14ac:dyDescent="0.25">
      <c r="A1954">
        <v>8511066</v>
      </c>
      <c r="B1954" t="s">
        <v>4380</v>
      </c>
      <c r="C1954" t="s">
        <v>101</v>
      </c>
      <c r="D1954" t="s">
        <v>86</v>
      </c>
      <c r="E1954" t="s">
        <v>87</v>
      </c>
      <c r="F1954" t="s">
        <v>4244</v>
      </c>
      <c r="G1954">
        <v>5409</v>
      </c>
      <c r="H1954" t="s">
        <v>4294</v>
      </c>
      <c r="I1954" t="s">
        <v>103</v>
      </c>
      <c r="K1954">
        <v>2567688.5407199999</v>
      </c>
      <c r="L1954">
        <v>1129475.0568299999</v>
      </c>
      <c r="M1954">
        <v>1052</v>
      </c>
      <c r="N1954" t="s">
        <v>4381</v>
      </c>
    </row>
    <row r="1955" spans="1:14" x14ac:dyDescent="0.25">
      <c r="A1955">
        <v>8510225</v>
      </c>
      <c r="B1955" t="s">
        <v>4382</v>
      </c>
      <c r="C1955" t="s">
        <v>101</v>
      </c>
      <c r="D1955" t="s">
        <v>86</v>
      </c>
      <c r="E1955" t="s">
        <v>87</v>
      </c>
      <c r="F1955" t="s">
        <v>4244</v>
      </c>
      <c r="G1955">
        <v>5409</v>
      </c>
      <c r="H1955" t="s">
        <v>4268</v>
      </c>
      <c r="I1955" t="s">
        <v>103</v>
      </c>
      <c r="K1955">
        <v>2569779.9349799999</v>
      </c>
      <c r="L1955">
        <v>1128159.0885000001</v>
      </c>
      <c r="M1955">
        <v>1270</v>
      </c>
      <c r="N1955" t="s">
        <v>4383</v>
      </c>
    </row>
    <row r="1956" spans="1:14" x14ac:dyDescent="0.25">
      <c r="A1956">
        <v>8510226</v>
      </c>
      <c r="B1956" t="s">
        <v>4384</v>
      </c>
      <c r="C1956" t="s">
        <v>101</v>
      </c>
      <c r="D1956" t="s">
        <v>86</v>
      </c>
      <c r="E1956" t="s">
        <v>87</v>
      </c>
      <c r="F1956" t="s">
        <v>4244</v>
      </c>
      <c r="G1956">
        <v>5409</v>
      </c>
      <c r="H1956" t="s">
        <v>4268</v>
      </c>
      <c r="I1956" t="s">
        <v>103</v>
      </c>
      <c r="K1956">
        <v>2569348.03412</v>
      </c>
      <c r="L1956">
        <v>1128017.08308</v>
      </c>
      <c r="M1956">
        <v>1255</v>
      </c>
      <c r="N1956" t="s">
        <v>4385</v>
      </c>
    </row>
    <row r="1957" spans="1:14" x14ac:dyDescent="0.25">
      <c r="A1957">
        <v>8501499</v>
      </c>
      <c r="B1957" t="s">
        <v>4386</v>
      </c>
      <c r="C1957" t="s">
        <v>111</v>
      </c>
      <c r="D1957" t="s">
        <v>112</v>
      </c>
      <c r="E1957" t="s">
        <v>87</v>
      </c>
      <c r="F1957" t="s">
        <v>4244</v>
      </c>
      <c r="G1957">
        <v>5409</v>
      </c>
      <c r="H1957" t="s">
        <v>4247</v>
      </c>
      <c r="I1957" t="s">
        <v>113</v>
      </c>
      <c r="K1957">
        <v>2571885.9369999999</v>
      </c>
      <c r="L1957">
        <v>1130124.8500000001</v>
      </c>
      <c r="M1957">
        <v>1808</v>
      </c>
      <c r="N1957" t="s">
        <v>4387</v>
      </c>
    </row>
    <row r="1958" spans="1:14" x14ac:dyDescent="0.25">
      <c r="A1958">
        <v>8504433</v>
      </c>
      <c r="B1958" t="s">
        <v>4388</v>
      </c>
      <c r="C1958" t="s">
        <v>101</v>
      </c>
      <c r="D1958" t="s">
        <v>86</v>
      </c>
      <c r="E1958" t="s">
        <v>87</v>
      </c>
      <c r="F1958" t="s">
        <v>4244</v>
      </c>
      <c r="G1958">
        <v>5409</v>
      </c>
      <c r="H1958" t="s">
        <v>4251</v>
      </c>
      <c r="I1958" t="s">
        <v>103</v>
      </c>
      <c r="K1958">
        <v>2565727</v>
      </c>
      <c r="L1958">
        <v>1126290</v>
      </c>
      <c r="M1958">
        <v>403</v>
      </c>
      <c r="N1958" t="s">
        <v>4389</v>
      </c>
    </row>
    <row r="1959" spans="1:14" x14ac:dyDescent="0.25">
      <c r="A1959">
        <v>8504434</v>
      </c>
      <c r="B1959" t="s">
        <v>4390</v>
      </c>
      <c r="C1959" t="s">
        <v>101</v>
      </c>
      <c r="D1959" t="s">
        <v>86</v>
      </c>
      <c r="E1959" t="s">
        <v>87</v>
      </c>
      <c r="F1959" t="s">
        <v>4244</v>
      </c>
      <c r="G1959">
        <v>5409</v>
      </c>
      <c r="H1959" t="s">
        <v>4251</v>
      </c>
      <c r="I1959" t="s">
        <v>103</v>
      </c>
      <c r="K1959">
        <v>2565908</v>
      </c>
      <c r="L1959">
        <v>1126769</v>
      </c>
      <c r="M1959">
        <v>425</v>
      </c>
      <c r="N1959" t="s">
        <v>4391</v>
      </c>
    </row>
    <row r="1960" spans="1:14" x14ac:dyDescent="0.25">
      <c r="A1960">
        <v>8504442</v>
      </c>
      <c r="B1960" t="s">
        <v>4392</v>
      </c>
      <c r="C1960" t="s">
        <v>101</v>
      </c>
      <c r="D1960" t="s">
        <v>86</v>
      </c>
      <c r="E1960" t="s">
        <v>87</v>
      </c>
      <c r="F1960" t="s">
        <v>4244</v>
      </c>
      <c r="G1960">
        <v>5409</v>
      </c>
      <c r="H1960" t="s">
        <v>4251</v>
      </c>
      <c r="I1960" t="s">
        <v>103</v>
      </c>
      <c r="K1960">
        <v>2567023</v>
      </c>
      <c r="L1960">
        <v>1125320</v>
      </c>
      <c r="M1960">
        <v>573</v>
      </c>
      <c r="N1960" t="s">
        <v>4393</v>
      </c>
    </row>
    <row r="1961" spans="1:14" x14ac:dyDescent="0.25">
      <c r="A1961">
        <v>8504444</v>
      </c>
      <c r="B1961" t="s">
        <v>4394</v>
      </c>
      <c r="C1961" t="s">
        <v>101</v>
      </c>
      <c r="D1961" t="s">
        <v>86</v>
      </c>
      <c r="E1961" t="s">
        <v>87</v>
      </c>
      <c r="F1961" t="s">
        <v>4244</v>
      </c>
      <c r="G1961">
        <v>5409</v>
      </c>
      <c r="H1961" t="s">
        <v>4251</v>
      </c>
      <c r="I1961" t="s">
        <v>103</v>
      </c>
      <c r="K1961">
        <v>2566827</v>
      </c>
      <c r="L1961">
        <v>1125254</v>
      </c>
      <c r="M1961">
        <v>500</v>
      </c>
      <c r="N1961" t="s">
        <v>4395</v>
      </c>
    </row>
    <row r="1962" spans="1:14" x14ac:dyDescent="0.25">
      <c r="A1962">
        <v>8508336</v>
      </c>
      <c r="B1962" t="s">
        <v>4396</v>
      </c>
      <c r="C1962" t="s">
        <v>101</v>
      </c>
      <c r="D1962" t="s">
        <v>86</v>
      </c>
      <c r="E1962" t="s">
        <v>87</v>
      </c>
      <c r="F1962" t="s">
        <v>4244</v>
      </c>
      <c r="G1962">
        <v>5409</v>
      </c>
      <c r="H1962" t="s">
        <v>4251</v>
      </c>
      <c r="I1962" t="s">
        <v>103</v>
      </c>
      <c r="K1962">
        <v>2566186</v>
      </c>
      <c r="L1962">
        <v>1124589</v>
      </c>
      <c r="M1962">
        <v>442</v>
      </c>
      <c r="N1962" t="s">
        <v>4397</v>
      </c>
    </row>
    <row r="1963" spans="1:14" x14ac:dyDescent="0.25">
      <c r="A1963">
        <v>8570610</v>
      </c>
      <c r="B1963" t="s">
        <v>4398</v>
      </c>
      <c r="C1963" t="s">
        <v>101</v>
      </c>
      <c r="D1963" t="s">
        <v>86</v>
      </c>
      <c r="E1963" t="s">
        <v>87</v>
      </c>
      <c r="F1963" t="s">
        <v>4244</v>
      </c>
      <c r="G1963">
        <v>5409</v>
      </c>
      <c r="H1963" t="s">
        <v>4251</v>
      </c>
      <c r="I1963" t="s">
        <v>103</v>
      </c>
      <c r="K1963">
        <v>2566360</v>
      </c>
      <c r="L1963">
        <v>1128461</v>
      </c>
      <c r="M1963">
        <v>788</v>
      </c>
      <c r="N1963" t="s">
        <v>4399</v>
      </c>
    </row>
    <row r="1964" spans="1:14" x14ac:dyDescent="0.25">
      <c r="A1964">
        <v>8570608</v>
      </c>
      <c r="B1964" t="s">
        <v>4400</v>
      </c>
      <c r="C1964" t="s">
        <v>101</v>
      </c>
      <c r="D1964" t="s">
        <v>86</v>
      </c>
      <c r="E1964" t="s">
        <v>87</v>
      </c>
      <c r="F1964" t="s">
        <v>4244</v>
      </c>
      <c r="G1964">
        <v>5409</v>
      </c>
      <c r="H1964" t="s">
        <v>4251</v>
      </c>
      <c r="I1964" t="s">
        <v>103</v>
      </c>
      <c r="K1964">
        <v>2566151</v>
      </c>
      <c r="L1964">
        <v>1127489</v>
      </c>
      <c r="M1964">
        <v>525</v>
      </c>
      <c r="N1964" t="s">
        <v>4401</v>
      </c>
    </row>
    <row r="1965" spans="1:14" x14ac:dyDescent="0.25">
      <c r="A1965">
        <v>8530355</v>
      </c>
      <c r="B1965" t="s">
        <v>4402</v>
      </c>
      <c r="C1965" t="s">
        <v>111</v>
      </c>
      <c r="D1965" t="s">
        <v>112</v>
      </c>
      <c r="E1965" t="s">
        <v>87</v>
      </c>
      <c r="F1965" t="s">
        <v>4244</v>
      </c>
      <c r="G1965">
        <v>5409</v>
      </c>
      <c r="H1965" t="s">
        <v>4251</v>
      </c>
      <c r="I1965" t="s">
        <v>113</v>
      </c>
      <c r="K1965">
        <v>2565946.9759999998</v>
      </c>
      <c r="L1965">
        <v>1126788.808</v>
      </c>
      <c r="M1965">
        <v>430.09899999999999</v>
      </c>
      <c r="N1965" t="s">
        <v>4403</v>
      </c>
    </row>
    <row r="1966" spans="1:14" x14ac:dyDescent="0.25">
      <c r="A1966">
        <v>8570612</v>
      </c>
      <c r="B1966" t="s">
        <v>4404</v>
      </c>
      <c r="C1966" t="s">
        <v>101</v>
      </c>
      <c r="D1966" t="s">
        <v>86</v>
      </c>
      <c r="E1966" t="s">
        <v>87</v>
      </c>
      <c r="F1966" t="s">
        <v>4244</v>
      </c>
      <c r="G1966">
        <v>5409</v>
      </c>
      <c r="H1966" t="s">
        <v>4294</v>
      </c>
      <c r="I1966" t="s">
        <v>103</v>
      </c>
      <c r="K1966">
        <v>2567079</v>
      </c>
      <c r="L1966">
        <v>1128937</v>
      </c>
      <c r="M1966">
        <v>916</v>
      </c>
      <c r="N1966" t="s">
        <v>4405</v>
      </c>
    </row>
    <row r="1967" spans="1:14" x14ac:dyDescent="0.25">
      <c r="A1967">
        <v>8579132</v>
      </c>
      <c r="B1967" t="s">
        <v>4406</v>
      </c>
      <c r="C1967" t="s">
        <v>101</v>
      </c>
      <c r="D1967" t="s">
        <v>86</v>
      </c>
      <c r="E1967" t="s">
        <v>87</v>
      </c>
      <c r="F1967" t="s">
        <v>4244</v>
      </c>
      <c r="G1967">
        <v>5409</v>
      </c>
      <c r="H1967" t="s">
        <v>4251</v>
      </c>
      <c r="I1967" t="s">
        <v>103</v>
      </c>
      <c r="K1967">
        <v>2566299</v>
      </c>
      <c r="L1967">
        <v>1127008</v>
      </c>
      <c r="M1967">
        <v>549</v>
      </c>
      <c r="N1967" t="s">
        <v>4407</v>
      </c>
    </row>
    <row r="1968" spans="1:14" x14ac:dyDescent="0.25">
      <c r="A1968">
        <v>8579120</v>
      </c>
      <c r="B1968" t="s">
        <v>4408</v>
      </c>
      <c r="C1968" t="s">
        <v>101</v>
      </c>
      <c r="D1968" t="s">
        <v>86</v>
      </c>
      <c r="E1968" t="s">
        <v>87</v>
      </c>
      <c r="F1968" t="s">
        <v>4244</v>
      </c>
      <c r="G1968">
        <v>5409</v>
      </c>
      <c r="H1968" t="s">
        <v>4247</v>
      </c>
      <c r="I1968" t="s">
        <v>103</v>
      </c>
      <c r="J1968" t="s">
        <v>4304</v>
      </c>
      <c r="K1968">
        <v>2573381</v>
      </c>
      <c r="L1968">
        <v>1128426</v>
      </c>
      <c r="M1968">
        <v>1424</v>
      </c>
      <c r="N1968" t="s">
        <v>4409</v>
      </c>
    </row>
    <row r="1969" spans="1:14" x14ac:dyDescent="0.25">
      <c r="A1969">
        <v>8579121</v>
      </c>
      <c r="B1969" t="s">
        <v>4410</v>
      </c>
      <c r="C1969" t="s">
        <v>101</v>
      </c>
      <c r="D1969" t="s">
        <v>86</v>
      </c>
      <c r="E1969" t="s">
        <v>87</v>
      </c>
      <c r="F1969" t="s">
        <v>4244</v>
      </c>
      <c r="G1969">
        <v>5409</v>
      </c>
      <c r="H1969" t="s">
        <v>4247</v>
      </c>
      <c r="I1969" t="s">
        <v>103</v>
      </c>
      <c r="J1969" t="s">
        <v>4304</v>
      </c>
      <c r="K1969">
        <v>2575399</v>
      </c>
      <c r="L1969">
        <v>1129645</v>
      </c>
      <c r="M1969">
        <v>1631</v>
      </c>
      <c r="N1969" t="s">
        <v>4411</v>
      </c>
    </row>
    <row r="1970" spans="1:14" x14ac:dyDescent="0.25">
      <c r="A1970">
        <v>8510586</v>
      </c>
      <c r="B1970" t="s">
        <v>4412</v>
      </c>
      <c r="C1970" t="s">
        <v>101</v>
      </c>
      <c r="D1970" t="s">
        <v>86</v>
      </c>
      <c r="E1970" t="s">
        <v>87</v>
      </c>
      <c r="F1970" t="s">
        <v>4244</v>
      </c>
      <c r="G1970">
        <v>5409</v>
      </c>
      <c r="H1970" t="s">
        <v>4328</v>
      </c>
      <c r="I1970" t="s">
        <v>103</v>
      </c>
      <c r="K1970">
        <v>2571044</v>
      </c>
      <c r="L1970">
        <v>1126715</v>
      </c>
      <c r="M1970">
        <v>1230.7</v>
      </c>
      <c r="N1970" t="s">
        <v>4413</v>
      </c>
    </row>
    <row r="1971" spans="1:14" x14ac:dyDescent="0.25">
      <c r="A1971">
        <v>8511118</v>
      </c>
      <c r="B1971" t="s">
        <v>4414</v>
      </c>
      <c r="C1971" t="s">
        <v>101</v>
      </c>
      <c r="D1971" t="s">
        <v>86</v>
      </c>
      <c r="E1971" t="s">
        <v>87</v>
      </c>
      <c r="F1971" t="s">
        <v>4244</v>
      </c>
      <c r="G1971">
        <v>5409</v>
      </c>
      <c r="H1971" t="s">
        <v>4328</v>
      </c>
      <c r="I1971" t="s">
        <v>103</v>
      </c>
      <c r="K1971">
        <v>2571433</v>
      </c>
      <c r="L1971">
        <v>1126382</v>
      </c>
      <c r="M1971">
        <v>1220</v>
      </c>
      <c r="N1971" t="s">
        <v>4415</v>
      </c>
    </row>
    <row r="1972" spans="1:14" x14ac:dyDescent="0.25">
      <c r="A1972">
        <v>8511063</v>
      </c>
      <c r="B1972" t="s">
        <v>4416</v>
      </c>
      <c r="C1972" t="s">
        <v>101</v>
      </c>
      <c r="D1972" t="s">
        <v>86</v>
      </c>
      <c r="E1972" t="s">
        <v>87</v>
      </c>
      <c r="F1972" t="s">
        <v>4244</v>
      </c>
      <c r="G1972">
        <v>5409</v>
      </c>
      <c r="H1972" t="s">
        <v>4294</v>
      </c>
      <c r="I1972" t="s">
        <v>103</v>
      </c>
      <c r="K1972">
        <v>2567537.6842</v>
      </c>
      <c r="L1972">
        <v>1128959.2346600001</v>
      </c>
      <c r="M1972">
        <v>996</v>
      </c>
      <c r="N1972" t="s">
        <v>4417</v>
      </c>
    </row>
    <row r="1973" spans="1:14" x14ac:dyDescent="0.25">
      <c r="A1973">
        <v>8511064</v>
      </c>
      <c r="B1973" t="s">
        <v>4418</v>
      </c>
      <c r="C1973" t="s">
        <v>101</v>
      </c>
      <c r="D1973" t="s">
        <v>86</v>
      </c>
      <c r="E1973" t="s">
        <v>87</v>
      </c>
      <c r="F1973" t="s">
        <v>4244</v>
      </c>
      <c r="G1973">
        <v>5409</v>
      </c>
      <c r="H1973" t="s">
        <v>4294</v>
      </c>
      <c r="I1973" t="s">
        <v>103</v>
      </c>
      <c r="K1973">
        <v>2566746.06122</v>
      </c>
      <c r="L1973">
        <v>1128840.7666499999</v>
      </c>
      <c r="M1973">
        <v>883</v>
      </c>
      <c r="N1973" t="s">
        <v>4419</v>
      </c>
    </row>
    <row r="1974" spans="1:14" x14ac:dyDescent="0.25">
      <c r="A1974">
        <v>8530047</v>
      </c>
      <c r="B1974" t="s">
        <v>4420</v>
      </c>
      <c r="C1974" t="s">
        <v>4297</v>
      </c>
      <c r="D1974" t="s">
        <v>692</v>
      </c>
      <c r="E1974" t="s">
        <v>87</v>
      </c>
      <c r="F1974" t="s">
        <v>4244</v>
      </c>
      <c r="G1974">
        <v>5409</v>
      </c>
      <c r="H1974" t="s">
        <v>4247</v>
      </c>
      <c r="I1974" t="s">
        <v>4421</v>
      </c>
      <c r="J1974" t="s">
        <v>4422</v>
      </c>
      <c r="K1974">
        <v>2572686</v>
      </c>
      <c r="L1974">
        <v>1129975</v>
      </c>
      <c r="M1974">
        <v>1972</v>
      </c>
      <c r="N1974" t="s">
        <v>4423</v>
      </c>
    </row>
    <row r="1975" spans="1:14" x14ac:dyDescent="0.25">
      <c r="A1975">
        <v>8530053</v>
      </c>
      <c r="B1975" t="s">
        <v>4424</v>
      </c>
      <c r="C1975" t="s">
        <v>4297</v>
      </c>
      <c r="D1975" t="s">
        <v>692</v>
      </c>
      <c r="E1975" t="s">
        <v>87</v>
      </c>
      <c r="F1975" t="s">
        <v>4244</v>
      </c>
      <c r="G1975">
        <v>5409</v>
      </c>
      <c r="H1975" t="s">
        <v>4247</v>
      </c>
      <c r="I1975" t="s">
        <v>4298</v>
      </c>
      <c r="J1975" t="s">
        <v>4425</v>
      </c>
      <c r="K1975">
        <v>2571384</v>
      </c>
      <c r="L1975">
        <v>1131192</v>
      </c>
      <c r="M1975">
        <v>2031</v>
      </c>
      <c r="N1975" t="s">
        <v>4426</v>
      </c>
    </row>
    <row r="1976" spans="1:14" x14ac:dyDescent="0.25">
      <c r="A1976">
        <v>8530042</v>
      </c>
      <c r="B1976" t="s">
        <v>4427</v>
      </c>
      <c r="C1976" t="s">
        <v>2214</v>
      </c>
      <c r="D1976" t="s">
        <v>1036</v>
      </c>
      <c r="E1976" t="s">
        <v>87</v>
      </c>
      <c r="F1976" t="s">
        <v>4244</v>
      </c>
      <c r="G1976">
        <v>5409</v>
      </c>
      <c r="H1976" t="s">
        <v>4268</v>
      </c>
      <c r="I1976" t="s">
        <v>2215</v>
      </c>
      <c r="J1976" t="s">
        <v>4428</v>
      </c>
      <c r="K1976">
        <v>2570440</v>
      </c>
      <c r="L1976">
        <v>1128100</v>
      </c>
      <c r="M1976">
        <v>1252</v>
      </c>
      <c r="N1976" t="s">
        <v>4429</v>
      </c>
    </row>
    <row r="1977" spans="1:14" x14ac:dyDescent="0.25">
      <c r="A1977">
        <v>8530046</v>
      </c>
      <c r="B1977" t="s">
        <v>4430</v>
      </c>
      <c r="C1977" t="s">
        <v>4297</v>
      </c>
      <c r="D1977" t="s">
        <v>692</v>
      </c>
      <c r="E1977" t="s">
        <v>87</v>
      </c>
      <c r="F1977" t="s">
        <v>4244</v>
      </c>
      <c r="G1977">
        <v>5409</v>
      </c>
      <c r="H1977" t="s">
        <v>4247</v>
      </c>
      <c r="I1977" t="s">
        <v>4421</v>
      </c>
      <c r="J1977" t="s">
        <v>4431</v>
      </c>
      <c r="K1977">
        <v>2573097</v>
      </c>
      <c r="L1977">
        <v>1127880</v>
      </c>
      <c r="M1977">
        <v>1347</v>
      </c>
      <c r="N1977" t="s">
        <v>4432</v>
      </c>
    </row>
    <row r="1978" spans="1:14" x14ac:dyDescent="0.25">
      <c r="A1978">
        <v>8530044</v>
      </c>
      <c r="B1978" t="s">
        <v>4433</v>
      </c>
      <c r="C1978" t="s">
        <v>4297</v>
      </c>
      <c r="D1978" t="s">
        <v>692</v>
      </c>
      <c r="E1978" t="s">
        <v>87</v>
      </c>
      <c r="F1978" t="s">
        <v>4244</v>
      </c>
      <c r="G1978">
        <v>5409</v>
      </c>
      <c r="H1978" t="s">
        <v>4247</v>
      </c>
      <c r="I1978" t="s">
        <v>4358</v>
      </c>
      <c r="J1978" t="s">
        <v>4434</v>
      </c>
      <c r="K1978">
        <v>2571843</v>
      </c>
      <c r="L1978">
        <v>1129985</v>
      </c>
      <c r="M1978">
        <v>1783</v>
      </c>
      <c r="N1978" t="s">
        <v>4435</v>
      </c>
    </row>
    <row r="1979" spans="1:14" x14ac:dyDescent="0.25">
      <c r="A1979">
        <v>8531178</v>
      </c>
      <c r="B1979" t="s">
        <v>4436</v>
      </c>
      <c r="C1979" t="s">
        <v>2214</v>
      </c>
      <c r="D1979" t="s">
        <v>692</v>
      </c>
      <c r="E1979" t="s">
        <v>87</v>
      </c>
      <c r="F1979" t="s">
        <v>4244</v>
      </c>
      <c r="G1979">
        <v>5409</v>
      </c>
      <c r="H1979" t="s">
        <v>4247</v>
      </c>
      <c r="I1979" t="s">
        <v>2215</v>
      </c>
      <c r="J1979" t="s">
        <v>4437</v>
      </c>
      <c r="K1979">
        <v>2573014</v>
      </c>
      <c r="L1979">
        <v>1130586</v>
      </c>
      <c r="M1979">
        <v>1829</v>
      </c>
      <c r="N1979" t="s">
        <v>4438</v>
      </c>
    </row>
    <row r="1980" spans="1:14" x14ac:dyDescent="0.25">
      <c r="A1980">
        <v>8570609</v>
      </c>
      <c r="B1980" t="s">
        <v>4439</v>
      </c>
      <c r="C1980" t="s">
        <v>101</v>
      </c>
      <c r="D1980" t="s">
        <v>86</v>
      </c>
      <c r="E1980" t="s">
        <v>87</v>
      </c>
      <c r="F1980" t="s">
        <v>4244</v>
      </c>
      <c r="G1980">
        <v>5409</v>
      </c>
      <c r="H1980" t="s">
        <v>4251</v>
      </c>
      <c r="I1980" t="s">
        <v>103</v>
      </c>
      <c r="K1980">
        <v>2566221</v>
      </c>
      <c r="L1980">
        <v>1128053</v>
      </c>
      <c r="M1980">
        <v>647</v>
      </c>
      <c r="N1980" t="s">
        <v>4440</v>
      </c>
    </row>
    <row r="1981" spans="1:14" x14ac:dyDescent="0.25">
      <c r="A1981">
        <v>8570613</v>
      </c>
      <c r="B1981" t="s">
        <v>4441</v>
      </c>
      <c r="C1981" t="s">
        <v>101</v>
      </c>
      <c r="D1981" t="s">
        <v>86</v>
      </c>
      <c r="E1981" t="s">
        <v>87</v>
      </c>
      <c r="F1981" t="s">
        <v>4244</v>
      </c>
      <c r="G1981">
        <v>5409</v>
      </c>
      <c r="H1981" t="s">
        <v>4294</v>
      </c>
      <c r="I1981" t="s">
        <v>103</v>
      </c>
      <c r="K1981">
        <v>2567430</v>
      </c>
      <c r="L1981">
        <v>1128853</v>
      </c>
      <c r="M1981">
        <v>951</v>
      </c>
      <c r="N1981" t="s">
        <v>4442</v>
      </c>
    </row>
    <row r="1982" spans="1:14" x14ac:dyDescent="0.25">
      <c r="A1982">
        <v>8501459</v>
      </c>
      <c r="B1982" t="s">
        <v>4443</v>
      </c>
      <c r="C1982" t="s">
        <v>111</v>
      </c>
      <c r="D1982" t="s">
        <v>112</v>
      </c>
      <c r="E1982" t="s">
        <v>87</v>
      </c>
      <c r="F1982" t="s">
        <v>4244</v>
      </c>
      <c r="G1982">
        <v>5409</v>
      </c>
      <c r="H1982" t="s">
        <v>4251</v>
      </c>
      <c r="I1982" t="s">
        <v>113</v>
      </c>
      <c r="K1982">
        <v>2564345.84</v>
      </c>
      <c r="L1982">
        <v>1127954.3400000001</v>
      </c>
      <c r="M1982">
        <v>403.24</v>
      </c>
      <c r="N1982" t="s">
        <v>4444</v>
      </c>
    </row>
    <row r="1983" spans="1:14" x14ac:dyDescent="0.25">
      <c r="A1983">
        <v>8501461</v>
      </c>
      <c r="B1983" t="s">
        <v>4251</v>
      </c>
      <c r="C1983" t="s">
        <v>111</v>
      </c>
      <c r="D1983" t="s">
        <v>112</v>
      </c>
      <c r="E1983" t="s">
        <v>87</v>
      </c>
      <c r="F1983" t="s">
        <v>4244</v>
      </c>
      <c r="G1983">
        <v>5409</v>
      </c>
      <c r="H1983" t="s">
        <v>4251</v>
      </c>
      <c r="I1983" t="s">
        <v>113</v>
      </c>
      <c r="K1983">
        <v>2565677.15</v>
      </c>
      <c r="L1983">
        <v>1127352.7960000001</v>
      </c>
      <c r="M1983">
        <v>464.84300000000002</v>
      </c>
      <c r="N1983" t="s">
        <v>4445</v>
      </c>
    </row>
    <row r="1984" spans="1:14" x14ac:dyDescent="0.25">
      <c r="A1984">
        <v>8501494</v>
      </c>
      <c r="B1984" t="s">
        <v>4328</v>
      </c>
      <c r="C1984" t="s">
        <v>111</v>
      </c>
      <c r="D1984" t="s">
        <v>112</v>
      </c>
      <c r="E1984" t="s">
        <v>87</v>
      </c>
      <c r="F1984" t="s">
        <v>4244</v>
      </c>
      <c r="G1984">
        <v>5409</v>
      </c>
      <c r="H1984" t="s">
        <v>4328</v>
      </c>
      <c r="I1984" t="s">
        <v>113</v>
      </c>
      <c r="K1984">
        <v>2571028.514</v>
      </c>
      <c r="L1984">
        <v>1126718.325</v>
      </c>
      <c r="M1984">
        <v>1231.2</v>
      </c>
      <c r="N1984" t="s">
        <v>4446</v>
      </c>
    </row>
    <row r="1985" spans="1:14" x14ac:dyDescent="0.25">
      <c r="A1985">
        <v>8501558</v>
      </c>
      <c r="B1985" t="s">
        <v>4447</v>
      </c>
      <c r="C1985" t="s">
        <v>101</v>
      </c>
      <c r="D1985" t="s">
        <v>86</v>
      </c>
      <c r="E1985" t="s">
        <v>87</v>
      </c>
      <c r="F1985" t="s">
        <v>4244</v>
      </c>
      <c r="G1985">
        <v>5409</v>
      </c>
      <c r="H1985" t="s">
        <v>4251</v>
      </c>
      <c r="I1985" t="s">
        <v>103</v>
      </c>
      <c r="K1985">
        <v>2568325</v>
      </c>
      <c r="L1985">
        <v>1126268</v>
      </c>
      <c r="M1985">
        <v>855</v>
      </c>
      <c r="N1985" t="s">
        <v>4448</v>
      </c>
    </row>
    <row r="1986" spans="1:14" x14ac:dyDescent="0.25">
      <c r="A1986">
        <v>8501446</v>
      </c>
      <c r="B1986" t="s">
        <v>4449</v>
      </c>
      <c r="C1986" t="s">
        <v>111</v>
      </c>
      <c r="D1986" t="s">
        <v>112</v>
      </c>
      <c r="E1986" t="s">
        <v>87</v>
      </c>
      <c r="F1986" t="s">
        <v>4244</v>
      </c>
      <c r="G1986">
        <v>5409</v>
      </c>
      <c r="H1986" t="s">
        <v>4247</v>
      </c>
      <c r="I1986" t="s">
        <v>113</v>
      </c>
      <c r="K1986">
        <v>2572024.1170000001</v>
      </c>
      <c r="L1986">
        <v>1128700.165</v>
      </c>
      <c r="M1986">
        <v>1630.6</v>
      </c>
      <c r="N1986" t="s">
        <v>4450</v>
      </c>
    </row>
    <row r="1987" spans="1:14" x14ac:dyDescent="0.25">
      <c r="A1987">
        <v>8504447</v>
      </c>
      <c r="B1987" t="s">
        <v>4451</v>
      </c>
      <c r="C1987" t="s">
        <v>101</v>
      </c>
      <c r="D1987" t="s">
        <v>86</v>
      </c>
      <c r="E1987" t="s">
        <v>87</v>
      </c>
      <c r="F1987" t="s">
        <v>4244</v>
      </c>
      <c r="G1987">
        <v>5409</v>
      </c>
      <c r="H1987" t="s">
        <v>4251</v>
      </c>
      <c r="I1987" t="s">
        <v>103</v>
      </c>
      <c r="K1987">
        <v>2565943</v>
      </c>
      <c r="L1987">
        <v>1125846</v>
      </c>
      <c r="M1987">
        <v>411</v>
      </c>
      <c r="N1987" t="s">
        <v>4452</v>
      </c>
    </row>
    <row r="1988" spans="1:14" x14ac:dyDescent="0.25">
      <c r="A1988">
        <v>8501777</v>
      </c>
      <c r="B1988" t="s">
        <v>4453</v>
      </c>
      <c r="C1988" t="s">
        <v>101</v>
      </c>
      <c r="D1988" t="s">
        <v>86</v>
      </c>
      <c r="E1988" t="s">
        <v>87</v>
      </c>
      <c r="F1988" t="s">
        <v>4244</v>
      </c>
      <c r="G1988">
        <v>5409</v>
      </c>
      <c r="H1988" t="s">
        <v>4294</v>
      </c>
      <c r="I1988" t="s">
        <v>103</v>
      </c>
      <c r="K1988">
        <v>2567272</v>
      </c>
      <c r="L1988">
        <v>1128907</v>
      </c>
      <c r="M1988">
        <v>930</v>
      </c>
      <c r="N1988" t="s">
        <v>4454</v>
      </c>
    </row>
    <row r="1989" spans="1:14" x14ac:dyDescent="0.25">
      <c r="A1989">
        <v>8504689</v>
      </c>
      <c r="B1989" t="s">
        <v>4455</v>
      </c>
      <c r="C1989" t="s">
        <v>101</v>
      </c>
      <c r="D1989" t="s">
        <v>86</v>
      </c>
      <c r="E1989" t="s">
        <v>87</v>
      </c>
      <c r="F1989" t="s">
        <v>4244</v>
      </c>
      <c r="G1989">
        <v>5409</v>
      </c>
      <c r="H1989" t="s">
        <v>4251</v>
      </c>
      <c r="I1989" t="s">
        <v>103</v>
      </c>
      <c r="K1989">
        <v>2568200</v>
      </c>
      <c r="L1989">
        <v>1125900</v>
      </c>
      <c r="M1989">
        <v>850</v>
      </c>
      <c r="N1989" t="s">
        <v>4456</v>
      </c>
    </row>
    <row r="1990" spans="1:14" x14ac:dyDescent="0.25">
      <c r="A1990">
        <v>8504432</v>
      </c>
      <c r="B1990" t="s">
        <v>4457</v>
      </c>
      <c r="C1990" t="s">
        <v>101</v>
      </c>
      <c r="D1990" t="s">
        <v>86</v>
      </c>
      <c r="E1990" t="s">
        <v>87</v>
      </c>
      <c r="F1990" t="s">
        <v>4244</v>
      </c>
      <c r="G1990">
        <v>5409</v>
      </c>
      <c r="H1990" t="s">
        <v>4251</v>
      </c>
      <c r="I1990" t="s">
        <v>103</v>
      </c>
      <c r="K1990">
        <v>2565237.8354600002</v>
      </c>
      <c r="L1990">
        <v>1126725.3567300001</v>
      </c>
      <c r="M1990">
        <v>397.8</v>
      </c>
      <c r="N1990" t="s">
        <v>4458</v>
      </c>
    </row>
    <row r="1991" spans="1:14" x14ac:dyDescent="0.25">
      <c r="A1991">
        <v>8501557</v>
      </c>
      <c r="B1991" t="s">
        <v>4459</v>
      </c>
      <c r="C1991" t="s">
        <v>101</v>
      </c>
      <c r="D1991" t="s">
        <v>86</v>
      </c>
      <c r="E1991" t="s">
        <v>87</v>
      </c>
      <c r="F1991" t="s">
        <v>4244</v>
      </c>
      <c r="G1991">
        <v>5409</v>
      </c>
      <c r="H1991" t="s">
        <v>4271</v>
      </c>
      <c r="I1991" t="s">
        <v>103</v>
      </c>
      <c r="K1991">
        <v>2567989</v>
      </c>
      <c r="L1991">
        <v>1126617</v>
      </c>
      <c r="M1991">
        <v>1010</v>
      </c>
      <c r="N1991" t="s">
        <v>4460</v>
      </c>
    </row>
    <row r="1992" spans="1:14" x14ac:dyDescent="0.25">
      <c r="A1992">
        <v>8501458</v>
      </c>
      <c r="B1992" t="s">
        <v>4461</v>
      </c>
      <c r="C1992" t="s">
        <v>111</v>
      </c>
      <c r="D1992" t="s">
        <v>112</v>
      </c>
      <c r="E1992" t="s">
        <v>87</v>
      </c>
      <c r="F1992" t="s">
        <v>4244</v>
      </c>
      <c r="G1992">
        <v>5409</v>
      </c>
      <c r="H1992" t="s">
        <v>4251</v>
      </c>
      <c r="I1992" t="s">
        <v>113</v>
      </c>
      <c r="K1992">
        <v>2565756.23</v>
      </c>
      <c r="L1992">
        <v>1126257.368</v>
      </c>
      <c r="M1992">
        <v>404.25</v>
      </c>
      <c r="N1992" t="s">
        <v>4462</v>
      </c>
    </row>
    <row r="1993" spans="1:14" x14ac:dyDescent="0.25">
      <c r="A1993">
        <v>8510705</v>
      </c>
      <c r="B1993" t="s">
        <v>4463</v>
      </c>
      <c r="C1993" t="s">
        <v>101</v>
      </c>
      <c r="D1993" t="s">
        <v>86</v>
      </c>
      <c r="E1993" t="s">
        <v>87</v>
      </c>
      <c r="F1993" t="s">
        <v>4244</v>
      </c>
      <c r="G1993">
        <v>5409</v>
      </c>
      <c r="H1993" t="s">
        <v>4247</v>
      </c>
      <c r="I1993" t="s">
        <v>103</v>
      </c>
      <c r="K1993">
        <v>2570951</v>
      </c>
      <c r="L1993">
        <v>1127208</v>
      </c>
      <c r="M1993">
        <v>1305</v>
      </c>
      <c r="N1993" t="s">
        <v>4464</v>
      </c>
    </row>
    <row r="1994" spans="1:14" x14ac:dyDescent="0.25">
      <c r="A1994">
        <v>8511899</v>
      </c>
      <c r="B1994" t="s">
        <v>4465</v>
      </c>
      <c r="C1994" t="s">
        <v>132</v>
      </c>
      <c r="E1994" t="s">
        <v>87</v>
      </c>
      <c r="F1994" t="s">
        <v>4244</v>
      </c>
      <c r="G1994">
        <v>5409</v>
      </c>
      <c r="H1994" t="s">
        <v>4243</v>
      </c>
      <c r="I1994" t="s">
        <v>133</v>
      </c>
      <c r="K1994">
        <v>2563809.5887000002</v>
      </c>
      <c r="L1994">
        <v>1126853.0160000001</v>
      </c>
      <c r="M1994">
        <v>388.5</v>
      </c>
      <c r="N1994" t="s">
        <v>4466</v>
      </c>
    </row>
    <row r="1995" spans="1:14" x14ac:dyDescent="0.25">
      <c r="A1995">
        <v>8570615</v>
      </c>
      <c r="B1995" t="s">
        <v>4467</v>
      </c>
      <c r="C1995" t="s">
        <v>101</v>
      </c>
      <c r="D1995" t="s">
        <v>86</v>
      </c>
      <c r="E1995" t="s">
        <v>87</v>
      </c>
      <c r="F1995" t="s">
        <v>4244</v>
      </c>
      <c r="G1995">
        <v>5409</v>
      </c>
      <c r="H1995" t="s">
        <v>4294</v>
      </c>
      <c r="I1995" t="s">
        <v>103</v>
      </c>
      <c r="K1995">
        <v>2568440</v>
      </c>
      <c r="L1995">
        <v>1130327</v>
      </c>
      <c r="M1995">
        <v>1115</v>
      </c>
      <c r="N1995" t="s">
        <v>4468</v>
      </c>
    </row>
    <row r="1996" spans="1:14" x14ac:dyDescent="0.25">
      <c r="A1996">
        <v>8501705</v>
      </c>
      <c r="B1996" t="s">
        <v>4469</v>
      </c>
      <c r="C1996" t="s">
        <v>101</v>
      </c>
      <c r="D1996" t="s">
        <v>86</v>
      </c>
      <c r="E1996" t="s">
        <v>87</v>
      </c>
      <c r="F1996" t="s">
        <v>4244</v>
      </c>
      <c r="G1996">
        <v>5409</v>
      </c>
      <c r="H1996" t="s">
        <v>4247</v>
      </c>
      <c r="I1996" t="s">
        <v>103</v>
      </c>
      <c r="K1996">
        <v>2576183</v>
      </c>
      <c r="L1996">
        <v>1131154</v>
      </c>
      <c r="M1996">
        <v>1702</v>
      </c>
      <c r="N1996" t="s">
        <v>4470</v>
      </c>
    </row>
    <row r="1997" spans="1:14" x14ac:dyDescent="0.25">
      <c r="A1997">
        <v>8501707</v>
      </c>
      <c r="B1997" t="s">
        <v>4471</v>
      </c>
      <c r="C1997" t="s">
        <v>101</v>
      </c>
      <c r="D1997" t="s">
        <v>86</v>
      </c>
      <c r="E1997" t="s">
        <v>87</v>
      </c>
      <c r="F1997" t="s">
        <v>4244</v>
      </c>
      <c r="G1997">
        <v>5409</v>
      </c>
      <c r="H1997" t="s">
        <v>4247</v>
      </c>
      <c r="I1997" t="s">
        <v>103</v>
      </c>
      <c r="K1997">
        <v>2574053</v>
      </c>
      <c r="L1997">
        <v>1128804</v>
      </c>
      <c r="M1997">
        <v>1350</v>
      </c>
      <c r="N1997" t="s">
        <v>4472</v>
      </c>
    </row>
    <row r="1998" spans="1:14" x14ac:dyDescent="0.25">
      <c r="A1998">
        <v>8504202</v>
      </c>
      <c r="B1998" t="s">
        <v>4473</v>
      </c>
      <c r="C1998" t="s">
        <v>132</v>
      </c>
      <c r="E1998" t="s">
        <v>87</v>
      </c>
      <c r="F1998" t="s">
        <v>4474</v>
      </c>
      <c r="G1998">
        <v>5565</v>
      </c>
      <c r="H1998" t="s">
        <v>4475</v>
      </c>
      <c r="I1998" t="s">
        <v>133</v>
      </c>
      <c r="J1998" t="s">
        <v>625</v>
      </c>
      <c r="K1998">
        <v>2542873.844</v>
      </c>
      <c r="L1998">
        <v>1187106.2960000001</v>
      </c>
      <c r="M1998">
        <v>435.5</v>
      </c>
      <c r="N1998" t="s">
        <v>4476</v>
      </c>
    </row>
    <row r="1999" spans="1:14" x14ac:dyDescent="0.25">
      <c r="A1999">
        <v>8507695</v>
      </c>
      <c r="B1999" t="s">
        <v>4477</v>
      </c>
      <c r="C1999" t="s">
        <v>94</v>
      </c>
      <c r="D1999" t="s">
        <v>86</v>
      </c>
      <c r="E1999" t="s">
        <v>87</v>
      </c>
      <c r="F1999" t="s">
        <v>4474</v>
      </c>
      <c r="G1999">
        <v>5565</v>
      </c>
      <c r="H1999" t="s">
        <v>4475</v>
      </c>
      <c r="I1999" t="s">
        <v>96</v>
      </c>
      <c r="K1999">
        <v>2542804</v>
      </c>
      <c r="L1999">
        <v>1187786</v>
      </c>
      <c r="M1999">
        <v>477</v>
      </c>
      <c r="N1999" t="s">
        <v>4478</v>
      </c>
    </row>
    <row r="2000" spans="1:14" x14ac:dyDescent="0.25">
      <c r="A2000">
        <v>8581610</v>
      </c>
      <c r="B2000" t="s">
        <v>4479</v>
      </c>
      <c r="C2000" t="s">
        <v>94</v>
      </c>
      <c r="D2000" t="s">
        <v>86</v>
      </c>
      <c r="E2000" t="s">
        <v>87</v>
      </c>
      <c r="F2000" t="s">
        <v>4480</v>
      </c>
      <c r="G2000">
        <v>5923</v>
      </c>
      <c r="H2000" t="s">
        <v>4480</v>
      </c>
      <c r="I2000" t="s">
        <v>96</v>
      </c>
      <c r="K2000">
        <v>2543542</v>
      </c>
      <c r="L2000">
        <v>1173920</v>
      </c>
      <c r="M2000">
        <v>560</v>
      </c>
      <c r="N2000" t="s">
        <v>4481</v>
      </c>
    </row>
    <row r="2001" spans="1:14" x14ac:dyDescent="0.25">
      <c r="A2001">
        <v>8507696</v>
      </c>
      <c r="B2001" t="s">
        <v>4482</v>
      </c>
      <c r="C2001" t="s">
        <v>94</v>
      </c>
      <c r="D2001" t="s">
        <v>86</v>
      </c>
      <c r="E2001" t="s">
        <v>87</v>
      </c>
      <c r="F2001" t="s">
        <v>4480</v>
      </c>
      <c r="G2001">
        <v>5923</v>
      </c>
      <c r="H2001" t="s">
        <v>4480</v>
      </c>
      <c r="I2001" t="s">
        <v>96</v>
      </c>
      <c r="K2001">
        <v>2542875</v>
      </c>
      <c r="L2001">
        <v>1173939</v>
      </c>
      <c r="M2001">
        <v>557</v>
      </c>
      <c r="N2001" t="s">
        <v>4483</v>
      </c>
    </row>
    <row r="2002" spans="1:14" x14ac:dyDescent="0.25">
      <c r="A2002">
        <v>8581116</v>
      </c>
      <c r="B2002" t="s">
        <v>4484</v>
      </c>
      <c r="C2002" t="s">
        <v>338</v>
      </c>
      <c r="D2002" t="s">
        <v>86</v>
      </c>
      <c r="E2002" t="s">
        <v>87</v>
      </c>
      <c r="F2002" t="s">
        <v>4485</v>
      </c>
      <c r="G2002">
        <v>5757</v>
      </c>
      <c r="H2002" t="s">
        <v>4485</v>
      </c>
      <c r="I2002" t="s">
        <v>340</v>
      </c>
      <c r="K2002">
        <v>2530563.8411300001</v>
      </c>
      <c r="L2002">
        <v>1175198.4829200001</v>
      </c>
      <c r="M2002">
        <v>470</v>
      </c>
      <c r="N2002" t="s">
        <v>4486</v>
      </c>
    </row>
    <row r="2003" spans="1:14" x14ac:dyDescent="0.25">
      <c r="A2003">
        <v>8530262</v>
      </c>
      <c r="B2003" t="s">
        <v>4487</v>
      </c>
      <c r="C2003" t="s">
        <v>338</v>
      </c>
      <c r="D2003" t="s">
        <v>112</v>
      </c>
      <c r="E2003" t="s">
        <v>87</v>
      </c>
      <c r="F2003" t="s">
        <v>4485</v>
      </c>
      <c r="G2003">
        <v>5757</v>
      </c>
      <c r="H2003" t="s">
        <v>4485</v>
      </c>
      <c r="I2003" t="s">
        <v>372</v>
      </c>
      <c r="K2003">
        <v>2530690.8763000001</v>
      </c>
      <c r="L2003">
        <v>1174781.4342100001</v>
      </c>
      <c r="M2003">
        <v>460</v>
      </c>
      <c r="N2003" t="s">
        <v>4488</v>
      </c>
    </row>
    <row r="2004" spans="1:14" x14ac:dyDescent="0.25">
      <c r="A2004">
        <v>8577202</v>
      </c>
      <c r="B2004" t="s">
        <v>4489</v>
      </c>
      <c r="C2004" t="s">
        <v>338</v>
      </c>
      <c r="D2004" t="s">
        <v>86</v>
      </c>
      <c r="E2004" t="s">
        <v>87</v>
      </c>
      <c r="F2004" t="s">
        <v>4485</v>
      </c>
      <c r="G2004">
        <v>5757</v>
      </c>
      <c r="H2004" t="s">
        <v>4485</v>
      </c>
      <c r="I2004" t="s">
        <v>340</v>
      </c>
      <c r="K2004">
        <v>2530409.4600200001</v>
      </c>
      <c r="L2004">
        <v>1175860.8948299999</v>
      </c>
      <c r="M2004">
        <v>490</v>
      </c>
      <c r="N2004" t="s">
        <v>4490</v>
      </c>
    </row>
    <row r="2005" spans="1:14" x14ac:dyDescent="0.25">
      <c r="A2005">
        <v>8595249</v>
      </c>
      <c r="B2005" t="s">
        <v>4491</v>
      </c>
      <c r="C2005" t="s">
        <v>338</v>
      </c>
      <c r="D2005" t="s">
        <v>86</v>
      </c>
      <c r="E2005" t="s">
        <v>87</v>
      </c>
      <c r="F2005" t="s">
        <v>4485</v>
      </c>
      <c r="G2005">
        <v>5757</v>
      </c>
      <c r="H2005" t="s">
        <v>4485</v>
      </c>
      <c r="I2005" t="s">
        <v>340</v>
      </c>
      <c r="K2005">
        <v>2530355.0135300001</v>
      </c>
      <c r="L2005">
        <v>1176257.1805100001</v>
      </c>
      <c r="M2005">
        <v>504</v>
      </c>
      <c r="N2005" t="s">
        <v>4492</v>
      </c>
    </row>
    <row r="2006" spans="1:14" x14ac:dyDescent="0.25">
      <c r="A2006">
        <v>8595482</v>
      </c>
      <c r="B2006" t="s">
        <v>4493</v>
      </c>
      <c r="C2006" t="s">
        <v>338</v>
      </c>
      <c r="D2006" t="s">
        <v>86</v>
      </c>
      <c r="E2006" t="s">
        <v>87</v>
      </c>
      <c r="F2006" t="s">
        <v>4485</v>
      </c>
      <c r="G2006">
        <v>5757</v>
      </c>
      <c r="H2006" t="s">
        <v>4485</v>
      </c>
      <c r="I2006" t="s">
        <v>340</v>
      </c>
      <c r="K2006">
        <v>2531435.8681399999</v>
      </c>
      <c r="L2006">
        <v>1174822.1523599999</v>
      </c>
      <c r="M2006">
        <v>442</v>
      </c>
      <c r="N2006" t="s">
        <v>4494</v>
      </c>
    </row>
    <row r="2007" spans="1:14" x14ac:dyDescent="0.25">
      <c r="A2007">
        <v>8501191</v>
      </c>
      <c r="B2007" t="s">
        <v>4485</v>
      </c>
      <c r="C2007" t="s">
        <v>338</v>
      </c>
      <c r="D2007" t="s">
        <v>4495</v>
      </c>
      <c r="E2007" t="s">
        <v>87</v>
      </c>
      <c r="F2007" t="s">
        <v>4485</v>
      </c>
      <c r="G2007">
        <v>5757</v>
      </c>
      <c r="H2007" t="s">
        <v>4485</v>
      </c>
      <c r="I2007" t="s">
        <v>372</v>
      </c>
      <c r="K2007">
        <v>2530549.6170000001</v>
      </c>
      <c r="L2007">
        <v>1175204.088</v>
      </c>
      <c r="M2007">
        <v>473</v>
      </c>
      <c r="N2007" t="s">
        <v>4496</v>
      </c>
    </row>
    <row r="2008" spans="1:14" x14ac:dyDescent="0.25">
      <c r="A2008">
        <v>8507417</v>
      </c>
      <c r="B2008" t="s">
        <v>4497</v>
      </c>
      <c r="C2008" t="s">
        <v>338</v>
      </c>
      <c r="D2008" t="s">
        <v>86</v>
      </c>
      <c r="E2008" t="s">
        <v>87</v>
      </c>
      <c r="F2008" t="s">
        <v>4485</v>
      </c>
      <c r="G2008">
        <v>5757</v>
      </c>
      <c r="H2008" t="s">
        <v>4485</v>
      </c>
      <c r="I2008" t="s">
        <v>340</v>
      </c>
      <c r="K2008">
        <v>2531055</v>
      </c>
      <c r="L2008">
        <v>1174853</v>
      </c>
      <c r="M2008">
        <v>444</v>
      </c>
      <c r="N2008" t="s">
        <v>4498</v>
      </c>
    </row>
    <row r="2009" spans="1:14" x14ac:dyDescent="0.25">
      <c r="A2009">
        <v>8570237</v>
      </c>
      <c r="B2009" t="s">
        <v>4499</v>
      </c>
      <c r="C2009" t="s">
        <v>94</v>
      </c>
      <c r="D2009" t="s">
        <v>86</v>
      </c>
      <c r="E2009" t="s">
        <v>87</v>
      </c>
      <c r="F2009" t="s">
        <v>4485</v>
      </c>
      <c r="G2009">
        <v>5757</v>
      </c>
      <c r="H2009" t="s">
        <v>4485</v>
      </c>
      <c r="I2009" t="s">
        <v>96</v>
      </c>
      <c r="K2009">
        <v>2530644</v>
      </c>
      <c r="L2009">
        <v>1174988</v>
      </c>
      <c r="M2009">
        <v>477</v>
      </c>
      <c r="N2009" t="s">
        <v>4500</v>
      </c>
    </row>
    <row r="2010" spans="1:14" x14ac:dyDescent="0.25">
      <c r="A2010">
        <v>8501190</v>
      </c>
      <c r="B2010" t="s">
        <v>4501</v>
      </c>
      <c r="C2010" t="s">
        <v>338</v>
      </c>
      <c r="E2010" t="s">
        <v>87</v>
      </c>
      <c r="F2010" t="s">
        <v>4485</v>
      </c>
      <c r="G2010">
        <v>5757</v>
      </c>
      <c r="H2010" t="s">
        <v>4485</v>
      </c>
      <c r="I2010" t="s">
        <v>372</v>
      </c>
      <c r="J2010" t="s">
        <v>625</v>
      </c>
      <c r="K2010">
        <v>2531413</v>
      </c>
      <c r="L2010">
        <v>1174806.0009999999</v>
      </c>
      <c r="M2010">
        <v>442</v>
      </c>
      <c r="N2010" t="s">
        <v>4502</v>
      </c>
    </row>
    <row r="2011" spans="1:14" x14ac:dyDescent="0.25">
      <c r="A2011">
        <v>8501194</v>
      </c>
      <c r="B2011" t="s">
        <v>4503</v>
      </c>
      <c r="C2011" t="s">
        <v>338</v>
      </c>
      <c r="D2011" t="s">
        <v>4495</v>
      </c>
      <c r="E2011" t="s">
        <v>87</v>
      </c>
      <c r="F2011" t="s">
        <v>4485</v>
      </c>
      <c r="G2011">
        <v>5757</v>
      </c>
      <c r="H2011" t="s">
        <v>4485</v>
      </c>
      <c r="I2011" t="s">
        <v>372</v>
      </c>
      <c r="K2011">
        <v>2531411.08</v>
      </c>
      <c r="L2011">
        <v>1174812.0060000001</v>
      </c>
      <c r="M2011">
        <v>445</v>
      </c>
      <c r="N2011" t="s">
        <v>4504</v>
      </c>
    </row>
    <row r="2012" spans="1:14" x14ac:dyDescent="0.25">
      <c r="A2012">
        <v>8570246</v>
      </c>
      <c r="B2012" t="s">
        <v>4505</v>
      </c>
      <c r="C2012" t="s">
        <v>94</v>
      </c>
      <c r="D2012" t="s">
        <v>86</v>
      </c>
      <c r="E2012" t="s">
        <v>87</v>
      </c>
      <c r="F2012" t="s">
        <v>4485</v>
      </c>
      <c r="G2012">
        <v>5757</v>
      </c>
      <c r="H2012" t="s">
        <v>4485</v>
      </c>
      <c r="I2012" t="s">
        <v>96</v>
      </c>
      <c r="K2012">
        <v>2530567</v>
      </c>
      <c r="L2012">
        <v>1176773</v>
      </c>
      <c r="M2012">
        <v>484</v>
      </c>
      <c r="N2012" t="s">
        <v>4506</v>
      </c>
    </row>
    <row r="2013" spans="1:14" x14ac:dyDescent="0.25">
      <c r="A2013">
        <v>8595063</v>
      </c>
      <c r="B2013" t="s">
        <v>4507</v>
      </c>
      <c r="C2013" t="s">
        <v>338</v>
      </c>
      <c r="D2013" t="s">
        <v>86</v>
      </c>
      <c r="E2013" t="s">
        <v>87</v>
      </c>
      <c r="F2013" t="s">
        <v>4485</v>
      </c>
      <c r="G2013">
        <v>5757</v>
      </c>
      <c r="H2013" t="s">
        <v>4485</v>
      </c>
      <c r="I2013" t="s">
        <v>340</v>
      </c>
      <c r="K2013">
        <v>2530905</v>
      </c>
      <c r="L2013">
        <v>1175195.0009999999</v>
      </c>
      <c r="M2013">
        <v>455</v>
      </c>
      <c r="N2013" t="s">
        <v>4508</v>
      </c>
    </row>
    <row r="2014" spans="1:14" x14ac:dyDescent="0.25">
      <c r="A2014">
        <v>8595060</v>
      </c>
      <c r="B2014" t="s">
        <v>4509</v>
      </c>
      <c r="C2014" t="s">
        <v>338</v>
      </c>
      <c r="D2014" t="s">
        <v>86</v>
      </c>
      <c r="E2014" t="s">
        <v>87</v>
      </c>
      <c r="F2014" t="s">
        <v>4485</v>
      </c>
      <c r="G2014">
        <v>5757</v>
      </c>
      <c r="H2014" t="s">
        <v>4485</v>
      </c>
      <c r="I2014" t="s">
        <v>340</v>
      </c>
      <c r="K2014">
        <v>2530952</v>
      </c>
      <c r="L2014">
        <v>1175563</v>
      </c>
      <c r="M2014">
        <v>442</v>
      </c>
      <c r="N2014" t="s">
        <v>4510</v>
      </c>
    </row>
    <row r="2015" spans="1:14" x14ac:dyDescent="0.25">
      <c r="A2015">
        <v>8579108</v>
      </c>
      <c r="B2015" t="s">
        <v>4511</v>
      </c>
      <c r="C2015" t="s">
        <v>94</v>
      </c>
      <c r="D2015" t="s">
        <v>86</v>
      </c>
      <c r="E2015" t="s">
        <v>87</v>
      </c>
      <c r="F2015" t="s">
        <v>4485</v>
      </c>
      <c r="G2015">
        <v>5757</v>
      </c>
      <c r="H2015" t="s">
        <v>4485</v>
      </c>
      <c r="I2015" t="s">
        <v>96</v>
      </c>
      <c r="K2015">
        <v>2530452</v>
      </c>
      <c r="L2015">
        <v>1174610</v>
      </c>
      <c r="M2015">
        <v>497</v>
      </c>
      <c r="N2015" t="s">
        <v>4512</v>
      </c>
    </row>
    <row r="2016" spans="1:14" x14ac:dyDescent="0.25">
      <c r="A2016">
        <v>8581953</v>
      </c>
      <c r="B2016" t="s">
        <v>4513</v>
      </c>
      <c r="C2016" t="s">
        <v>338</v>
      </c>
      <c r="D2016" t="s">
        <v>86</v>
      </c>
      <c r="E2016" t="s">
        <v>87</v>
      </c>
      <c r="F2016" t="s">
        <v>4485</v>
      </c>
      <c r="G2016">
        <v>5757</v>
      </c>
      <c r="H2016" t="s">
        <v>4485</v>
      </c>
      <c r="I2016" t="s">
        <v>340</v>
      </c>
      <c r="K2016">
        <v>2530242</v>
      </c>
      <c r="L2016">
        <v>1175845.0009999999</v>
      </c>
      <c r="M2016">
        <v>498</v>
      </c>
      <c r="N2016" t="s">
        <v>4514</v>
      </c>
    </row>
    <row r="2017" spans="1:14" x14ac:dyDescent="0.25">
      <c r="A2017">
        <v>8510801</v>
      </c>
      <c r="B2017" t="s">
        <v>4515</v>
      </c>
      <c r="C2017" t="s">
        <v>94</v>
      </c>
      <c r="D2017" t="s">
        <v>86</v>
      </c>
      <c r="E2017" t="s">
        <v>87</v>
      </c>
      <c r="F2017" t="s">
        <v>4485</v>
      </c>
      <c r="G2017">
        <v>5757</v>
      </c>
      <c r="H2017" t="s">
        <v>4485</v>
      </c>
      <c r="I2017" t="s">
        <v>96</v>
      </c>
      <c r="K2017">
        <v>2530317</v>
      </c>
      <c r="L2017">
        <v>1173706</v>
      </c>
      <c r="M2017">
        <v>547.70000000000005</v>
      </c>
      <c r="N2017" t="s">
        <v>4516</v>
      </c>
    </row>
    <row r="2018" spans="1:14" x14ac:dyDescent="0.25">
      <c r="A2018">
        <v>8570247</v>
      </c>
      <c r="B2018" t="s">
        <v>4517</v>
      </c>
      <c r="C2018" t="s">
        <v>94</v>
      </c>
      <c r="D2018" t="s">
        <v>86</v>
      </c>
      <c r="E2018" t="s">
        <v>87</v>
      </c>
      <c r="F2018" t="s">
        <v>4485</v>
      </c>
      <c r="G2018">
        <v>5757</v>
      </c>
      <c r="H2018" t="s">
        <v>4485</v>
      </c>
      <c r="I2018" t="s">
        <v>96</v>
      </c>
      <c r="K2018">
        <v>2530679</v>
      </c>
      <c r="L2018">
        <v>1176060</v>
      </c>
      <c r="M2018">
        <v>488</v>
      </c>
      <c r="N2018" t="s">
        <v>4518</v>
      </c>
    </row>
    <row r="2019" spans="1:14" x14ac:dyDescent="0.25">
      <c r="A2019">
        <v>8570248</v>
      </c>
      <c r="B2019" t="s">
        <v>4519</v>
      </c>
      <c r="C2019" t="s">
        <v>94</v>
      </c>
      <c r="D2019" t="s">
        <v>86</v>
      </c>
      <c r="E2019" t="s">
        <v>87</v>
      </c>
      <c r="F2019" t="s">
        <v>4485</v>
      </c>
      <c r="G2019">
        <v>5757</v>
      </c>
      <c r="H2019" t="s">
        <v>4485</v>
      </c>
      <c r="I2019" t="s">
        <v>96</v>
      </c>
      <c r="K2019">
        <v>2530725</v>
      </c>
      <c r="L2019">
        <v>1175712</v>
      </c>
      <c r="M2019">
        <v>475</v>
      </c>
      <c r="N2019" t="s">
        <v>4520</v>
      </c>
    </row>
    <row r="2020" spans="1:14" x14ac:dyDescent="0.25">
      <c r="A2020">
        <v>8501267</v>
      </c>
      <c r="B2020" t="s">
        <v>4521</v>
      </c>
      <c r="C2020" t="s">
        <v>94</v>
      </c>
      <c r="D2020" t="s">
        <v>86</v>
      </c>
      <c r="E2020" t="s">
        <v>87</v>
      </c>
      <c r="F2020" t="s">
        <v>4485</v>
      </c>
      <c r="G2020">
        <v>5757</v>
      </c>
      <c r="H2020" t="s">
        <v>4485</v>
      </c>
      <c r="I2020" t="s">
        <v>96</v>
      </c>
      <c r="K2020">
        <v>2530608</v>
      </c>
      <c r="L2020">
        <v>1175164</v>
      </c>
      <c r="M2020">
        <v>480</v>
      </c>
      <c r="N2020" t="s">
        <v>4522</v>
      </c>
    </row>
    <row r="2021" spans="1:14" x14ac:dyDescent="0.25">
      <c r="A2021">
        <v>8503604</v>
      </c>
      <c r="B2021" t="s">
        <v>4523</v>
      </c>
      <c r="C2021" t="s">
        <v>338</v>
      </c>
      <c r="D2021" t="s">
        <v>86</v>
      </c>
      <c r="E2021" t="s">
        <v>87</v>
      </c>
      <c r="F2021" t="s">
        <v>4485</v>
      </c>
      <c r="G2021">
        <v>5757</v>
      </c>
      <c r="H2021" t="s">
        <v>4485</v>
      </c>
      <c r="I2021" t="s">
        <v>340</v>
      </c>
      <c r="K2021">
        <v>2531766</v>
      </c>
      <c r="L2021">
        <v>1174682</v>
      </c>
      <c r="M2021">
        <v>440</v>
      </c>
      <c r="N2021" t="s">
        <v>4524</v>
      </c>
    </row>
    <row r="2022" spans="1:14" x14ac:dyDescent="0.25">
      <c r="A2022">
        <v>8570236</v>
      </c>
      <c r="B2022" t="s">
        <v>4525</v>
      </c>
      <c r="C2022" t="s">
        <v>94</v>
      </c>
      <c r="D2022" t="s">
        <v>86</v>
      </c>
      <c r="E2022" t="s">
        <v>87</v>
      </c>
      <c r="F2022" t="s">
        <v>4485</v>
      </c>
      <c r="G2022">
        <v>5757</v>
      </c>
      <c r="H2022" t="s">
        <v>4485</v>
      </c>
      <c r="I2022" t="s">
        <v>96</v>
      </c>
      <c r="K2022">
        <v>2530076</v>
      </c>
      <c r="L2022">
        <v>1174736</v>
      </c>
      <c r="M2022">
        <v>518</v>
      </c>
      <c r="N2022" t="s">
        <v>4526</v>
      </c>
    </row>
    <row r="2023" spans="1:14" x14ac:dyDescent="0.25">
      <c r="A2023">
        <v>8595062</v>
      </c>
      <c r="B2023" t="s">
        <v>4527</v>
      </c>
      <c r="C2023" t="s">
        <v>338</v>
      </c>
      <c r="D2023" t="s">
        <v>86</v>
      </c>
      <c r="E2023" t="s">
        <v>87</v>
      </c>
      <c r="F2023" t="s">
        <v>4485</v>
      </c>
      <c r="G2023">
        <v>5757</v>
      </c>
      <c r="H2023" t="s">
        <v>4485</v>
      </c>
      <c r="I2023" t="s">
        <v>340</v>
      </c>
      <c r="K2023">
        <v>2530536</v>
      </c>
      <c r="L2023">
        <v>1176356</v>
      </c>
      <c r="M2023">
        <v>492</v>
      </c>
      <c r="N2023" t="s">
        <v>4528</v>
      </c>
    </row>
    <row r="2024" spans="1:14" x14ac:dyDescent="0.25">
      <c r="A2024">
        <v>8595061</v>
      </c>
      <c r="B2024" t="s">
        <v>4529</v>
      </c>
      <c r="C2024" t="s">
        <v>338</v>
      </c>
      <c r="D2024" t="s">
        <v>86</v>
      </c>
      <c r="E2024" t="s">
        <v>87</v>
      </c>
      <c r="F2024" t="s">
        <v>4485</v>
      </c>
      <c r="G2024">
        <v>5757</v>
      </c>
      <c r="H2024" t="s">
        <v>4485</v>
      </c>
      <c r="I2024" t="s">
        <v>340</v>
      </c>
      <c r="K2024">
        <v>2530280</v>
      </c>
      <c r="L2024">
        <v>1175990.0009999999</v>
      </c>
      <c r="M2024">
        <v>483</v>
      </c>
      <c r="N2024" t="s">
        <v>4530</v>
      </c>
    </row>
    <row r="2025" spans="1:14" x14ac:dyDescent="0.25">
      <c r="A2025">
        <v>8595054</v>
      </c>
      <c r="B2025" t="s">
        <v>4531</v>
      </c>
      <c r="C2025" t="s">
        <v>338</v>
      </c>
      <c r="D2025" t="s">
        <v>86</v>
      </c>
      <c r="E2025" t="s">
        <v>87</v>
      </c>
      <c r="F2025" t="s">
        <v>4485</v>
      </c>
      <c r="G2025">
        <v>5757</v>
      </c>
      <c r="H2025" t="s">
        <v>4485</v>
      </c>
      <c r="I2025" t="s">
        <v>340</v>
      </c>
      <c r="K2025">
        <v>2530710</v>
      </c>
      <c r="L2025">
        <v>1175500.0009999999</v>
      </c>
      <c r="M2025">
        <v>483</v>
      </c>
      <c r="N2025" t="s">
        <v>4532</v>
      </c>
    </row>
    <row r="2026" spans="1:14" x14ac:dyDescent="0.25">
      <c r="A2026">
        <v>8595057</v>
      </c>
      <c r="B2026" t="s">
        <v>4533</v>
      </c>
      <c r="C2026" t="s">
        <v>338</v>
      </c>
      <c r="D2026" t="s">
        <v>86</v>
      </c>
      <c r="E2026" t="s">
        <v>87</v>
      </c>
      <c r="F2026" t="s">
        <v>4485</v>
      </c>
      <c r="G2026">
        <v>5757</v>
      </c>
      <c r="H2026" t="s">
        <v>4485</v>
      </c>
      <c r="I2026" t="s">
        <v>340</v>
      </c>
      <c r="K2026">
        <v>2530611.12629</v>
      </c>
      <c r="L2026">
        <v>1175867.66989</v>
      </c>
      <c r="M2026">
        <v>483.6</v>
      </c>
      <c r="N2026" t="s">
        <v>4534</v>
      </c>
    </row>
    <row r="2027" spans="1:14" x14ac:dyDescent="0.25">
      <c r="A2027">
        <v>8595056</v>
      </c>
      <c r="B2027" t="s">
        <v>4535</v>
      </c>
      <c r="C2027" t="s">
        <v>94</v>
      </c>
      <c r="D2027" t="s">
        <v>86</v>
      </c>
      <c r="E2027" t="s">
        <v>87</v>
      </c>
      <c r="F2027" t="s">
        <v>4485</v>
      </c>
      <c r="G2027">
        <v>5757</v>
      </c>
      <c r="H2027" t="s">
        <v>4485</v>
      </c>
      <c r="I2027" t="s">
        <v>96</v>
      </c>
      <c r="K2027">
        <v>2530422</v>
      </c>
      <c r="L2027">
        <v>1174399</v>
      </c>
      <c r="M2027">
        <v>512</v>
      </c>
      <c r="N2027" t="s">
        <v>4536</v>
      </c>
    </row>
    <row r="2028" spans="1:14" x14ac:dyDescent="0.25">
      <c r="A2028">
        <v>8595055</v>
      </c>
      <c r="B2028" t="s">
        <v>4537</v>
      </c>
      <c r="C2028" t="s">
        <v>338</v>
      </c>
      <c r="D2028" t="s">
        <v>86</v>
      </c>
      <c r="E2028" t="s">
        <v>87</v>
      </c>
      <c r="F2028" t="s">
        <v>4485</v>
      </c>
      <c r="G2028">
        <v>5757</v>
      </c>
      <c r="H2028" t="s">
        <v>4485</v>
      </c>
      <c r="I2028" t="s">
        <v>340</v>
      </c>
      <c r="K2028">
        <v>2530756</v>
      </c>
      <c r="L2028">
        <v>1175565</v>
      </c>
      <c r="M2028">
        <v>479</v>
      </c>
      <c r="N2028" t="s">
        <v>4538</v>
      </c>
    </row>
    <row r="2029" spans="1:14" x14ac:dyDescent="0.25">
      <c r="A2029">
        <v>8595410</v>
      </c>
      <c r="B2029" t="s">
        <v>4539</v>
      </c>
      <c r="C2029" t="s">
        <v>338</v>
      </c>
      <c r="D2029" t="s">
        <v>86</v>
      </c>
      <c r="E2029" t="s">
        <v>87</v>
      </c>
      <c r="F2029" t="s">
        <v>4485</v>
      </c>
      <c r="G2029">
        <v>5757</v>
      </c>
      <c r="H2029" t="s">
        <v>4485</v>
      </c>
      <c r="I2029" t="s">
        <v>340</v>
      </c>
      <c r="K2029">
        <v>2531192.0093899998</v>
      </c>
      <c r="L2029">
        <v>1174938.6019600001</v>
      </c>
      <c r="M2029">
        <v>442</v>
      </c>
      <c r="N2029" t="s">
        <v>4540</v>
      </c>
    </row>
    <row r="2030" spans="1:14" x14ac:dyDescent="0.25">
      <c r="A2030">
        <v>8595409</v>
      </c>
      <c r="B2030" t="s">
        <v>4541</v>
      </c>
      <c r="C2030" t="s">
        <v>338</v>
      </c>
      <c r="D2030" t="s">
        <v>86</v>
      </c>
      <c r="E2030" t="s">
        <v>87</v>
      </c>
      <c r="F2030" t="s">
        <v>4485</v>
      </c>
      <c r="G2030">
        <v>5757</v>
      </c>
      <c r="H2030" t="s">
        <v>4485</v>
      </c>
      <c r="I2030" t="s">
        <v>340</v>
      </c>
      <c r="K2030">
        <v>2530889</v>
      </c>
      <c r="L2030">
        <v>1174784</v>
      </c>
      <c r="M2030">
        <v>446</v>
      </c>
      <c r="N2030" t="s">
        <v>4542</v>
      </c>
    </row>
    <row r="2031" spans="1:14" x14ac:dyDescent="0.25">
      <c r="A2031">
        <v>8579729</v>
      </c>
      <c r="B2031" t="s">
        <v>4543</v>
      </c>
      <c r="C2031" t="s">
        <v>94</v>
      </c>
      <c r="D2031" t="s">
        <v>86</v>
      </c>
      <c r="E2031" t="s">
        <v>87</v>
      </c>
      <c r="F2031" t="s">
        <v>4544</v>
      </c>
      <c r="G2031">
        <v>5924</v>
      </c>
      <c r="H2031" t="s">
        <v>4544</v>
      </c>
      <c r="I2031" t="s">
        <v>96</v>
      </c>
      <c r="K2031">
        <v>2535228</v>
      </c>
      <c r="L2031">
        <v>1184504</v>
      </c>
      <c r="M2031">
        <v>562</v>
      </c>
      <c r="N2031" t="s">
        <v>4545</v>
      </c>
    </row>
    <row r="2032" spans="1:14" x14ac:dyDescent="0.25">
      <c r="A2032">
        <v>8507697</v>
      </c>
      <c r="B2032" t="s">
        <v>4546</v>
      </c>
      <c r="C2032" t="s">
        <v>94</v>
      </c>
      <c r="D2032" t="s">
        <v>86</v>
      </c>
      <c r="E2032" t="s">
        <v>87</v>
      </c>
      <c r="F2032" t="s">
        <v>4544</v>
      </c>
      <c r="G2032">
        <v>5924</v>
      </c>
      <c r="H2032" t="s">
        <v>4544</v>
      </c>
      <c r="I2032" t="s">
        <v>96</v>
      </c>
      <c r="K2032">
        <v>2534936</v>
      </c>
      <c r="L2032">
        <v>1184483</v>
      </c>
      <c r="M2032">
        <v>564</v>
      </c>
      <c r="N2032" t="s">
        <v>4547</v>
      </c>
    </row>
    <row r="2033" spans="1:14" x14ac:dyDescent="0.25">
      <c r="A2033">
        <v>8500361</v>
      </c>
      <c r="B2033" t="s">
        <v>4548</v>
      </c>
      <c r="C2033" t="s">
        <v>2214</v>
      </c>
      <c r="D2033" t="s">
        <v>692</v>
      </c>
      <c r="E2033" t="s">
        <v>87</v>
      </c>
      <c r="F2033" t="s">
        <v>4549</v>
      </c>
      <c r="G2033">
        <v>5410</v>
      </c>
      <c r="H2033" t="s">
        <v>4325</v>
      </c>
      <c r="I2033" t="s">
        <v>2215</v>
      </c>
      <c r="J2033" t="s">
        <v>4550</v>
      </c>
      <c r="K2033">
        <v>2574523</v>
      </c>
      <c r="L2033">
        <v>1131322</v>
      </c>
      <c r="M2033">
        <v>1685</v>
      </c>
      <c r="N2033" t="s">
        <v>4551</v>
      </c>
    </row>
    <row r="2034" spans="1:14" x14ac:dyDescent="0.25">
      <c r="A2034">
        <v>8531382</v>
      </c>
      <c r="B2034" t="s">
        <v>4552</v>
      </c>
      <c r="C2034" t="s">
        <v>3190</v>
      </c>
      <c r="D2034" t="s">
        <v>692</v>
      </c>
      <c r="E2034" t="s">
        <v>87</v>
      </c>
      <c r="F2034" t="s">
        <v>4549</v>
      </c>
      <c r="G2034">
        <v>5410</v>
      </c>
      <c r="H2034" t="s">
        <v>4553</v>
      </c>
      <c r="I2034" t="s">
        <v>3191</v>
      </c>
      <c r="J2034" t="s">
        <v>4554</v>
      </c>
      <c r="K2034">
        <v>2569484</v>
      </c>
      <c r="L2034">
        <v>1135654</v>
      </c>
      <c r="M2034">
        <v>1444</v>
      </c>
      <c r="N2034" t="s">
        <v>4555</v>
      </c>
    </row>
    <row r="2035" spans="1:14" x14ac:dyDescent="0.25">
      <c r="A2035">
        <v>8500362</v>
      </c>
      <c r="B2035" t="s">
        <v>4556</v>
      </c>
      <c r="C2035" t="s">
        <v>2214</v>
      </c>
      <c r="D2035" t="s">
        <v>692</v>
      </c>
      <c r="E2035" t="s">
        <v>87</v>
      </c>
      <c r="F2035" t="s">
        <v>4549</v>
      </c>
      <c r="G2035">
        <v>5410</v>
      </c>
      <c r="H2035" t="s">
        <v>4325</v>
      </c>
      <c r="I2035" t="s">
        <v>2215</v>
      </c>
      <c r="J2035" t="s">
        <v>4557</v>
      </c>
      <c r="K2035">
        <v>2575555</v>
      </c>
      <c r="L2035">
        <v>1131376</v>
      </c>
      <c r="M2035">
        <v>1947</v>
      </c>
      <c r="N2035" t="s">
        <v>4558</v>
      </c>
    </row>
    <row r="2036" spans="1:14" x14ac:dyDescent="0.25">
      <c r="A2036">
        <v>8531384</v>
      </c>
      <c r="B2036" t="s">
        <v>4559</v>
      </c>
      <c r="C2036" t="s">
        <v>3190</v>
      </c>
      <c r="D2036" t="s">
        <v>692</v>
      </c>
      <c r="E2036" t="s">
        <v>87</v>
      </c>
      <c r="F2036" t="s">
        <v>4549</v>
      </c>
      <c r="G2036">
        <v>5410</v>
      </c>
      <c r="H2036" t="s">
        <v>4553</v>
      </c>
      <c r="I2036" t="s">
        <v>3191</v>
      </c>
      <c r="J2036" t="s">
        <v>4560</v>
      </c>
      <c r="K2036">
        <v>2570036</v>
      </c>
      <c r="L2036">
        <v>1136168</v>
      </c>
      <c r="M2036">
        <v>1326</v>
      </c>
      <c r="N2036" t="s">
        <v>4561</v>
      </c>
    </row>
    <row r="2037" spans="1:14" x14ac:dyDescent="0.25">
      <c r="A2037">
        <v>8501469</v>
      </c>
      <c r="B2037" t="s">
        <v>4562</v>
      </c>
      <c r="C2037" t="s">
        <v>111</v>
      </c>
      <c r="D2037" t="s">
        <v>112</v>
      </c>
      <c r="E2037" t="s">
        <v>87</v>
      </c>
      <c r="F2037" t="s">
        <v>4549</v>
      </c>
      <c r="G2037">
        <v>5410</v>
      </c>
      <c r="H2037" t="s">
        <v>4325</v>
      </c>
      <c r="I2037" t="s">
        <v>113</v>
      </c>
      <c r="K2037">
        <v>2569728.9819999998</v>
      </c>
      <c r="L2037">
        <v>1132492.0349999999</v>
      </c>
      <c r="M2037">
        <v>896.7</v>
      </c>
      <c r="N2037" t="s">
        <v>4563</v>
      </c>
    </row>
    <row r="2038" spans="1:14" x14ac:dyDescent="0.25">
      <c r="A2038">
        <v>8501473</v>
      </c>
      <c r="B2038" t="s">
        <v>4564</v>
      </c>
      <c r="C2038" t="s">
        <v>111</v>
      </c>
      <c r="D2038" t="s">
        <v>112</v>
      </c>
      <c r="E2038" t="s">
        <v>87</v>
      </c>
      <c r="F2038" t="s">
        <v>4549</v>
      </c>
      <c r="G2038">
        <v>5410</v>
      </c>
      <c r="H2038" t="s">
        <v>4553</v>
      </c>
      <c r="I2038" t="s">
        <v>113</v>
      </c>
      <c r="K2038">
        <v>2570491.648</v>
      </c>
      <c r="L2038">
        <v>1133845.5919999999</v>
      </c>
      <c r="M2038">
        <v>869</v>
      </c>
      <c r="N2038" t="s">
        <v>4565</v>
      </c>
    </row>
    <row r="2039" spans="1:14" x14ac:dyDescent="0.25">
      <c r="A2039">
        <v>8501475</v>
      </c>
      <c r="B2039" t="s">
        <v>4566</v>
      </c>
      <c r="C2039" t="s">
        <v>111</v>
      </c>
      <c r="D2039" t="s">
        <v>112</v>
      </c>
      <c r="E2039" t="s">
        <v>87</v>
      </c>
      <c r="F2039" t="s">
        <v>4549</v>
      </c>
      <c r="G2039">
        <v>5410</v>
      </c>
      <c r="H2039" t="s">
        <v>4325</v>
      </c>
      <c r="I2039" t="s">
        <v>113</v>
      </c>
      <c r="K2039">
        <v>2572784.585</v>
      </c>
      <c r="L2039">
        <v>1133835.899</v>
      </c>
      <c r="M2039">
        <v>1077.3</v>
      </c>
      <c r="N2039" t="s">
        <v>4567</v>
      </c>
    </row>
    <row r="2040" spans="1:14" x14ac:dyDescent="0.25">
      <c r="A2040">
        <v>8501702</v>
      </c>
      <c r="B2040" t="s">
        <v>4568</v>
      </c>
      <c r="C2040" t="s">
        <v>101</v>
      </c>
      <c r="D2040" t="s">
        <v>86</v>
      </c>
      <c r="E2040" t="s">
        <v>87</v>
      </c>
      <c r="F2040" t="s">
        <v>4549</v>
      </c>
      <c r="G2040">
        <v>5410</v>
      </c>
      <c r="H2040" t="s">
        <v>4569</v>
      </c>
      <c r="I2040" t="s">
        <v>103</v>
      </c>
      <c r="K2040">
        <v>2574310</v>
      </c>
      <c r="L2040">
        <v>1139610</v>
      </c>
      <c r="M2040">
        <v>1408</v>
      </c>
      <c r="N2040" t="s">
        <v>4570</v>
      </c>
    </row>
    <row r="2041" spans="1:14" x14ac:dyDescent="0.25">
      <c r="A2041">
        <v>8501758</v>
      </c>
      <c r="B2041" t="s">
        <v>4571</v>
      </c>
      <c r="C2041" t="s">
        <v>101</v>
      </c>
      <c r="D2041" t="s">
        <v>86</v>
      </c>
      <c r="E2041" t="s">
        <v>87</v>
      </c>
      <c r="F2041" t="s">
        <v>4549</v>
      </c>
      <c r="G2041">
        <v>5410</v>
      </c>
      <c r="H2041" t="s">
        <v>4572</v>
      </c>
      <c r="I2041" t="s">
        <v>103</v>
      </c>
      <c r="J2041" t="s">
        <v>4573</v>
      </c>
      <c r="K2041">
        <v>2572687</v>
      </c>
      <c r="L2041">
        <v>1136568</v>
      </c>
      <c r="M2041">
        <v>1354</v>
      </c>
      <c r="N2041" t="s">
        <v>4574</v>
      </c>
    </row>
    <row r="2042" spans="1:14" x14ac:dyDescent="0.25">
      <c r="A2042">
        <v>8501975</v>
      </c>
      <c r="B2042" t="s">
        <v>4575</v>
      </c>
      <c r="C2042" t="s">
        <v>101</v>
      </c>
      <c r="D2042" t="s">
        <v>86</v>
      </c>
      <c r="E2042" t="s">
        <v>87</v>
      </c>
      <c r="F2042" t="s">
        <v>4549</v>
      </c>
      <c r="G2042">
        <v>5410</v>
      </c>
      <c r="H2042" t="s">
        <v>4553</v>
      </c>
      <c r="I2042" t="s">
        <v>103</v>
      </c>
      <c r="J2042" t="s">
        <v>4576</v>
      </c>
      <c r="K2042">
        <v>2570292</v>
      </c>
      <c r="L2042">
        <v>1134511</v>
      </c>
      <c r="M2042">
        <v>975</v>
      </c>
      <c r="N2042" t="s">
        <v>4577</v>
      </c>
    </row>
    <row r="2043" spans="1:14" x14ac:dyDescent="0.25">
      <c r="A2043">
        <v>8531177</v>
      </c>
      <c r="B2043" t="s">
        <v>4578</v>
      </c>
      <c r="C2043" t="s">
        <v>2214</v>
      </c>
      <c r="D2043" t="s">
        <v>692</v>
      </c>
      <c r="E2043" t="s">
        <v>87</v>
      </c>
      <c r="F2043" t="s">
        <v>4549</v>
      </c>
      <c r="G2043">
        <v>5410</v>
      </c>
      <c r="H2043" t="s">
        <v>4325</v>
      </c>
      <c r="I2043" t="s">
        <v>2215</v>
      </c>
      <c r="J2043" t="s">
        <v>4579</v>
      </c>
      <c r="K2043">
        <v>2574879</v>
      </c>
      <c r="L2043">
        <v>1131244</v>
      </c>
      <c r="M2043">
        <v>1786</v>
      </c>
      <c r="N2043" t="s">
        <v>4580</v>
      </c>
    </row>
    <row r="2044" spans="1:14" x14ac:dyDescent="0.25">
      <c r="A2044">
        <v>8570628</v>
      </c>
      <c r="B2044" t="s">
        <v>4581</v>
      </c>
      <c r="C2044" t="s">
        <v>101</v>
      </c>
      <c r="D2044" t="s">
        <v>86</v>
      </c>
      <c r="E2044" t="s">
        <v>87</v>
      </c>
      <c r="F2044" t="s">
        <v>4549</v>
      </c>
      <c r="G2044">
        <v>5410</v>
      </c>
      <c r="H2044" t="s">
        <v>4553</v>
      </c>
      <c r="I2044" t="s">
        <v>103</v>
      </c>
      <c r="K2044">
        <v>2568625</v>
      </c>
      <c r="L2044">
        <v>1133204</v>
      </c>
      <c r="M2044">
        <v>1197</v>
      </c>
      <c r="N2044" t="s">
        <v>4582</v>
      </c>
    </row>
    <row r="2045" spans="1:14" x14ac:dyDescent="0.25">
      <c r="A2045">
        <v>8570627</v>
      </c>
      <c r="B2045" t="s">
        <v>4583</v>
      </c>
      <c r="C2045" t="s">
        <v>101</v>
      </c>
      <c r="D2045" t="s">
        <v>86</v>
      </c>
      <c r="E2045" t="s">
        <v>87</v>
      </c>
      <c r="F2045" t="s">
        <v>4549</v>
      </c>
      <c r="G2045">
        <v>5410</v>
      </c>
      <c r="H2045" t="s">
        <v>4553</v>
      </c>
      <c r="I2045" t="s">
        <v>103</v>
      </c>
      <c r="K2045">
        <v>2568883</v>
      </c>
      <c r="L2045">
        <v>1133612</v>
      </c>
      <c r="M2045">
        <v>1121</v>
      </c>
      <c r="N2045" t="s">
        <v>4584</v>
      </c>
    </row>
    <row r="2046" spans="1:14" x14ac:dyDescent="0.25">
      <c r="A2046">
        <v>8501346</v>
      </c>
      <c r="B2046" t="s">
        <v>4585</v>
      </c>
      <c r="C2046" t="s">
        <v>101</v>
      </c>
      <c r="D2046" t="s">
        <v>86</v>
      </c>
      <c r="E2046" t="s">
        <v>87</v>
      </c>
      <c r="F2046" t="s">
        <v>4549</v>
      </c>
      <c r="G2046">
        <v>5410</v>
      </c>
      <c r="H2046" t="s">
        <v>4569</v>
      </c>
      <c r="I2046" t="s">
        <v>103</v>
      </c>
      <c r="K2046">
        <v>2573605</v>
      </c>
      <c r="L2046">
        <v>1137798</v>
      </c>
      <c r="M2046">
        <v>1414</v>
      </c>
      <c r="N2046" t="s">
        <v>4586</v>
      </c>
    </row>
    <row r="2047" spans="1:14" x14ac:dyDescent="0.25">
      <c r="A2047">
        <v>8570620</v>
      </c>
      <c r="B2047" t="s">
        <v>4587</v>
      </c>
      <c r="C2047" t="s">
        <v>101</v>
      </c>
      <c r="D2047" t="s">
        <v>86</v>
      </c>
      <c r="E2047" t="s">
        <v>87</v>
      </c>
      <c r="F2047" t="s">
        <v>4549</v>
      </c>
      <c r="G2047">
        <v>5410</v>
      </c>
      <c r="H2047" t="s">
        <v>4572</v>
      </c>
      <c r="I2047" t="s">
        <v>103</v>
      </c>
      <c r="K2047">
        <v>2572894</v>
      </c>
      <c r="L2047">
        <v>1136832</v>
      </c>
      <c r="M2047">
        <v>1363</v>
      </c>
      <c r="N2047" t="s">
        <v>4588</v>
      </c>
    </row>
    <row r="2048" spans="1:14" x14ac:dyDescent="0.25">
      <c r="A2048">
        <v>8570634</v>
      </c>
      <c r="B2048" t="s">
        <v>4589</v>
      </c>
      <c r="C2048" t="s">
        <v>101</v>
      </c>
      <c r="D2048" t="s">
        <v>86</v>
      </c>
      <c r="E2048" t="s">
        <v>87</v>
      </c>
      <c r="F2048" t="s">
        <v>4549</v>
      </c>
      <c r="G2048">
        <v>5410</v>
      </c>
      <c r="H2048" t="s">
        <v>4325</v>
      </c>
      <c r="I2048" t="s">
        <v>103</v>
      </c>
      <c r="K2048">
        <v>2570125</v>
      </c>
      <c r="L2048">
        <v>1132545</v>
      </c>
      <c r="M2048">
        <v>1086</v>
      </c>
      <c r="N2048" t="s">
        <v>4590</v>
      </c>
    </row>
    <row r="2049" spans="1:14" x14ac:dyDescent="0.25">
      <c r="A2049">
        <v>8570635</v>
      </c>
      <c r="B2049" t="s">
        <v>4591</v>
      </c>
      <c r="C2049" t="s">
        <v>101</v>
      </c>
      <c r="D2049" t="s">
        <v>86</v>
      </c>
      <c r="E2049" t="s">
        <v>87</v>
      </c>
      <c r="F2049" t="s">
        <v>4549</v>
      </c>
      <c r="G2049">
        <v>5410</v>
      </c>
      <c r="H2049" t="s">
        <v>4325</v>
      </c>
      <c r="I2049" t="s">
        <v>103</v>
      </c>
      <c r="K2049">
        <v>2570298</v>
      </c>
      <c r="L2049">
        <v>1132900</v>
      </c>
      <c r="M2049">
        <v>1158</v>
      </c>
      <c r="N2049" t="s">
        <v>4592</v>
      </c>
    </row>
    <row r="2050" spans="1:14" x14ac:dyDescent="0.25">
      <c r="A2050">
        <v>8570632</v>
      </c>
      <c r="B2050" t="s">
        <v>4593</v>
      </c>
      <c r="C2050" t="s">
        <v>101</v>
      </c>
      <c r="D2050" t="s">
        <v>86</v>
      </c>
      <c r="E2050" t="s">
        <v>87</v>
      </c>
      <c r="F2050" t="s">
        <v>4549</v>
      </c>
      <c r="G2050">
        <v>5410</v>
      </c>
      <c r="H2050" t="s">
        <v>4325</v>
      </c>
      <c r="I2050" t="s">
        <v>103</v>
      </c>
      <c r="K2050">
        <v>2570493</v>
      </c>
      <c r="L2050">
        <v>1133756</v>
      </c>
      <c r="M2050">
        <v>941</v>
      </c>
      <c r="N2050" t="s">
        <v>4594</v>
      </c>
    </row>
    <row r="2051" spans="1:14" x14ac:dyDescent="0.25">
      <c r="A2051">
        <v>8570624</v>
      </c>
      <c r="B2051" t="s">
        <v>4595</v>
      </c>
      <c r="C2051" t="s">
        <v>101</v>
      </c>
      <c r="D2051" t="s">
        <v>86</v>
      </c>
      <c r="E2051" t="s">
        <v>87</v>
      </c>
      <c r="F2051" t="s">
        <v>4549</v>
      </c>
      <c r="G2051">
        <v>5410</v>
      </c>
      <c r="H2051" t="s">
        <v>4553</v>
      </c>
      <c r="I2051" t="s">
        <v>103</v>
      </c>
      <c r="K2051">
        <v>2570847</v>
      </c>
      <c r="L2051">
        <v>1134418</v>
      </c>
      <c r="M2051">
        <v>1041</v>
      </c>
      <c r="N2051" t="s">
        <v>4596</v>
      </c>
    </row>
    <row r="2052" spans="1:14" x14ac:dyDescent="0.25">
      <c r="A2052">
        <v>8570622</v>
      </c>
      <c r="B2052" t="s">
        <v>4597</v>
      </c>
      <c r="C2052" t="s">
        <v>101</v>
      </c>
      <c r="D2052" t="s">
        <v>86</v>
      </c>
      <c r="E2052" t="s">
        <v>87</v>
      </c>
      <c r="F2052" t="s">
        <v>4549</v>
      </c>
      <c r="G2052">
        <v>5410</v>
      </c>
      <c r="H2052" t="s">
        <v>4553</v>
      </c>
      <c r="I2052" t="s">
        <v>103</v>
      </c>
      <c r="K2052">
        <v>2571770</v>
      </c>
      <c r="L2052">
        <v>1134928</v>
      </c>
      <c r="M2052">
        <v>1210</v>
      </c>
      <c r="N2052" t="s">
        <v>4598</v>
      </c>
    </row>
    <row r="2053" spans="1:14" x14ac:dyDescent="0.25">
      <c r="A2053">
        <v>8570626</v>
      </c>
      <c r="B2053" t="s">
        <v>4599</v>
      </c>
      <c r="C2053" t="s">
        <v>101</v>
      </c>
      <c r="D2053" t="s">
        <v>86</v>
      </c>
      <c r="E2053" t="s">
        <v>87</v>
      </c>
      <c r="F2053" t="s">
        <v>4549</v>
      </c>
      <c r="G2053">
        <v>5410</v>
      </c>
      <c r="H2053" t="s">
        <v>4553</v>
      </c>
      <c r="I2053" t="s">
        <v>103</v>
      </c>
      <c r="K2053">
        <v>2569571</v>
      </c>
      <c r="L2053">
        <v>1134079</v>
      </c>
      <c r="M2053">
        <v>1052</v>
      </c>
      <c r="N2053" t="s">
        <v>4600</v>
      </c>
    </row>
    <row r="2054" spans="1:14" x14ac:dyDescent="0.25">
      <c r="A2054">
        <v>8570633</v>
      </c>
      <c r="B2054" t="s">
        <v>4601</v>
      </c>
      <c r="C2054" t="s">
        <v>101</v>
      </c>
      <c r="D2054" t="s">
        <v>86</v>
      </c>
      <c r="E2054" t="s">
        <v>87</v>
      </c>
      <c r="F2054" t="s">
        <v>4549</v>
      </c>
      <c r="G2054">
        <v>5410</v>
      </c>
      <c r="H2054" t="s">
        <v>4325</v>
      </c>
      <c r="I2054" t="s">
        <v>103</v>
      </c>
      <c r="K2054">
        <v>2570091</v>
      </c>
      <c r="L2054">
        <v>1133090</v>
      </c>
      <c r="M2054">
        <v>1047</v>
      </c>
      <c r="N2054" t="s">
        <v>4602</v>
      </c>
    </row>
    <row r="2055" spans="1:14" x14ac:dyDescent="0.25">
      <c r="A2055">
        <v>8570636</v>
      </c>
      <c r="B2055" t="s">
        <v>4603</v>
      </c>
      <c r="C2055" t="s">
        <v>101</v>
      </c>
      <c r="D2055" t="s">
        <v>86</v>
      </c>
      <c r="E2055" t="s">
        <v>87</v>
      </c>
      <c r="F2055" t="s">
        <v>4549</v>
      </c>
      <c r="G2055">
        <v>5410</v>
      </c>
      <c r="H2055" t="s">
        <v>4325</v>
      </c>
      <c r="I2055" t="s">
        <v>103</v>
      </c>
      <c r="K2055">
        <v>2570832</v>
      </c>
      <c r="L2055">
        <v>1133198</v>
      </c>
      <c r="M2055">
        <v>1205</v>
      </c>
      <c r="N2055" t="s">
        <v>4604</v>
      </c>
    </row>
    <row r="2056" spans="1:14" x14ac:dyDescent="0.25">
      <c r="A2056">
        <v>8511127</v>
      </c>
      <c r="B2056" t="s">
        <v>4605</v>
      </c>
      <c r="C2056" t="s">
        <v>101</v>
      </c>
      <c r="D2056" t="s">
        <v>86</v>
      </c>
      <c r="E2056" t="s">
        <v>87</v>
      </c>
      <c r="F2056" t="s">
        <v>4549</v>
      </c>
      <c r="G2056">
        <v>5410</v>
      </c>
      <c r="H2056" t="s">
        <v>4553</v>
      </c>
      <c r="I2056" t="s">
        <v>103</v>
      </c>
      <c r="K2056">
        <v>2569229</v>
      </c>
      <c r="L2056">
        <v>1132491</v>
      </c>
      <c r="M2056">
        <v>858</v>
      </c>
      <c r="N2056" t="s">
        <v>4606</v>
      </c>
    </row>
    <row r="2057" spans="1:14" x14ac:dyDescent="0.25">
      <c r="A2057">
        <v>8501766</v>
      </c>
      <c r="B2057" t="s">
        <v>4607</v>
      </c>
      <c r="C2057" t="s">
        <v>101</v>
      </c>
      <c r="D2057" t="s">
        <v>86</v>
      </c>
      <c r="E2057" t="s">
        <v>87</v>
      </c>
      <c r="F2057" t="s">
        <v>4549</v>
      </c>
      <c r="G2057">
        <v>5410</v>
      </c>
      <c r="H2057" t="s">
        <v>4325</v>
      </c>
      <c r="I2057" t="s">
        <v>103</v>
      </c>
      <c r="K2057">
        <v>2571425</v>
      </c>
      <c r="L2057">
        <v>1133350</v>
      </c>
      <c r="M2057">
        <v>1260</v>
      </c>
      <c r="N2057" t="s">
        <v>4608</v>
      </c>
    </row>
    <row r="2058" spans="1:14" x14ac:dyDescent="0.25">
      <c r="A2058">
        <v>8531176</v>
      </c>
      <c r="B2058" t="s">
        <v>4609</v>
      </c>
      <c r="C2058" t="s">
        <v>2214</v>
      </c>
      <c r="D2058" t="s">
        <v>692</v>
      </c>
      <c r="E2058" t="s">
        <v>87</v>
      </c>
      <c r="F2058" t="s">
        <v>4549</v>
      </c>
      <c r="G2058">
        <v>5410</v>
      </c>
      <c r="H2058" t="s">
        <v>4325</v>
      </c>
      <c r="I2058" t="s">
        <v>2215</v>
      </c>
      <c r="J2058" t="s">
        <v>4610</v>
      </c>
      <c r="K2058">
        <v>2575525</v>
      </c>
      <c r="L2058">
        <v>1131474</v>
      </c>
      <c r="M2058">
        <v>1941</v>
      </c>
      <c r="N2058" t="s">
        <v>4611</v>
      </c>
    </row>
    <row r="2059" spans="1:14" x14ac:dyDescent="0.25">
      <c r="A2059">
        <v>8573653</v>
      </c>
      <c r="B2059" t="s">
        <v>4612</v>
      </c>
      <c r="C2059" t="s">
        <v>101</v>
      </c>
      <c r="D2059" t="s">
        <v>86</v>
      </c>
      <c r="E2059" t="s">
        <v>87</v>
      </c>
      <c r="F2059" t="s">
        <v>4549</v>
      </c>
      <c r="G2059">
        <v>5410</v>
      </c>
      <c r="H2059" t="s">
        <v>4569</v>
      </c>
      <c r="I2059" t="s">
        <v>103</v>
      </c>
      <c r="K2059">
        <v>2573159</v>
      </c>
      <c r="L2059">
        <v>1137221</v>
      </c>
      <c r="M2059">
        <v>1382</v>
      </c>
      <c r="N2059" t="s">
        <v>4613</v>
      </c>
    </row>
    <row r="2060" spans="1:14" x14ac:dyDescent="0.25">
      <c r="A2060">
        <v>8501792</v>
      </c>
      <c r="B2060" t="s">
        <v>4614</v>
      </c>
      <c r="C2060" t="s">
        <v>101</v>
      </c>
      <c r="D2060" t="s">
        <v>86</v>
      </c>
      <c r="E2060" t="s">
        <v>87</v>
      </c>
      <c r="F2060" t="s">
        <v>4549</v>
      </c>
      <c r="G2060">
        <v>5410</v>
      </c>
      <c r="H2060" t="s">
        <v>4569</v>
      </c>
      <c r="I2060" t="s">
        <v>103</v>
      </c>
      <c r="K2060">
        <v>2574059</v>
      </c>
      <c r="L2060">
        <v>1138497</v>
      </c>
      <c r="M2060">
        <v>1445</v>
      </c>
      <c r="N2060" t="s">
        <v>4615</v>
      </c>
    </row>
    <row r="2061" spans="1:14" x14ac:dyDescent="0.25">
      <c r="A2061">
        <v>8501474</v>
      </c>
      <c r="B2061" t="s">
        <v>4553</v>
      </c>
      <c r="C2061" t="s">
        <v>111</v>
      </c>
      <c r="D2061" t="s">
        <v>112</v>
      </c>
      <c r="E2061" t="s">
        <v>87</v>
      </c>
      <c r="F2061" t="s">
        <v>4549</v>
      </c>
      <c r="G2061">
        <v>5410</v>
      </c>
      <c r="H2061" t="s">
        <v>4553</v>
      </c>
      <c r="I2061" t="s">
        <v>113</v>
      </c>
      <c r="K2061">
        <v>2570303.9989999998</v>
      </c>
      <c r="L2061">
        <v>1134502.3970000001</v>
      </c>
      <c r="M2061">
        <v>975.4</v>
      </c>
      <c r="N2061" t="s">
        <v>4616</v>
      </c>
    </row>
    <row r="2062" spans="1:14" x14ac:dyDescent="0.25">
      <c r="A2062">
        <v>8586294</v>
      </c>
      <c r="B2062" t="s">
        <v>4617</v>
      </c>
      <c r="C2062" t="s">
        <v>101</v>
      </c>
      <c r="D2062" t="s">
        <v>86</v>
      </c>
      <c r="E2062" t="s">
        <v>87</v>
      </c>
      <c r="F2062" t="s">
        <v>4549</v>
      </c>
      <c r="G2062">
        <v>5410</v>
      </c>
      <c r="H2062" t="s">
        <v>4569</v>
      </c>
      <c r="I2062" t="s">
        <v>103</v>
      </c>
      <c r="K2062">
        <v>2573996</v>
      </c>
      <c r="L2062">
        <v>1138180</v>
      </c>
      <c r="M2062">
        <v>1435</v>
      </c>
      <c r="N2062" t="s">
        <v>4618</v>
      </c>
    </row>
    <row r="2063" spans="1:14" x14ac:dyDescent="0.25">
      <c r="A2063">
        <v>8570623</v>
      </c>
      <c r="B2063" t="s">
        <v>4619</v>
      </c>
      <c r="C2063" t="s">
        <v>101</v>
      </c>
      <c r="D2063" t="s">
        <v>86</v>
      </c>
      <c r="E2063" t="s">
        <v>87</v>
      </c>
      <c r="F2063" t="s">
        <v>4549</v>
      </c>
      <c r="G2063">
        <v>5410</v>
      </c>
      <c r="H2063" t="s">
        <v>4553</v>
      </c>
      <c r="I2063" t="s">
        <v>103</v>
      </c>
      <c r="K2063">
        <v>2570870</v>
      </c>
      <c r="L2063">
        <v>1134759</v>
      </c>
      <c r="M2063">
        <v>1125</v>
      </c>
      <c r="N2063" t="s">
        <v>4620</v>
      </c>
    </row>
    <row r="2064" spans="1:14" x14ac:dyDescent="0.25">
      <c r="A2064">
        <v>8570621</v>
      </c>
      <c r="B2064" t="s">
        <v>4621</v>
      </c>
      <c r="C2064" t="s">
        <v>101</v>
      </c>
      <c r="D2064" t="s">
        <v>86</v>
      </c>
      <c r="E2064" t="s">
        <v>87</v>
      </c>
      <c r="F2064" t="s">
        <v>4549</v>
      </c>
      <c r="G2064">
        <v>5410</v>
      </c>
      <c r="H2064" t="s">
        <v>4572</v>
      </c>
      <c r="I2064" t="s">
        <v>103</v>
      </c>
      <c r="K2064">
        <v>2572314</v>
      </c>
      <c r="L2064">
        <v>1136089</v>
      </c>
      <c r="M2064">
        <v>1323</v>
      </c>
      <c r="N2064" t="s">
        <v>4622</v>
      </c>
    </row>
    <row r="2065" spans="1:14" x14ac:dyDescent="0.25">
      <c r="A2065">
        <v>8579123</v>
      </c>
      <c r="B2065" t="s">
        <v>4623</v>
      </c>
      <c r="C2065" t="s">
        <v>101</v>
      </c>
      <c r="D2065" t="s">
        <v>86</v>
      </c>
      <c r="E2065" t="s">
        <v>87</v>
      </c>
      <c r="F2065" t="s">
        <v>4624</v>
      </c>
      <c r="G2065">
        <v>5411</v>
      </c>
      <c r="H2065" t="s">
        <v>4625</v>
      </c>
      <c r="I2065" t="s">
        <v>103</v>
      </c>
      <c r="J2065" t="s">
        <v>4304</v>
      </c>
      <c r="K2065">
        <v>2577024</v>
      </c>
      <c r="L2065">
        <v>1130881</v>
      </c>
      <c r="M2065">
        <v>1554</v>
      </c>
      <c r="N2065" t="s">
        <v>4626</v>
      </c>
    </row>
    <row r="2066" spans="1:14" x14ac:dyDescent="0.25">
      <c r="A2066">
        <v>8510704</v>
      </c>
      <c r="B2066" t="s">
        <v>4627</v>
      </c>
      <c r="C2066" t="s">
        <v>101</v>
      </c>
      <c r="D2066" t="s">
        <v>86</v>
      </c>
      <c r="E2066" t="s">
        <v>87</v>
      </c>
      <c r="F2066" t="s">
        <v>4624</v>
      </c>
      <c r="G2066">
        <v>5411</v>
      </c>
      <c r="H2066" t="s">
        <v>4625</v>
      </c>
      <c r="I2066" t="s">
        <v>103</v>
      </c>
      <c r="K2066">
        <v>2576773.86937</v>
      </c>
      <c r="L2066">
        <v>1131106.2239399999</v>
      </c>
      <c r="M2066">
        <v>1659</v>
      </c>
      <c r="N2066" t="s">
        <v>4628</v>
      </c>
    </row>
    <row r="2067" spans="1:14" x14ac:dyDescent="0.25">
      <c r="A2067">
        <v>8511108</v>
      </c>
      <c r="B2067" t="s">
        <v>4629</v>
      </c>
      <c r="C2067" t="s">
        <v>101</v>
      </c>
      <c r="D2067" t="s">
        <v>86</v>
      </c>
      <c r="E2067" t="s">
        <v>87</v>
      </c>
      <c r="F2067" t="s">
        <v>4624</v>
      </c>
      <c r="G2067">
        <v>5411</v>
      </c>
      <c r="H2067" t="s">
        <v>4630</v>
      </c>
      <c r="I2067" t="s">
        <v>103</v>
      </c>
      <c r="K2067">
        <v>2574528</v>
      </c>
      <c r="L2067">
        <v>1133963</v>
      </c>
      <c r="M2067">
        <v>1095</v>
      </c>
      <c r="N2067" t="s">
        <v>4631</v>
      </c>
    </row>
    <row r="2068" spans="1:14" x14ac:dyDescent="0.25">
      <c r="A2068">
        <v>8511193</v>
      </c>
      <c r="B2068" t="s">
        <v>4632</v>
      </c>
      <c r="C2068" t="s">
        <v>101</v>
      </c>
      <c r="D2068" t="s">
        <v>86</v>
      </c>
      <c r="E2068" t="s">
        <v>87</v>
      </c>
      <c r="F2068" t="s">
        <v>4624</v>
      </c>
      <c r="G2068">
        <v>5411</v>
      </c>
      <c r="H2068" t="s">
        <v>4625</v>
      </c>
      <c r="I2068" t="s">
        <v>103</v>
      </c>
      <c r="K2068">
        <v>2578771</v>
      </c>
      <c r="L2068">
        <v>1133562</v>
      </c>
      <c r="M2068">
        <v>1282.7</v>
      </c>
      <c r="N2068" t="s">
        <v>4633</v>
      </c>
    </row>
    <row r="2069" spans="1:14" x14ac:dyDescent="0.25">
      <c r="A2069">
        <v>8530039</v>
      </c>
      <c r="B2069" t="s">
        <v>4634</v>
      </c>
      <c r="C2069" t="s">
        <v>4635</v>
      </c>
      <c r="D2069" t="s">
        <v>1036</v>
      </c>
      <c r="E2069" t="s">
        <v>87</v>
      </c>
      <c r="F2069" t="s">
        <v>4624</v>
      </c>
      <c r="G2069">
        <v>5411</v>
      </c>
      <c r="H2069" t="s">
        <v>4625</v>
      </c>
      <c r="I2069" t="s">
        <v>4636</v>
      </c>
      <c r="J2069" t="s">
        <v>4637</v>
      </c>
      <c r="K2069">
        <v>2582040</v>
      </c>
      <c r="L2069">
        <v>1133667</v>
      </c>
      <c r="M2069">
        <v>1555</v>
      </c>
      <c r="N2069" t="s">
        <v>4638</v>
      </c>
    </row>
    <row r="2070" spans="1:14" x14ac:dyDescent="0.25">
      <c r="A2070">
        <v>8530870</v>
      </c>
      <c r="B2070" t="s">
        <v>4639</v>
      </c>
      <c r="C2070" t="s">
        <v>4635</v>
      </c>
      <c r="E2070" t="s">
        <v>87</v>
      </c>
      <c r="F2070" t="s">
        <v>4624</v>
      </c>
      <c r="G2070">
        <v>5411</v>
      </c>
      <c r="H2070" t="s">
        <v>4625</v>
      </c>
      <c r="I2070" t="s">
        <v>4636</v>
      </c>
      <c r="J2070" t="s">
        <v>4640</v>
      </c>
      <c r="K2070">
        <v>2582773</v>
      </c>
      <c r="L2070">
        <v>1132092</v>
      </c>
      <c r="M2070">
        <v>2520</v>
      </c>
      <c r="N2070" t="s">
        <v>4641</v>
      </c>
    </row>
    <row r="2071" spans="1:14" x14ac:dyDescent="0.25">
      <c r="A2071">
        <v>8593775</v>
      </c>
      <c r="B2071" t="s">
        <v>4642</v>
      </c>
      <c r="C2071" t="s">
        <v>111</v>
      </c>
      <c r="D2071" t="s">
        <v>112</v>
      </c>
      <c r="E2071" t="s">
        <v>87</v>
      </c>
      <c r="F2071" t="s">
        <v>4624</v>
      </c>
      <c r="G2071">
        <v>5411</v>
      </c>
      <c r="H2071" t="s">
        <v>4630</v>
      </c>
      <c r="I2071" t="s">
        <v>113</v>
      </c>
      <c r="K2071">
        <v>2575438.105</v>
      </c>
      <c r="L2071">
        <v>1133725.5460000001</v>
      </c>
      <c r="M2071">
        <v>1096.5999999999999</v>
      </c>
      <c r="N2071" t="s">
        <v>4643</v>
      </c>
    </row>
    <row r="2072" spans="1:14" x14ac:dyDescent="0.25">
      <c r="A2072">
        <v>8512176</v>
      </c>
      <c r="B2072" t="s">
        <v>4644</v>
      </c>
      <c r="C2072" t="s">
        <v>101</v>
      </c>
      <c r="D2072" t="s">
        <v>86</v>
      </c>
      <c r="E2072" t="s">
        <v>87</v>
      </c>
      <c r="F2072" t="s">
        <v>4624</v>
      </c>
      <c r="G2072">
        <v>5411</v>
      </c>
      <c r="H2072" t="s">
        <v>4630</v>
      </c>
      <c r="I2072" t="s">
        <v>103</v>
      </c>
      <c r="K2072">
        <v>2575970.2428199998</v>
      </c>
      <c r="L2072">
        <v>1133853.2823999999</v>
      </c>
      <c r="M2072">
        <v>1118.4000000000001</v>
      </c>
      <c r="N2072" t="s">
        <v>4645</v>
      </c>
    </row>
    <row r="2073" spans="1:14" x14ac:dyDescent="0.25">
      <c r="A2073">
        <v>8517485</v>
      </c>
      <c r="B2073" t="s">
        <v>4646</v>
      </c>
      <c r="C2073" t="s">
        <v>111</v>
      </c>
      <c r="D2073" t="s">
        <v>112</v>
      </c>
      <c r="E2073" t="s">
        <v>87</v>
      </c>
      <c r="F2073" t="s">
        <v>4624</v>
      </c>
      <c r="G2073">
        <v>5411</v>
      </c>
      <c r="H2073" t="s">
        <v>4630</v>
      </c>
      <c r="I2073" t="s">
        <v>113</v>
      </c>
      <c r="K2073">
        <v>2573982.0210000002</v>
      </c>
      <c r="L2073">
        <v>1133602.713</v>
      </c>
      <c r="M2073">
        <v>1123.7</v>
      </c>
      <c r="N2073" t="s">
        <v>4647</v>
      </c>
    </row>
    <row r="2074" spans="1:14" x14ac:dyDescent="0.25">
      <c r="A2074">
        <v>8584842</v>
      </c>
      <c r="B2074" t="s">
        <v>4648</v>
      </c>
      <c r="C2074" t="s">
        <v>94</v>
      </c>
      <c r="D2074" t="s">
        <v>86</v>
      </c>
      <c r="E2074" t="s">
        <v>87</v>
      </c>
      <c r="F2074" t="s">
        <v>4624</v>
      </c>
      <c r="G2074">
        <v>5411</v>
      </c>
      <c r="H2074" t="s">
        <v>4625</v>
      </c>
      <c r="I2074" t="s">
        <v>96</v>
      </c>
      <c r="K2074">
        <v>2577997</v>
      </c>
      <c r="L2074">
        <v>1133533</v>
      </c>
      <c r="M2074">
        <v>1158</v>
      </c>
      <c r="N2074" t="s">
        <v>4649</v>
      </c>
    </row>
    <row r="2075" spans="1:14" x14ac:dyDescent="0.25">
      <c r="A2075">
        <v>8584840</v>
      </c>
      <c r="B2075" t="s">
        <v>4650</v>
      </c>
      <c r="C2075" t="s">
        <v>94</v>
      </c>
      <c r="D2075" t="s">
        <v>86</v>
      </c>
      <c r="E2075" t="s">
        <v>87</v>
      </c>
      <c r="F2075" t="s">
        <v>4624</v>
      </c>
      <c r="G2075">
        <v>5411</v>
      </c>
      <c r="H2075" t="s">
        <v>4625</v>
      </c>
      <c r="I2075" t="s">
        <v>96</v>
      </c>
      <c r="K2075">
        <v>2578319</v>
      </c>
      <c r="L2075">
        <v>1132991</v>
      </c>
      <c r="M2075">
        <v>1161</v>
      </c>
      <c r="N2075" t="s">
        <v>4651</v>
      </c>
    </row>
    <row r="2076" spans="1:14" x14ac:dyDescent="0.25">
      <c r="A2076">
        <v>8584841</v>
      </c>
      <c r="B2076" t="s">
        <v>4652</v>
      </c>
      <c r="C2076" t="s">
        <v>94</v>
      </c>
      <c r="D2076" t="s">
        <v>86</v>
      </c>
      <c r="E2076" t="s">
        <v>87</v>
      </c>
      <c r="F2076" t="s">
        <v>4624</v>
      </c>
      <c r="G2076">
        <v>5411</v>
      </c>
      <c r="H2076" t="s">
        <v>4625</v>
      </c>
      <c r="I2076" t="s">
        <v>96</v>
      </c>
      <c r="K2076">
        <v>2578229</v>
      </c>
      <c r="L2076">
        <v>1132948</v>
      </c>
      <c r="M2076">
        <v>1162</v>
      </c>
      <c r="N2076" t="s">
        <v>4653</v>
      </c>
    </row>
    <row r="2077" spans="1:14" x14ac:dyDescent="0.25">
      <c r="A2077">
        <v>8579125</v>
      </c>
      <c r="B2077" t="s">
        <v>4654</v>
      </c>
      <c r="C2077" t="s">
        <v>101</v>
      </c>
      <c r="D2077" t="s">
        <v>86</v>
      </c>
      <c r="E2077" t="s">
        <v>87</v>
      </c>
      <c r="F2077" t="s">
        <v>4624</v>
      </c>
      <c r="G2077">
        <v>5411</v>
      </c>
      <c r="H2077" t="s">
        <v>4625</v>
      </c>
      <c r="I2077" t="s">
        <v>103</v>
      </c>
      <c r="K2077">
        <v>2578207</v>
      </c>
      <c r="L2077">
        <v>1133349</v>
      </c>
      <c r="M2077">
        <v>1155</v>
      </c>
      <c r="N2077" t="s">
        <v>4655</v>
      </c>
    </row>
    <row r="2078" spans="1:14" x14ac:dyDescent="0.25">
      <c r="A2078">
        <v>8511191</v>
      </c>
      <c r="B2078" t="s">
        <v>4656</v>
      </c>
      <c r="C2078" t="s">
        <v>101</v>
      </c>
      <c r="D2078" t="s">
        <v>86</v>
      </c>
      <c r="E2078" t="s">
        <v>87</v>
      </c>
      <c r="F2078" t="s">
        <v>4624</v>
      </c>
      <c r="G2078">
        <v>5411</v>
      </c>
      <c r="H2078" t="s">
        <v>4625</v>
      </c>
      <c r="I2078" t="s">
        <v>103</v>
      </c>
      <c r="K2078">
        <v>2577792</v>
      </c>
      <c r="L2078">
        <v>1133672</v>
      </c>
      <c r="M2078">
        <v>1155</v>
      </c>
      <c r="N2078" t="s">
        <v>4657</v>
      </c>
    </row>
    <row r="2079" spans="1:14" x14ac:dyDescent="0.25">
      <c r="A2079">
        <v>8530038</v>
      </c>
      <c r="B2079" t="s">
        <v>4658</v>
      </c>
      <c r="C2079" t="s">
        <v>2214</v>
      </c>
      <c r="D2079" t="s">
        <v>1036</v>
      </c>
      <c r="E2079" t="s">
        <v>87</v>
      </c>
      <c r="F2079" t="s">
        <v>4624</v>
      </c>
      <c r="G2079">
        <v>5411</v>
      </c>
      <c r="H2079" t="s">
        <v>4625</v>
      </c>
      <c r="I2079" t="s">
        <v>2215</v>
      </c>
      <c r="J2079" t="s">
        <v>4659</v>
      </c>
      <c r="K2079">
        <v>2578575</v>
      </c>
      <c r="L2079">
        <v>1133226</v>
      </c>
      <c r="M2079">
        <v>1192</v>
      </c>
      <c r="N2079" t="s">
        <v>4660</v>
      </c>
    </row>
    <row r="2080" spans="1:14" x14ac:dyDescent="0.25">
      <c r="A2080">
        <v>8531174</v>
      </c>
      <c r="B2080" t="s">
        <v>4661</v>
      </c>
      <c r="C2080" t="s">
        <v>2214</v>
      </c>
      <c r="D2080" t="s">
        <v>692</v>
      </c>
      <c r="E2080" t="s">
        <v>87</v>
      </c>
      <c r="F2080" t="s">
        <v>4624</v>
      </c>
      <c r="G2080">
        <v>5411</v>
      </c>
      <c r="H2080" t="s">
        <v>4625</v>
      </c>
      <c r="I2080" t="s">
        <v>2215</v>
      </c>
      <c r="J2080" t="s">
        <v>4662</v>
      </c>
      <c r="K2080">
        <v>2576458</v>
      </c>
      <c r="L2080">
        <v>1131253</v>
      </c>
      <c r="M2080">
        <v>1717</v>
      </c>
      <c r="N2080" t="s">
        <v>4663</v>
      </c>
    </row>
    <row r="2081" spans="1:14" x14ac:dyDescent="0.25">
      <c r="A2081">
        <v>8584837</v>
      </c>
      <c r="B2081" t="s">
        <v>4664</v>
      </c>
      <c r="C2081" t="s">
        <v>94</v>
      </c>
      <c r="D2081" t="s">
        <v>86</v>
      </c>
      <c r="E2081" t="s">
        <v>87</v>
      </c>
      <c r="F2081" t="s">
        <v>4624</v>
      </c>
      <c r="G2081">
        <v>5411</v>
      </c>
      <c r="H2081" t="s">
        <v>4625</v>
      </c>
      <c r="I2081" t="s">
        <v>96</v>
      </c>
      <c r="K2081">
        <v>2579327</v>
      </c>
      <c r="L2081">
        <v>1133155</v>
      </c>
      <c r="M2081">
        <v>1270</v>
      </c>
      <c r="N2081" t="s">
        <v>4665</v>
      </c>
    </row>
    <row r="2082" spans="1:14" x14ac:dyDescent="0.25">
      <c r="A2082">
        <v>8511109</v>
      </c>
      <c r="B2082" t="s">
        <v>4666</v>
      </c>
      <c r="C2082" t="s">
        <v>101</v>
      </c>
      <c r="D2082" t="s">
        <v>86</v>
      </c>
      <c r="E2082" t="s">
        <v>87</v>
      </c>
      <c r="F2082" t="s">
        <v>4624</v>
      </c>
      <c r="G2082">
        <v>5411</v>
      </c>
      <c r="H2082" t="s">
        <v>4630</v>
      </c>
      <c r="I2082" t="s">
        <v>103</v>
      </c>
      <c r="K2082">
        <v>2576439</v>
      </c>
      <c r="L2082">
        <v>1133833</v>
      </c>
      <c r="M2082">
        <v>1145</v>
      </c>
      <c r="N2082" t="s">
        <v>4667</v>
      </c>
    </row>
    <row r="2083" spans="1:14" x14ac:dyDescent="0.25">
      <c r="A2083">
        <v>8511189</v>
      </c>
      <c r="B2083" t="s">
        <v>4668</v>
      </c>
      <c r="C2083" t="s">
        <v>101</v>
      </c>
      <c r="D2083" t="s">
        <v>86</v>
      </c>
      <c r="E2083" t="s">
        <v>87</v>
      </c>
      <c r="F2083" t="s">
        <v>4624</v>
      </c>
      <c r="G2083">
        <v>5411</v>
      </c>
      <c r="H2083" t="s">
        <v>4625</v>
      </c>
      <c r="I2083" t="s">
        <v>103</v>
      </c>
      <c r="K2083">
        <v>2578269</v>
      </c>
      <c r="L2083">
        <v>1133706</v>
      </c>
      <c r="M2083">
        <v>1209.2</v>
      </c>
      <c r="N2083" t="s">
        <v>4669</v>
      </c>
    </row>
    <row r="2084" spans="1:14" x14ac:dyDescent="0.25">
      <c r="A2084">
        <v>8571278</v>
      </c>
      <c r="B2084" t="s">
        <v>4670</v>
      </c>
      <c r="C2084" t="s">
        <v>94</v>
      </c>
      <c r="D2084" t="s">
        <v>86</v>
      </c>
      <c r="E2084" t="s">
        <v>87</v>
      </c>
      <c r="F2084" t="s">
        <v>4624</v>
      </c>
      <c r="G2084">
        <v>5411</v>
      </c>
      <c r="H2084" t="s">
        <v>4625</v>
      </c>
      <c r="I2084" t="s">
        <v>96</v>
      </c>
      <c r="K2084">
        <v>2580316</v>
      </c>
      <c r="L2084">
        <v>1133177</v>
      </c>
      <c r="M2084">
        <v>1385</v>
      </c>
      <c r="N2084" t="s">
        <v>4671</v>
      </c>
    </row>
    <row r="2085" spans="1:14" x14ac:dyDescent="0.25">
      <c r="A2085">
        <v>8571277</v>
      </c>
      <c r="B2085" t="s">
        <v>4672</v>
      </c>
      <c r="C2085" t="s">
        <v>94</v>
      </c>
      <c r="D2085" t="s">
        <v>86</v>
      </c>
      <c r="E2085" t="s">
        <v>87</v>
      </c>
      <c r="F2085" t="s">
        <v>4624</v>
      </c>
      <c r="G2085">
        <v>5411</v>
      </c>
      <c r="H2085" t="s">
        <v>4625</v>
      </c>
      <c r="I2085" t="s">
        <v>96</v>
      </c>
      <c r="K2085">
        <v>2583568</v>
      </c>
      <c r="L2085">
        <v>1134247</v>
      </c>
      <c r="M2085">
        <v>1441</v>
      </c>
      <c r="N2085" t="s">
        <v>4673</v>
      </c>
    </row>
    <row r="2086" spans="1:14" x14ac:dyDescent="0.25">
      <c r="A2086">
        <v>8511194</v>
      </c>
      <c r="B2086" t="s">
        <v>4674</v>
      </c>
      <c r="C2086" t="s">
        <v>101</v>
      </c>
      <c r="D2086" t="s">
        <v>86</v>
      </c>
      <c r="E2086" t="s">
        <v>87</v>
      </c>
      <c r="F2086" t="s">
        <v>4624</v>
      </c>
      <c r="G2086">
        <v>5411</v>
      </c>
      <c r="H2086" t="s">
        <v>4625</v>
      </c>
      <c r="I2086" t="s">
        <v>103</v>
      </c>
      <c r="K2086">
        <v>2578971.8223799998</v>
      </c>
      <c r="L2086">
        <v>1133643.8918000001</v>
      </c>
      <c r="M2086">
        <v>1329.6</v>
      </c>
      <c r="N2086" t="s">
        <v>4675</v>
      </c>
    </row>
    <row r="2087" spans="1:14" x14ac:dyDescent="0.25">
      <c r="A2087">
        <v>8593776</v>
      </c>
      <c r="B2087" t="s">
        <v>4676</v>
      </c>
      <c r="C2087" t="s">
        <v>111</v>
      </c>
      <c r="D2087" t="s">
        <v>112</v>
      </c>
      <c r="E2087" t="s">
        <v>87</v>
      </c>
      <c r="F2087" t="s">
        <v>4624</v>
      </c>
      <c r="G2087">
        <v>5411</v>
      </c>
      <c r="H2087" t="s">
        <v>4630</v>
      </c>
      <c r="I2087" t="s">
        <v>113</v>
      </c>
      <c r="K2087">
        <v>2576181.2560000001</v>
      </c>
      <c r="L2087">
        <v>1133623.6200000001</v>
      </c>
      <c r="M2087">
        <v>1108.5999999999999</v>
      </c>
      <c r="N2087" t="s">
        <v>4677</v>
      </c>
    </row>
    <row r="2088" spans="1:14" x14ac:dyDescent="0.25">
      <c r="A2088">
        <v>8531229</v>
      </c>
      <c r="B2088" t="s">
        <v>4678</v>
      </c>
      <c r="C2088" t="s">
        <v>4635</v>
      </c>
      <c r="E2088" t="s">
        <v>87</v>
      </c>
      <c r="F2088" t="s">
        <v>4624</v>
      </c>
      <c r="G2088">
        <v>5411</v>
      </c>
      <c r="H2088" t="s">
        <v>4625</v>
      </c>
      <c r="I2088" t="s">
        <v>4636</v>
      </c>
      <c r="J2088" t="s">
        <v>4679</v>
      </c>
      <c r="K2088">
        <v>2581990</v>
      </c>
      <c r="L2088">
        <v>1130583</v>
      </c>
      <c r="M2088">
        <v>2935</v>
      </c>
      <c r="N2088" t="s">
        <v>4680</v>
      </c>
    </row>
    <row r="2089" spans="1:14" x14ac:dyDescent="0.25">
      <c r="A2089">
        <v>8579124</v>
      </c>
      <c r="B2089" t="s">
        <v>4681</v>
      </c>
      <c r="C2089" t="s">
        <v>101</v>
      </c>
      <c r="D2089" t="s">
        <v>86</v>
      </c>
      <c r="E2089" t="s">
        <v>87</v>
      </c>
      <c r="F2089" t="s">
        <v>4624</v>
      </c>
      <c r="G2089">
        <v>5411</v>
      </c>
      <c r="H2089" t="s">
        <v>4625</v>
      </c>
      <c r="I2089" t="s">
        <v>103</v>
      </c>
      <c r="J2089" t="s">
        <v>4304</v>
      </c>
      <c r="K2089">
        <v>2578424</v>
      </c>
      <c r="L2089">
        <v>1132090</v>
      </c>
      <c r="M2089">
        <v>1232</v>
      </c>
      <c r="N2089" t="s">
        <v>4682</v>
      </c>
    </row>
    <row r="2090" spans="1:14" x14ac:dyDescent="0.25">
      <c r="A2090">
        <v>8511112</v>
      </c>
      <c r="B2090" t="s">
        <v>4683</v>
      </c>
      <c r="C2090" t="s">
        <v>101</v>
      </c>
      <c r="D2090" t="s">
        <v>86</v>
      </c>
      <c r="E2090" t="s">
        <v>87</v>
      </c>
      <c r="F2090" t="s">
        <v>4624</v>
      </c>
      <c r="G2090">
        <v>5411</v>
      </c>
      <c r="H2090" t="s">
        <v>4625</v>
      </c>
      <c r="I2090" t="s">
        <v>103</v>
      </c>
      <c r="K2090">
        <v>2577619</v>
      </c>
      <c r="L2090">
        <v>1133790</v>
      </c>
      <c r="M2090">
        <v>1150</v>
      </c>
      <c r="N2090" t="s">
        <v>4684</v>
      </c>
    </row>
    <row r="2091" spans="1:14" x14ac:dyDescent="0.25">
      <c r="A2091">
        <v>8571280</v>
      </c>
      <c r="B2091" t="s">
        <v>4685</v>
      </c>
      <c r="C2091" t="s">
        <v>94</v>
      </c>
      <c r="D2091" t="s">
        <v>86</v>
      </c>
      <c r="E2091" t="s">
        <v>87</v>
      </c>
      <c r="F2091" t="s">
        <v>4624</v>
      </c>
      <c r="G2091">
        <v>5411</v>
      </c>
      <c r="H2091" t="s">
        <v>4625</v>
      </c>
      <c r="I2091" t="s">
        <v>96</v>
      </c>
      <c r="K2091">
        <v>2579056</v>
      </c>
      <c r="L2091">
        <v>1133273</v>
      </c>
      <c r="M2091">
        <v>1246</v>
      </c>
      <c r="N2091" t="s">
        <v>4686</v>
      </c>
    </row>
    <row r="2092" spans="1:14" x14ac:dyDescent="0.25">
      <c r="A2092">
        <v>8511190</v>
      </c>
      <c r="B2092" t="s">
        <v>4687</v>
      </c>
      <c r="C2092" t="s">
        <v>101</v>
      </c>
      <c r="D2092" t="s">
        <v>86</v>
      </c>
      <c r="E2092" t="s">
        <v>87</v>
      </c>
      <c r="F2092" t="s">
        <v>4624</v>
      </c>
      <c r="G2092">
        <v>5411</v>
      </c>
      <c r="H2092" t="s">
        <v>4625</v>
      </c>
      <c r="I2092" t="s">
        <v>103</v>
      </c>
      <c r="K2092">
        <v>2581515</v>
      </c>
      <c r="L2092">
        <v>1134236</v>
      </c>
      <c r="M2092">
        <v>1685.2</v>
      </c>
      <c r="N2092" t="s">
        <v>4688</v>
      </c>
    </row>
    <row r="2093" spans="1:14" x14ac:dyDescent="0.25">
      <c r="A2093">
        <v>8511192</v>
      </c>
      <c r="B2093" t="s">
        <v>4689</v>
      </c>
      <c r="C2093" t="s">
        <v>101</v>
      </c>
      <c r="D2093" t="s">
        <v>86</v>
      </c>
      <c r="E2093" t="s">
        <v>87</v>
      </c>
      <c r="F2093" t="s">
        <v>4624</v>
      </c>
      <c r="G2093">
        <v>5411</v>
      </c>
      <c r="H2093" t="s">
        <v>4625</v>
      </c>
      <c r="I2093" t="s">
        <v>103</v>
      </c>
      <c r="K2093">
        <v>2579084</v>
      </c>
      <c r="L2093">
        <v>1133515</v>
      </c>
      <c r="M2093">
        <v>1323.2</v>
      </c>
      <c r="N2093" t="s">
        <v>4690</v>
      </c>
    </row>
    <row r="2094" spans="1:14" x14ac:dyDescent="0.25">
      <c r="A2094">
        <v>8530590</v>
      </c>
      <c r="B2094" t="s">
        <v>4691</v>
      </c>
      <c r="C2094" t="s">
        <v>4635</v>
      </c>
      <c r="D2094" t="s">
        <v>1036</v>
      </c>
      <c r="E2094" t="s">
        <v>87</v>
      </c>
      <c r="F2094" t="s">
        <v>4624</v>
      </c>
      <c r="G2094">
        <v>5411</v>
      </c>
      <c r="H2094" t="s">
        <v>4625</v>
      </c>
      <c r="I2094" t="s">
        <v>4636</v>
      </c>
      <c r="J2094" t="s">
        <v>4692</v>
      </c>
      <c r="K2094">
        <v>2582760</v>
      </c>
      <c r="L2094">
        <v>1132113</v>
      </c>
      <c r="M2094">
        <v>2517</v>
      </c>
      <c r="N2094" t="s">
        <v>4693</v>
      </c>
    </row>
    <row r="2095" spans="1:14" x14ac:dyDescent="0.25">
      <c r="A2095">
        <v>8530869</v>
      </c>
      <c r="B2095" t="s">
        <v>4694</v>
      </c>
      <c r="C2095" t="s">
        <v>4635</v>
      </c>
      <c r="E2095" t="s">
        <v>87</v>
      </c>
      <c r="F2095" t="s">
        <v>4624</v>
      </c>
      <c r="G2095">
        <v>5411</v>
      </c>
      <c r="H2095" t="s">
        <v>4625</v>
      </c>
      <c r="I2095" t="s">
        <v>4636</v>
      </c>
      <c r="J2095" t="s">
        <v>4695</v>
      </c>
      <c r="K2095">
        <v>2582742</v>
      </c>
      <c r="L2095">
        <v>1132086</v>
      </c>
      <c r="M2095">
        <v>2521</v>
      </c>
      <c r="N2095" t="s">
        <v>4696</v>
      </c>
    </row>
    <row r="2096" spans="1:14" x14ac:dyDescent="0.25">
      <c r="A2096">
        <v>8531155</v>
      </c>
      <c r="B2096" t="s">
        <v>4697</v>
      </c>
      <c r="C2096" t="s">
        <v>4635</v>
      </c>
      <c r="D2096" t="s">
        <v>692</v>
      </c>
      <c r="E2096" t="s">
        <v>87</v>
      </c>
      <c r="F2096" t="s">
        <v>4624</v>
      </c>
      <c r="G2096">
        <v>5411</v>
      </c>
      <c r="H2096" t="s">
        <v>4625</v>
      </c>
      <c r="I2096" t="s">
        <v>4636</v>
      </c>
      <c r="J2096" t="s">
        <v>4698</v>
      </c>
      <c r="K2096">
        <v>2582346</v>
      </c>
      <c r="L2096">
        <v>1130635</v>
      </c>
      <c r="M2096">
        <v>2819</v>
      </c>
      <c r="N2096" t="s">
        <v>4699</v>
      </c>
    </row>
    <row r="2097" spans="1:14" x14ac:dyDescent="0.25">
      <c r="A2097">
        <v>8531175</v>
      </c>
      <c r="B2097" t="s">
        <v>4700</v>
      </c>
      <c r="C2097" t="s">
        <v>2214</v>
      </c>
      <c r="D2097" t="s">
        <v>692</v>
      </c>
      <c r="E2097" t="s">
        <v>87</v>
      </c>
      <c r="F2097" t="s">
        <v>4624</v>
      </c>
      <c r="G2097">
        <v>5411</v>
      </c>
      <c r="H2097" t="s">
        <v>4625</v>
      </c>
      <c r="I2097" t="s">
        <v>2215</v>
      </c>
      <c r="J2097" t="s">
        <v>4701</v>
      </c>
      <c r="K2097">
        <v>2576359</v>
      </c>
      <c r="L2097">
        <v>1132079</v>
      </c>
      <c r="M2097">
        <v>1531</v>
      </c>
      <c r="N2097" t="s">
        <v>4702</v>
      </c>
    </row>
    <row r="2098" spans="1:14" x14ac:dyDescent="0.25">
      <c r="A2098">
        <v>8511110</v>
      </c>
      <c r="B2098" t="s">
        <v>4703</v>
      </c>
      <c r="C2098" t="s">
        <v>101</v>
      </c>
      <c r="D2098" t="s">
        <v>86</v>
      </c>
      <c r="E2098" t="s">
        <v>87</v>
      </c>
      <c r="F2098" t="s">
        <v>4624</v>
      </c>
      <c r="G2098">
        <v>5411</v>
      </c>
      <c r="H2098" t="s">
        <v>4625</v>
      </c>
      <c r="I2098" t="s">
        <v>103</v>
      </c>
      <c r="K2098">
        <v>2577169</v>
      </c>
      <c r="L2098">
        <v>1133856</v>
      </c>
      <c r="M2098">
        <v>1161</v>
      </c>
      <c r="N2098" t="s">
        <v>4704</v>
      </c>
    </row>
    <row r="2099" spans="1:14" x14ac:dyDescent="0.25">
      <c r="A2099">
        <v>8511195</v>
      </c>
      <c r="B2099" t="s">
        <v>4705</v>
      </c>
      <c r="C2099" t="s">
        <v>101</v>
      </c>
      <c r="D2099" t="s">
        <v>86</v>
      </c>
      <c r="E2099" t="s">
        <v>87</v>
      </c>
      <c r="F2099" t="s">
        <v>4624</v>
      </c>
      <c r="G2099">
        <v>5411</v>
      </c>
      <c r="H2099" t="s">
        <v>4625</v>
      </c>
      <c r="I2099" t="s">
        <v>103</v>
      </c>
      <c r="K2099">
        <v>2579276</v>
      </c>
      <c r="L2099">
        <v>1133350</v>
      </c>
      <c r="M2099">
        <v>1304.2</v>
      </c>
      <c r="N2099" t="s">
        <v>4706</v>
      </c>
    </row>
    <row r="2100" spans="1:14" x14ac:dyDescent="0.25">
      <c r="A2100">
        <v>8501793</v>
      </c>
      <c r="B2100" t="s">
        <v>4707</v>
      </c>
      <c r="C2100" t="s">
        <v>94</v>
      </c>
      <c r="D2100" t="s">
        <v>86</v>
      </c>
      <c r="E2100" t="s">
        <v>87</v>
      </c>
      <c r="F2100" t="s">
        <v>4624</v>
      </c>
      <c r="G2100">
        <v>5411</v>
      </c>
      <c r="H2100" t="s">
        <v>4625</v>
      </c>
      <c r="I2100" t="s">
        <v>96</v>
      </c>
      <c r="K2100">
        <v>2582063</v>
      </c>
      <c r="L2100">
        <v>1133631</v>
      </c>
      <c r="M2100">
        <v>1543</v>
      </c>
      <c r="N2100" t="s">
        <v>4708</v>
      </c>
    </row>
    <row r="2101" spans="1:14" x14ac:dyDescent="0.25">
      <c r="A2101">
        <v>8531173</v>
      </c>
      <c r="B2101" t="s">
        <v>4709</v>
      </c>
      <c r="C2101" t="s">
        <v>2214</v>
      </c>
      <c r="D2101" t="s">
        <v>692</v>
      </c>
      <c r="E2101" t="s">
        <v>87</v>
      </c>
      <c r="F2101" t="s">
        <v>4624</v>
      </c>
      <c r="G2101">
        <v>5411</v>
      </c>
      <c r="H2101" t="s">
        <v>4625</v>
      </c>
      <c r="I2101" t="s">
        <v>2215</v>
      </c>
      <c r="J2101" t="s">
        <v>4710</v>
      </c>
      <c r="K2101">
        <v>2578166.7366200001</v>
      </c>
      <c r="L2101">
        <v>1132731.55055</v>
      </c>
      <c r="M2101">
        <v>1171</v>
      </c>
      <c r="N2101" t="s">
        <v>4711</v>
      </c>
    </row>
    <row r="2102" spans="1:14" x14ac:dyDescent="0.25">
      <c r="A2102">
        <v>8571279</v>
      </c>
      <c r="B2102" t="s">
        <v>4712</v>
      </c>
      <c r="C2102" t="s">
        <v>94</v>
      </c>
      <c r="D2102" t="s">
        <v>86</v>
      </c>
      <c r="E2102" t="s">
        <v>87</v>
      </c>
      <c r="F2102" t="s">
        <v>4624</v>
      </c>
      <c r="G2102">
        <v>5411</v>
      </c>
      <c r="H2102" t="s">
        <v>4625</v>
      </c>
      <c r="I2102" t="s">
        <v>96</v>
      </c>
      <c r="K2102">
        <v>2579760</v>
      </c>
      <c r="L2102">
        <v>1133145</v>
      </c>
      <c r="M2102">
        <v>1311</v>
      </c>
      <c r="N2102" t="s">
        <v>4713</v>
      </c>
    </row>
    <row r="2103" spans="1:14" x14ac:dyDescent="0.25">
      <c r="A2103">
        <v>8511964</v>
      </c>
      <c r="B2103" t="s">
        <v>4714</v>
      </c>
      <c r="C2103" t="s">
        <v>101</v>
      </c>
      <c r="D2103" t="s">
        <v>86</v>
      </c>
      <c r="E2103" t="s">
        <v>87</v>
      </c>
      <c r="F2103" t="s">
        <v>4624</v>
      </c>
      <c r="G2103">
        <v>5411</v>
      </c>
      <c r="H2103" t="s">
        <v>4625</v>
      </c>
      <c r="I2103" t="s">
        <v>103</v>
      </c>
      <c r="K2103">
        <v>2578952.9875400001</v>
      </c>
      <c r="L2103">
        <v>1133472.7321299999</v>
      </c>
      <c r="M2103">
        <v>1294.8</v>
      </c>
      <c r="N2103" t="s">
        <v>4715</v>
      </c>
    </row>
    <row r="2104" spans="1:14" x14ac:dyDescent="0.25">
      <c r="A2104">
        <v>8511965</v>
      </c>
      <c r="B2104" t="s">
        <v>4716</v>
      </c>
      <c r="C2104" t="s">
        <v>101</v>
      </c>
      <c r="D2104" t="s">
        <v>86</v>
      </c>
      <c r="E2104" t="s">
        <v>87</v>
      </c>
      <c r="F2104" t="s">
        <v>4624</v>
      </c>
      <c r="G2104">
        <v>5411</v>
      </c>
      <c r="H2104" t="s">
        <v>4625</v>
      </c>
      <c r="I2104" t="s">
        <v>103</v>
      </c>
      <c r="K2104">
        <v>2578649.36093</v>
      </c>
      <c r="L2104">
        <v>1132085.2594999999</v>
      </c>
      <c r="M2104">
        <v>1196.8</v>
      </c>
      <c r="N2104" t="s">
        <v>4717</v>
      </c>
    </row>
    <row r="2105" spans="1:14" x14ac:dyDescent="0.25">
      <c r="A2105">
        <v>8512175</v>
      </c>
      <c r="B2105" t="s">
        <v>4718</v>
      </c>
      <c r="C2105" t="s">
        <v>101</v>
      </c>
      <c r="D2105" t="s">
        <v>86</v>
      </c>
      <c r="E2105" t="s">
        <v>87</v>
      </c>
      <c r="F2105" t="s">
        <v>4624</v>
      </c>
      <c r="G2105">
        <v>5411</v>
      </c>
      <c r="H2105" t="s">
        <v>4630</v>
      </c>
      <c r="I2105" t="s">
        <v>103</v>
      </c>
      <c r="K2105">
        <v>2575650.4461599998</v>
      </c>
      <c r="L2105">
        <v>1133772.0878000001</v>
      </c>
      <c r="M2105">
        <v>1111.5</v>
      </c>
      <c r="N2105" t="s">
        <v>4719</v>
      </c>
    </row>
    <row r="2106" spans="1:14" x14ac:dyDescent="0.25">
      <c r="A2106">
        <v>8593774</v>
      </c>
      <c r="B2106" t="s">
        <v>4720</v>
      </c>
      <c r="C2106" t="s">
        <v>111</v>
      </c>
      <c r="D2106" t="s">
        <v>112</v>
      </c>
      <c r="E2106" t="s">
        <v>87</v>
      </c>
      <c r="F2106" t="s">
        <v>4624</v>
      </c>
      <c r="G2106">
        <v>5411</v>
      </c>
      <c r="H2106" t="s">
        <v>4625</v>
      </c>
      <c r="I2106" t="s">
        <v>113</v>
      </c>
      <c r="K2106">
        <v>2577561.17</v>
      </c>
      <c r="L2106">
        <v>1133769.5</v>
      </c>
      <c r="M2106">
        <v>1147.3</v>
      </c>
      <c r="N2106" t="s">
        <v>4721</v>
      </c>
    </row>
    <row r="2107" spans="1:14" x14ac:dyDescent="0.25">
      <c r="A2107">
        <v>8501479</v>
      </c>
      <c r="B2107" t="s">
        <v>4625</v>
      </c>
      <c r="C2107" t="s">
        <v>111</v>
      </c>
      <c r="D2107" t="s">
        <v>112</v>
      </c>
      <c r="E2107" t="s">
        <v>87</v>
      </c>
      <c r="F2107" t="s">
        <v>4624</v>
      </c>
      <c r="G2107">
        <v>5411</v>
      </c>
      <c r="H2107" t="s">
        <v>4625</v>
      </c>
      <c r="I2107" t="s">
        <v>113</v>
      </c>
      <c r="K2107">
        <v>2578167.7179999999</v>
      </c>
      <c r="L2107">
        <v>1133348.173</v>
      </c>
      <c r="M2107">
        <v>1156.0999999999999</v>
      </c>
      <c r="N2107" t="s">
        <v>4722</v>
      </c>
    </row>
    <row r="2108" spans="1:14" x14ac:dyDescent="0.25">
      <c r="A2108">
        <v>8501477</v>
      </c>
      <c r="B2108" t="s">
        <v>4630</v>
      </c>
      <c r="C2108" t="s">
        <v>111</v>
      </c>
      <c r="D2108" t="s">
        <v>112</v>
      </c>
      <c r="E2108" t="s">
        <v>87</v>
      </c>
      <c r="F2108" t="s">
        <v>4624</v>
      </c>
      <c r="G2108">
        <v>5411</v>
      </c>
      <c r="H2108" t="s">
        <v>4630</v>
      </c>
      <c r="I2108" t="s">
        <v>113</v>
      </c>
      <c r="K2108">
        <v>2576561.5269999998</v>
      </c>
      <c r="L2108">
        <v>1133628.7960000001</v>
      </c>
      <c r="M2108">
        <v>1126.0999999999999</v>
      </c>
      <c r="N2108" t="s">
        <v>4723</v>
      </c>
    </row>
    <row r="2109" spans="1:14" x14ac:dyDescent="0.25">
      <c r="A2109">
        <v>8501354</v>
      </c>
      <c r="B2109" t="s">
        <v>4724</v>
      </c>
      <c r="C2109" t="s">
        <v>4635</v>
      </c>
      <c r="D2109" t="s">
        <v>1036</v>
      </c>
      <c r="E2109" t="s">
        <v>87</v>
      </c>
      <c r="F2109" t="s">
        <v>4624</v>
      </c>
      <c r="G2109">
        <v>5411</v>
      </c>
      <c r="H2109" t="s">
        <v>4625</v>
      </c>
      <c r="I2109" t="s">
        <v>4636</v>
      </c>
      <c r="J2109" t="s">
        <v>4725</v>
      </c>
      <c r="K2109">
        <v>2581981</v>
      </c>
      <c r="L2109">
        <v>1130628</v>
      </c>
      <c r="M2109">
        <v>2944</v>
      </c>
      <c r="N2109" t="s">
        <v>4726</v>
      </c>
    </row>
    <row r="2110" spans="1:14" x14ac:dyDescent="0.25">
      <c r="A2110">
        <v>8501706</v>
      </c>
      <c r="B2110" t="s">
        <v>4727</v>
      </c>
      <c r="C2110" t="s">
        <v>101</v>
      </c>
      <c r="D2110" t="s">
        <v>86</v>
      </c>
      <c r="E2110" t="s">
        <v>87</v>
      </c>
      <c r="F2110" t="s">
        <v>4624</v>
      </c>
      <c r="G2110">
        <v>5411</v>
      </c>
      <c r="H2110" t="s">
        <v>4625</v>
      </c>
      <c r="I2110" t="s">
        <v>103</v>
      </c>
      <c r="K2110">
        <v>2577329</v>
      </c>
      <c r="L2110">
        <v>1132914</v>
      </c>
      <c r="M2110">
        <v>1333</v>
      </c>
      <c r="N2110" t="s">
        <v>4728</v>
      </c>
    </row>
    <row r="2111" spans="1:14" x14ac:dyDescent="0.25">
      <c r="A2111">
        <v>8501476</v>
      </c>
      <c r="B2111" t="s">
        <v>4729</v>
      </c>
      <c r="C2111" t="s">
        <v>111</v>
      </c>
      <c r="D2111" t="s">
        <v>112</v>
      </c>
      <c r="E2111" t="s">
        <v>87</v>
      </c>
      <c r="F2111" t="s">
        <v>4624</v>
      </c>
      <c r="G2111">
        <v>5411</v>
      </c>
      <c r="H2111" t="s">
        <v>4630</v>
      </c>
      <c r="I2111" t="s">
        <v>113</v>
      </c>
      <c r="K2111">
        <v>2574946.3390000002</v>
      </c>
      <c r="L2111">
        <v>1133561.936</v>
      </c>
      <c r="M2111">
        <v>1090.9000000000001</v>
      </c>
      <c r="N2111" t="s">
        <v>4730</v>
      </c>
    </row>
    <row r="2112" spans="1:14" x14ac:dyDescent="0.25">
      <c r="A2112">
        <v>8511963</v>
      </c>
      <c r="B2112" t="s">
        <v>4731</v>
      </c>
      <c r="C2112" t="s">
        <v>101</v>
      </c>
      <c r="D2112" t="s">
        <v>86</v>
      </c>
      <c r="E2112" t="s">
        <v>87</v>
      </c>
      <c r="F2112" t="s">
        <v>4624</v>
      </c>
      <c r="G2112">
        <v>5411</v>
      </c>
      <c r="H2112" t="s">
        <v>4625</v>
      </c>
      <c r="I2112" t="s">
        <v>103</v>
      </c>
      <c r="K2112">
        <v>2578897.7809100002</v>
      </c>
      <c r="L2112">
        <v>1133617.3006200001</v>
      </c>
      <c r="M2112">
        <v>1309.4000000000001</v>
      </c>
      <c r="N2112" t="s">
        <v>4732</v>
      </c>
    </row>
    <row r="2113" spans="1:14" x14ac:dyDescent="0.25">
      <c r="A2113">
        <v>8584839</v>
      </c>
      <c r="B2113" t="s">
        <v>4733</v>
      </c>
      <c r="C2113" t="s">
        <v>94</v>
      </c>
      <c r="D2113" t="s">
        <v>86</v>
      </c>
      <c r="E2113" t="s">
        <v>87</v>
      </c>
      <c r="F2113" t="s">
        <v>4624</v>
      </c>
      <c r="G2113">
        <v>5411</v>
      </c>
      <c r="H2113" t="s">
        <v>4625</v>
      </c>
      <c r="I2113" t="s">
        <v>96</v>
      </c>
      <c r="K2113">
        <v>2578425</v>
      </c>
      <c r="L2113">
        <v>1133068</v>
      </c>
      <c r="M2113">
        <v>1162</v>
      </c>
      <c r="N2113" t="s">
        <v>4734</v>
      </c>
    </row>
    <row r="2114" spans="1:14" x14ac:dyDescent="0.25">
      <c r="A2114">
        <v>8512405</v>
      </c>
      <c r="B2114" t="s">
        <v>4735</v>
      </c>
      <c r="C2114" t="s">
        <v>4736</v>
      </c>
      <c r="D2114" t="s">
        <v>1036</v>
      </c>
      <c r="E2114" t="s">
        <v>87</v>
      </c>
      <c r="F2114" t="s">
        <v>4624</v>
      </c>
      <c r="G2114">
        <v>5411</v>
      </c>
      <c r="H2114" t="s">
        <v>4625</v>
      </c>
      <c r="I2114" t="s">
        <v>4737</v>
      </c>
      <c r="K2114">
        <v>2576965.5087799998</v>
      </c>
      <c r="L2114">
        <v>1131765.19105</v>
      </c>
      <c r="M2114">
        <v>1696.3</v>
      </c>
      <c r="N2114" t="s">
        <v>4738</v>
      </c>
    </row>
    <row r="2115" spans="1:14" x14ac:dyDescent="0.25">
      <c r="A2115">
        <v>8593773</v>
      </c>
      <c r="B2115" t="s">
        <v>4739</v>
      </c>
      <c r="C2115" t="s">
        <v>111</v>
      </c>
      <c r="D2115" t="s">
        <v>112</v>
      </c>
      <c r="E2115" t="s">
        <v>87</v>
      </c>
      <c r="F2115" t="s">
        <v>4624</v>
      </c>
      <c r="G2115">
        <v>5411</v>
      </c>
      <c r="H2115" t="s">
        <v>4625</v>
      </c>
      <c r="I2115" t="s">
        <v>113</v>
      </c>
      <c r="K2115">
        <v>2577139.594</v>
      </c>
      <c r="L2115">
        <v>1133830.0060000001</v>
      </c>
      <c r="M2115">
        <v>1156.2</v>
      </c>
      <c r="N2115" t="s">
        <v>4740</v>
      </c>
    </row>
    <row r="2116" spans="1:14" x14ac:dyDescent="0.25">
      <c r="A2116">
        <v>8584838</v>
      </c>
      <c r="B2116" t="s">
        <v>4741</v>
      </c>
      <c r="C2116" t="s">
        <v>94</v>
      </c>
      <c r="D2116" t="s">
        <v>86</v>
      </c>
      <c r="E2116" t="s">
        <v>87</v>
      </c>
      <c r="F2116" t="s">
        <v>4624</v>
      </c>
      <c r="G2116">
        <v>5411</v>
      </c>
      <c r="H2116" t="s">
        <v>4625</v>
      </c>
      <c r="I2116" t="s">
        <v>96</v>
      </c>
      <c r="K2116">
        <v>2578472</v>
      </c>
      <c r="L2116">
        <v>1133239</v>
      </c>
      <c r="M2116">
        <v>1175</v>
      </c>
      <c r="N2116" t="s">
        <v>4742</v>
      </c>
    </row>
    <row r="2117" spans="1:14" x14ac:dyDescent="0.25">
      <c r="A2117">
        <v>8505426</v>
      </c>
      <c r="B2117" t="s">
        <v>4743</v>
      </c>
      <c r="C2117" t="s">
        <v>94</v>
      </c>
      <c r="D2117" t="s">
        <v>86</v>
      </c>
      <c r="E2117" t="s">
        <v>87</v>
      </c>
      <c r="F2117" t="s">
        <v>4744</v>
      </c>
      <c r="G2117">
        <v>5493</v>
      </c>
      <c r="H2117" t="s">
        <v>4744</v>
      </c>
      <c r="I2117" t="s">
        <v>96</v>
      </c>
      <c r="K2117">
        <v>2530182</v>
      </c>
      <c r="L2117">
        <v>1168928</v>
      </c>
      <c r="M2117">
        <v>467</v>
      </c>
      <c r="N2117" t="s">
        <v>4745</v>
      </c>
    </row>
    <row r="2118" spans="1:14" x14ac:dyDescent="0.25">
      <c r="A2118">
        <v>8577679</v>
      </c>
      <c r="B2118" t="s">
        <v>4746</v>
      </c>
      <c r="C2118" t="s">
        <v>94</v>
      </c>
      <c r="D2118" t="s">
        <v>86</v>
      </c>
      <c r="E2118" t="s">
        <v>87</v>
      </c>
      <c r="F2118" t="s">
        <v>4747</v>
      </c>
      <c r="G2118">
        <v>5805</v>
      </c>
      <c r="H2118" t="s">
        <v>4748</v>
      </c>
      <c r="I2118" t="s">
        <v>96</v>
      </c>
      <c r="K2118">
        <v>2554264</v>
      </c>
      <c r="L2118">
        <v>1158452</v>
      </c>
      <c r="M2118">
        <v>719</v>
      </c>
      <c r="N2118" t="s">
        <v>4749</v>
      </c>
    </row>
    <row r="2119" spans="1:14" x14ac:dyDescent="0.25">
      <c r="A2119">
        <v>8504014</v>
      </c>
      <c r="B2119" t="s">
        <v>4750</v>
      </c>
      <c r="C2119" t="s">
        <v>132</v>
      </c>
      <c r="D2119" t="s">
        <v>112</v>
      </c>
      <c r="E2119" t="s">
        <v>87</v>
      </c>
      <c r="F2119" t="s">
        <v>4747</v>
      </c>
      <c r="G2119">
        <v>5805</v>
      </c>
      <c r="H2119" t="s">
        <v>4750</v>
      </c>
      <c r="I2119" t="s">
        <v>133</v>
      </c>
      <c r="K2119">
        <v>2553918.8650000002</v>
      </c>
      <c r="L2119">
        <v>1154785.1939999999</v>
      </c>
      <c r="M2119">
        <v>668.75</v>
      </c>
      <c r="N2119" t="s">
        <v>4751</v>
      </c>
    </row>
    <row r="2120" spans="1:14" x14ac:dyDescent="0.25">
      <c r="A2120">
        <v>8579741</v>
      </c>
      <c r="B2120" t="s">
        <v>4752</v>
      </c>
      <c r="C2120" t="s">
        <v>94</v>
      </c>
      <c r="D2120" t="s">
        <v>86</v>
      </c>
      <c r="E2120" t="s">
        <v>87</v>
      </c>
      <c r="F2120" t="s">
        <v>4747</v>
      </c>
      <c r="G2120">
        <v>5805</v>
      </c>
      <c r="H2120" t="s">
        <v>4753</v>
      </c>
      <c r="I2120" t="s">
        <v>96</v>
      </c>
      <c r="K2120">
        <v>2555841</v>
      </c>
      <c r="L2120">
        <v>1157773</v>
      </c>
      <c r="M2120">
        <v>771</v>
      </c>
      <c r="N2120" t="s">
        <v>4754</v>
      </c>
    </row>
    <row r="2121" spans="1:14" x14ac:dyDescent="0.25">
      <c r="A2121">
        <v>8579800</v>
      </c>
      <c r="B2121" t="s">
        <v>4755</v>
      </c>
      <c r="C2121" t="s">
        <v>94</v>
      </c>
      <c r="D2121" t="s">
        <v>86</v>
      </c>
      <c r="E2121" t="s">
        <v>87</v>
      </c>
      <c r="F2121" t="s">
        <v>4747</v>
      </c>
      <c r="G2121">
        <v>5805</v>
      </c>
      <c r="H2121" t="s">
        <v>4756</v>
      </c>
      <c r="I2121" t="s">
        <v>96</v>
      </c>
      <c r="K2121">
        <v>2552694</v>
      </c>
      <c r="L2121">
        <v>1157957</v>
      </c>
      <c r="M2121">
        <v>611</v>
      </c>
      <c r="N2121" t="s">
        <v>4757</v>
      </c>
    </row>
    <row r="2122" spans="1:14" x14ac:dyDescent="0.25">
      <c r="A2122">
        <v>8582199</v>
      </c>
      <c r="B2122" t="s">
        <v>4758</v>
      </c>
      <c r="C2122" t="s">
        <v>94</v>
      </c>
      <c r="D2122" t="s">
        <v>86</v>
      </c>
      <c r="E2122" t="s">
        <v>87</v>
      </c>
      <c r="F2122" t="s">
        <v>4747</v>
      </c>
      <c r="G2122">
        <v>5805</v>
      </c>
      <c r="H2122" t="s">
        <v>4759</v>
      </c>
      <c r="I2122" t="s">
        <v>96</v>
      </c>
      <c r="K2122">
        <v>2551904</v>
      </c>
      <c r="L2122">
        <v>1154452</v>
      </c>
      <c r="M2122">
        <v>700</v>
      </c>
      <c r="N2122" t="s">
        <v>4760</v>
      </c>
    </row>
    <row r="2123" spans="1:14" x14ac:dyDescent="0.25">
      <c r="A2123">
        <v>8582200</v>
      </c>
      <c r="B2123" t="s">
        <v>4761</v>
      </c>
      <c r="C2123" t="s">
        <v>94</v>
      </c>
      <c r="D2123" t="s">
        <v>86</v>
      </c>
      <c r="E2123" t="s">
        <v>87</v>
      </c>
      <c r="F2123" t="s">
        <v>4747</v>
      </c>
      <c r="G2123">
        <v>5805</v>
      </c>
      <c r="H2123" t="s">
        <v>4762</v>
      </c>
      <c r="I2123" t="s">
        <v>96</v>
      </c>
      <c r="K2123">
        <v>2552116</v>
      </c>
      <c r="L2123">
        <v>1155971</v>
      </c>
      <c r="M2123">
        <v>645</v>
      </c>
      <c r="N2123" t="s">
        <v>4763</v>
      </c>
    </row>
    <row r="2124" spans="1:14" x14ac:dyDescent="0.25">
      <c r="A2124">
        <v>8577681</v>
      </c>
      <c r="B2124" t="s">
        <v>4764</v>
      </c>
      <c r="C2124" t="s">
        <v>94</v>
      </c>
      <c r="D2124" t="s">
        <v>86</v>
      </c>
      <c r="E2124" t="s">
        <v>87</v>
      </c>
      <c r="F2124" t="s">
        <v>4747</v>
      </c>
      <c r="G2124">
        <v>5805</v>
      </c>
      <c r="H2124" t="s">
        <v>4748</v>
      </c>
      <c r="I2124" t="s">
        <v>96</v>
      </c>
      <c r="K2124">
        <v>2553852</v>
      </c>
      <c r="L2124">
        <v>1158088</v>
      </c>
      <c r="M2124">
        <v>699</v>
      </c>
      <c r="N2124" t="s">
        <v>4765</v>
      </c>
    </row>
    <row r="2125" spans="1:14" x14ac:dyDescent="0.25">
      <c r="A2125">
        <v>8504790</v>
      </c>
      <c r="B2125" t="s">
        <v>4766</v>
      </c>
      <c r="C2125" t="s">
        <v>94</v>
      </c>
      <c r="D2125" t="s">
        <v>86</v>
      </c>
      <c r="E2125" t="s">
        <v>87</v>
      </c>
      <c r="F2125" t="s">
        <v>4747</v>
      </c>
      <c r="G2125">
        <v>5805</v>
      </c>
      <c r="H2125" t="s">
        <v>4767</v>
      </c>
      <c r="I2125" t="s">
        <v>96</v>
      </c>
      <c r="K2125">
        <v>2555812</v>
      </c>
      <c r="L2125">
        <v>1155099</v>
      </c>
      <c r="M2125">
        <v>766</v>
      </c>
      <c r="N2125" t="s">
        <v>4768</v>
      </c>
    </row>
    <row r="2126" spans="1:14" x14ac:dyDescent="0.25">
      <c r="A2126">
        <v>8570441</v>
      </c>
      <c r="B2126" t="s">
        <v>4769</v>
      </c>
      <c r="C2126" t="s">
        <v>94</v>
      </c>
      <c r="D2126" t="s">
        <v>86</v>
      </c>
      <c r="E2126" t="s">
        <v>87</v>
      </c>
      <c r="F2126" t="s">
        <v>4747</v>
      </c>
      <c r="G2126">
        <v>5805</v>
      </c>
      <c r="H2126" t="s">
        <v>4767</v>
      </c>
      <c r="I2126" t="s">
        <v>96</v>
      </c>
      <c r="K2126">
        <v>2554949</v>
      </c>
      <c r="L2126">
        <v>1155067</v>
      </c>
      <c r="M2126">
        <v>692</v>
      </c>
      <c r="N2126" t="s">
        <v>4770</v>
      </c>
    </row>
    <row r="2127" spans="1:14" x14ac:dyDescent="0.25">
      <c r="A2127">
        <v>8570437</v>
      </c>
      <c r="B2127" t="s">
        <v>4771</v>
      </c>
      <c r="C2127" t="s">
        <v>94</v>
      </c>
      <c r="D2127" t="s">
        <v>86</v>
      </c>
      <c r="E2127" t="s">
        <v>87</v>
      </c>
      <c r="F2127" t="s">
        <v>4747</v>
      </c>
      <c r="G2127">
        <v>5805</v>
      </c>
      <c r="H2127" t="s">
        <v>4772</v>
      </c>
      <c r="I2127" t="s">
        <v>96</v>
      </c>
      <c r="K2127">
        <v>2551735</v>
      </c>
      <c r="L2127">
        <v>1158473</v>
      </c>
      <c r="M2127">
        <v>623</v>
      </c>
      <c r="N2127" t="s">
        <v>4773</v>
      </c>
    </row>
    <row r="2128" spans="1:14" x14ac:dyDescent="0.25">
      <c r="A2128">
        <v>8570458</v>
      </c>
      <c r="B2128" t="s">
        <v>4774</v>
      </c>
      <c r="C2128" t="s">
        <v>94</v>
      </c>
      <c r="D2128" t="s">
        <v>86</v>
      </c>
      <c r="E2128" t="s">
        <v>87</v>
      </c>
      <c r="F2128" t="s">
        <v>4747</v>
      </c>
      <c r="G2128">
        <v>5805</v>
      </c>
      <c r="H2128" t="s">
        <v>4772</v>
      </c>
      <c r="I2128" t="s">
        <v>96</v>
      </c>
      <c r="K2128">
        <v>2551511</v>
      </c>
      <c r="L2128">
        <v>1158076</v>
      </c>
      <c r="M2128">
        <v>635</v>
      </c>
      <c r="N2128" t="s">
        <v>4775</v>
      </c>
    </row>
    <row r="2129" spans="1:14" x14ac:dyDescent="0.25">
      <c r="A2129">
        <v>8570438</v>
      </c>
      <c r="B2129" t="s">
        <v>4776</v>
      </c>
      <c r="C2129" t="s">
        <v>94</v>
      </c>
      <c r="D2129" t="s">
        <v>86</v>
      </c>
      <c r="E2129" t="s">
        <v>87</v>
      </c>
      <c r="F2129" t="s">
        <v>4747</v>
      </c>
      <c r="G2129">
        <v>5805</v>
      </c>
      <c r="H2129" t="s">
        <v>4777</v>
      </c>
      <c r="I2129" t="s">
        <v>96</v>
      </c>
      <c r="K2129">
        <v>2552214</v>
      </c>
      <c r="L2129">
        <v>1157874</v>
      </c>
      <c r="M2129">
        <v>602</v>
      </c>
      <c r="N2129" t="s">
        <v>4778</v>
      </c>
    </row>
    <row r="2130" spans="1:14" x14ac:dyDescent="0.25">
      <c r="A2130">
        <v>8570440</v>
      </c>
      <c r="B2130" t="s">
        <v>4779</v>
      </c>
      <c r="C2130" t="s">
        <v>94</v>
      </c>
      <c r="D2130" t="s">
        <v>86</v>
      </c>
      <c r="E2130" t="s">
        <v>87</v>
      </c>
      <c r="F2130" t="s">
        <v>4747</v>
      </c>
      <c r="G2130">
        <v>5805</v>
      </c>
      <c r="H2130" t="s">
        <v>4750</v>
      </c>
      <c r="I2130" t="s">
        <v>96</v>
      </c>
      <c r="K2130">
        <v>2553898</v>
      </c>
      <c r="L2130">
        <v>1154716</v>
      </c>
      <c r="M2130">
        <v>671</v>
      </c>
      <c r="N2130" t="s">
        <v>4780</v>
      </c>
    </row>
    <row r="2131" spans="1:14" x14ac:dyDescent="0.25">
      <c r="A2131">
        <v>8570442</v>
      </c>
      <c r="B2131" t="s">
        <v>4781</v>
      </c>
      <c r="C2131" t="s">
        <v>94</v>
      </c>
      <c r="D2131" t="s">
        <v>86</v>
      </c>
      <c r="E2131" t="s">
        <v>87</v>
      </c>
      <c r="F2131" t="s">
        <v>4747</v>
      </c>
      <c r="G2131">
        <v>5805</v>
      </c>
      <c r="H2131" t="s">
        <v>4767</v>
      </c>
      <c r="I2131" t="s">
        <v>96</v>
      </c>
      <c r="K2131">
        <v>2555591</v>
      </c>
      <c r="L2131">
        <v>1154817</v>
      </c>
      <c r="M2131">
        <v>725</v>
      </c>
      <c r="N2131" t="s">
        <v>4782</v>
      </c>
    </row>
    <row r="2132" spans="1:14" x14ac:dyDescent="0.25">
      <c r="A2132">
        <v>8578927</v>
      </c>
      <c r="B2132" t="s">
        <v>4783</v>
      </c>
      <c r="C2132" t="s">
        <v>94</v>
      </c>
      <c r="D2132" t="s">
        <v>86</v>
      </c>
      <c r="E2132" t="s">
        <v>87</v>
      </c>
      <c r="F2132" t="s">
        <v>4747</v>
      </c>
      <c r="G2132">
        <v>5805</v>
      </c>
      <c r="H2132" t="s">
        <v>4784</v>
      </c>
      <c r="I2132" t="s">
        <v>96</v>
      </c>
      <c r="K2132">
        <v>2553416</v>
      </c>
      <c r="L2132">
        <v>1154704</v>
      </c>
      <c r="M2132">
        <v>636</v>
      </c>
      <c r="N2132" t="s">
        <v>4785</v>
      </c>
    </row>
    <row r="2133" spans="1:14" x14ac:dyDescent="0.25">
      <c r="A2133">
        <v>8579737</v>
      </c>
      <c r="B2133" t="s">
        <v>4786</v>
      </c>
      <c r="C2133" t="s">
        <v>94</v>
      </c>
      <c r="D2133" t="s">
        <v>86</v>
      </c>
      <c r="E2133" t="s">
        <v>87</v>
      </c>
      <c r="F2133" t="s">
        <v>4747</v>
      </c>
      <c r="G2133">
        <v>5805</v>
      </c>
      <c r="H2133" t="s">
        <v>4784</v>
      </c>
      <c r="I2133" t="s">
        <v>96</v>
      </c>
      <c r="K2133">
        <v>2553620</v>
      </c>
      <c r="L2133">
        <v>1156222</v>
      </c>
      <c r="M2133">
        <v>637</v>
      </c>
      <c r="N2133" t="s">
        <v>4787</v>
      </c>
    </row>
    <row r="2134" spans="1:14" x14ac:dyDescent="0.25">
      <c r="A2134">
        <v>8580757</v>
      </c>
      <c r="B2134" t="s">
        <v>4788</v>
      </c>
      <c r="C2134" t="s">
        <v>94</v>
      </c>
      <c r="D2134" t="s">
        <v>86</v>
      </c>
      <c r="E2134" t="s">
        <v>87</v>
      </c>
      <c r="F2134" t="s">
        <v>4747</v>
      </c>
      <c r="G2134">
        <v>5805</v>
      </c>
      <c r="H2134" t="s">
        <v>4756</v>
      </c>
      <c r="I2134" t="s">
        <v>96</v>
      </c>
      <c r="K2134">
        <v>2552547</v>
      </c>
      <c r="L2134">
        <v>1157935</v>
      </c>
      <c r="M2134">
        <v>604</v>
      </c>
      <c r="N2134" t="s">
        <v>4789</v>
      </c>
    </row>
    <row r="2135" spans="1:14" x14ac:dyDescent="0.25">
      <c r="A2135">
        <v>8582202</v>
      </c>
      <c r="B2135" t="s">
        <v>4790</v>
      </c>
      <c r="C2135" t="s">
        <v>94</v>
      </c>
      <c r="D2135" t="s">
        <v>86</v>
      </c>
      <c r="E2135" t="s">
        <v>87</v>
      </c>
      <c r="F2135" t="s">
        <v>4747</v>
      </c>
      <c r="G2135">
        <v>5805</v>
      </c>
      <c r="H2135" t="s">
        <v>4784</v>
      </c>
      <c r="I2135" t="s">
        <v>96</v>
      </c>
      <c r="K2135">
        <v>2552854</v>
      </c>
      <c r="L2135">
        <v>1155614</v>
      </c>
      <c r="M2135">
        <v>633</v>
      </c>
      <c r="N2135" t="s">
        <v>4791</v>
      </c>
    </row>
    <row r="2136" spans="1:14" x14ac:dyDescent="0.25">
      <c r="A2136">
        <v>8583253</v>
      </c>
      <c r="B2136" t="s">
        <v>4792</v>
      </c>
      <c r="C2136" t="s">
        <v>94</v>
      </c>
      <c r="D2136" t="s">
        <v>86</v>
      </c>
      <c r="E2136" t="s">
        <v>87</v>
      </c>
      <c r="F2136" t="s">
        <v>4747</v>
      </c>
      <c r="G2136">
        <v>5805</v>
      </c>
      <c r="H2136" t="s">
        <v>4753</v>
      </c>
      <c r="I2136" t="s">
        <v>96</v>
      </c>
      <c r="K2136">
        <v>2555427</v>
      </c>
      <c r="L2136">
        <v>1157591</v>
      </c>
      <c r="M2136">
        <v>780</v>
      </c>
      <c r="N2136" t="s">
        <v>4793</v>
      </c>
    </row>
    <row r="2137" spans="1:14" x14ac:dyDescent="0.25">
      <c r="A2137">
        <v>8515350</v>
      </c>
      <c r="B2137" t="s">
        <v>4794</v>
      </c>
      <c r="C2137" t="s">
        <v>132</v>
      </c>
      <c r="E2137" t="s">
        <v>87</v>
      </c>
      <c r="F2137" t="s">
        <v>4747</v>
      </c>
      <c r="G2137">
        <v>5805</v>
      </c>
      <c r="H2137" t="s">
        <v>4784</v>
      </c>
      <c r="I2137" t="s">
        <v>133</v>
      </c>
      <c r="J2137" t="s">
        <v>130</v>
      </c>
      <c r="K2137">
        <v>2554370.4350000001</v>
      </c>
      <c r="L2137">
        <v>1155161.747</v>
      </c>
      <c r="M2137">
        <v>670.8</v>
      </c>
      <c r="N2137" t="s">
        <v>4795</v>
      </c>
    </row>
    <row r="2138" spans="1:14" x14ac:dyDescent="0.25">
      <c r="A2138">
        <v>8504775</v>
      </c>
      <c r="B2138" t="s">
        <v>4796</v>
      </c>
      <c r="C2138" t="s">
        <v>94</v>
      </c>
      <c r="D2138" t="s">
        <v>86</v>
      </c>
      <c r="E2138" t="s">
        <v>87</v>
      </c>
      <c r="F2138" t="s">
        <v>4747</v>
      </c>
      <c r="G2138">
        <v>5805</v>
      </c>
      <c r="H2138" t="s">
        <v>4756</v>
      </c>
      <c r="I2138" t="s">
        <v>96</v>
      </c>
      <c r="K2138">
        <v>2553123</v>
      </c>
      <c r="L2138">
        <v>1157918</v>
      </c>
      <c r="M2138">
        <v>630</v>
      </c>
      <c r="N2138" t="s">
        <v>4797</v>
      </c>
    </row>
    <row r="2139" spans="1:14" x14ac:dyDescent="0.25">
      <c r="A2139">
        <v>8570451</v>
      </c>
      <c r="B2139" t="s">
        <v>4798</v>
      </c>
      <c r="C2139" t="s">
        <v>94</v>
      </c>
      <c r="D2139" t="s">
        <v>86</v>
      </c>
      <c r="E2139" t="s">
        <v>87</v>
      </c>
      <c r="F2139" t="s">
        <v>4747</v>
      </c>
      <c r="G2139">
        <v>5805</v>
      </c>
      <c r="H2139" t="s">
        <v>4799</v>
      </c>
      <c r="I2139" t="s">
        <v>96</v>
      </c>
      <c r="K2139">
        <v>2555954</v>
      </c>
      <c r="L2139">
        <v>1158387</v>
      </c>
      <c r="M2139">
        <v>831</v>
      </c>
      <c r="N2139" t="s">
        <v>4800</v>
      </c>
    </row>
    <row r="2140" spans="1:14" x14ac:dyDescent="0.25">
      <c r="A2140">
        <v>8570449</v>
      </c>
      <c r="B2140" t="s">
        <v>4801</v>
      </c>
      <c r="C2140" t="s">
        <v>94</v>
      </c>
      <c r="D2140" t="s">
        <v>86</v>
      </c>
      <c r="E2140" t="s">
        <v>87</v>
      </c>
      <c r="F2140" t="s">
        <v>4747</v>
      </c>
      <c r="G2140">
        <v>5805</v>
      </c>
      <c r="H2140" t="s">
        <v>4748</v>
      </c>
      <c r="I2140" t="s">
        <v>96</v>
      </c>
      <c r="K2140">
        <v>2554042</v>
      </c>
      <c r="L2140">
        <v>1158380</v>
      </c>
      <c r="M2140">
        <v>708</v>
      </c>
      <c r="N2140" t="s">
        <v>4802</v>
      </c>
    </row>
    <row r="2141" spans="1:14" x14ac:dyDescent="0.25">
      <c r="A2141">
        <v>8519342</v>
      </c>
      <c r="B2141" t="s">
        <v>4803</v>
      </c>
      <c r="C2141" t="s">
        <v>4804</v>
      </c>
      <c r="E2141" t="s">
        <v>87</v>
      </c>
      <c r="F2141" t="s">
        <v>4747</v>
      </c>
      <c r="G2141">
        <v>5805</v>
      </c>
      <c r="H2141" t="s">
        <v>4750</v>
      </c>
      <c r="I2141" t="s">
        <v>4805</v>
      </c>
      <c r="J2141" t="s">
        <v>130</v>
      </c>
      <c r="K2141">
        <v>2553902.9295000001</v>
      </c>
      <c r="L2141">
        <v>1154721.6203999999</v>
      </c>
      <c r="M2141">
        <v>668</v>
      </c>
      <c r="N2141" t="s">
        <v>4806</v>
      </c>
    </row>
    <row r="2142" spans="1:14" x14ac:dyDescent="0.25">
      <c r="A2142">
        <v>8504016</v>
      </c>
      <c r="B2142" t="s">
        <v>4784</v>
      </c>
      <c r="C2142" t="s">
        <v>132</v>
      </c>
      <c r="D2142" t="s">
        <v>112</v>
      </c>
      <c r="E2142" t="s">
        <v>87</v>
      </c>
      <c r="F2142" t="s">
        <v>4747</v>
      </c>
      <c r="G2142">
        <v>5805</v>
      </c>
      <c r="H2142" t="s">
        <v>4784</v>
      </c>
      <c r="I2142" t="s">
        <v>133</v>
      </c>
      <c r="K2142">
        <v>2553240.909</v>
      </c>
      <c r="L2142">
        <v>1156385.6669999999</v>
      </c>
      <c r="M2142">
        <v>633.79999999999995</v>
      </c>
      <c r="N2142" t="s">
        <v>4807</v>
      </c>
    </row>
    <row r="2143" spans="1:14" x14ac:dyDescent="0.25">
      <c r="A2143">
        <v>8504020</v>
      </c>
      <c r="B2143" t="s">
        <v>4747</v>
      </c>
      <c r="C2143" t="s">
        <v>132</v>
      </c>
      <c r="D2143" t="s">
        <v>112</v>
      </c>
      <c r="E2143" t="s">
        <v>87</v>
      </c>
      <c r="F2143" t="s">
        <v>4747</v>
      </c>
      <c r="G2143">
        <v>5805</v>
      </c>
      <c r="H2143" t="s">
        <v>4748</v>
      </c>
      <c r="I2143" t="s">
        <v>133</v>
      </c>
      <c r="K2143">
        <v>2553885.1579999998</v>
      </c>
      <c r="L2143">
        <v>1158096.2890000001</v>
      </c>
      <c r="M2143">
        <v>700.1</v>
      </c>
      <c r="N2143" t="s">
        <v>4808</v>
      </c>
    </row>
    <row r="2144" spans="1:14" x14ac:dyDescent="0.25">
      <c r="A2144">
        <v>8504017</v>
      </c>
      <c r="B2144" t="s">
        <v>4777</v>
      </c>
      <c r="C2144" t="s">
        <v>132</v>
      </c>
      <c r="D2144" t="s">
        <v>112</v>
      </c>
      <c r="E2144" t="s">
        <v>87</v>
      </c>
      <c r="F2144" t="s">
        <v>4747</v>
      </c>
      <c r="G2144">
        <v>5805</v>
      </c>
      <c r="H2144" t="s">
        <v>4777</v>
      </c>
      <c r="I2144" t="s">
        <v>133</v>
      </c>
      <c r="K2144">
        <v>2552225.7790000001</v>
      </c>
      <c r="L2144">
        <v>1157885.5319999999</v>
      </c>
      <c r="M2144">
        <v>601.96</v>
      </c>
      <c r="N2144" t="s">
        <v>4809</v>
      </c>
    </row>
    <row r="2145" spans="1:14" x14ac:dyDescent="0.25">
      <c r="A2145">
        <v>8504789</v>
      </c>
      <c r="B2145" t="s">
        <v>4810</v>
      </c>
      <c r="C2145" t="s">
        <v>94</v>
      </c>
      <c r="D2145" t="s">
        <v>86</v>
      </c>
      <c r="E2145" t="s">
        <v>87</v>
      </c>
      <c r="F2145" t="s">
        <v>4747</v>
      </c>
      <c r="G2145">
        <v>5805</v>
      </c>
      <c r="H2145" t="s">
        <v>4784</v>
      </c>
      <c r="I2145" t="s">
        <v>96</v>
      </c>
      <c r="K2145">
        <v>2553318</v>
      </c>
      <c r="L2145">
        <v>1156172</v>
      </c>
      <c r="M2145">
        <v>634</v>
      </c>
      <c r="N2145" t="s">
        <v>4811</v>
      </c>
    </row>
    <row r="2146" spans="1:14" x14ac:dyDescent="0.25">
      <c r="A2146">
        <v>8570439</v>
      </c>
      <c r="B2146" t="s">
        <v>4812</v>
      </c>
      <c r="C2146" t="s">
        <v>94</v>
      </c>
      <c r="D2146" t="s">
        <v>86</v>
      </c>
      <c r="E2146" t="s">
        <v>87</v>
      </c>
      <c r="F2146" t="s">
        <v>4747</v>
      </c>
      <c r="G2146">
        <v>5805</v>
      </c>
      <c r="H2146" t="s">
        <v>4756</v>
      </c>
      <c r="I2146" t="s">
        <v>96</v>
      </c>
      <c r="K2146">
        <v>2553437</v>
      </c>
      <c r="L2146">
        <v>1157489</v>
      </c>
      <c r="M2146">
        <v>640</v>
      </c>
      <c r="N2146" t="s">
        <v>4813</v>
      </c>
    </row>
    <row r="2147" spans="1:14" x14ac:dyDescent="0.25">
      <c r="A2147">
        <v>8570459</v>
      </c>
      <c r="B2147" t="s">
        <v>4814</v>
      </c>
      <c r="C2147" t="s">
        <v>94</v>
      </c>
      <c r="D2147" t="s">
        <v>86</v>
      </c>
      <c r="E2147" t="s">
        <v>87</v>
      </c>
      <c r="F2147" t="s">
        <v>4747</v>
      </c>
      <c r="G2147">
        <v>5805</v>
      </c>
      <c r="H2147" t="s">
        <v>4772</v>
      </c>
      <c r="I2147" t="s">
        <v>96</v>
      </c>
      <c r="K2147">
        <v>2551336</v>
      </c>
      <c r="L2147">
        <v>1157330</v>
      </c>
      <c r="M2147">
        <v>641</v>
      </c>
      <c r="N2147" t="s">
        <v>4815</v>
      </c>
    </row>
    <row r="2148" spans="1:14" x14ac:dyDescent="0.25">
      <c r="A2148">
        <v>8570450</v>
      </c>
      <c r="B2148" t="s">
        <v>4799</v>
      </c>
      <c r="C2148" t="s">
        <v>94</v>
      </c>
      <c r="D2148" t="s">
        <v>86</v>
      </c>
      <c r="E2148" t="s">
        <v>87</v>
      </c>
      <c r="F2148" t="s">
        <v>4747</v>
      </c>
      <c r="G2148">
        <v>5805</v>
      </c>
      <c r="H2148" t="s">
        <v>4799</v>
      </c>
      <c r="I2148" t="s">
        <v>96</v>
      </c>
      <c r="K2148">
        <v>2555114</v>
      </c>
      <c r="L2148">
        <v>1158549</v>
      </c>
      <c r="M2148">
        <v>787</v>
      </c>
      <c r="N2148" t="s">
        <v>4816</v>
      </c>
    </row>
    <row r="2149" spans="1:14" x14ac:dyDescent="0.25">
      <c r="A2149">
        <v>8570460</v>
      </c>
      <c r="B2149" t="s">
        <v>4817</v>
      </c>
      <c r="C2149" t="s">
        <v>94</v>
      </c>
      <c r="D2149" t="s">
        <v>86</v>
      </c>
      <c r="E2149" t="s">
        <v>87</v>
      </c>
      <c r="F2149" t="s">
        <v>4747</v>
      </c>
      <c r="G2149">
        <v>5805</v>
      </c>
      <c r="H2149" t="s">
        <v>4777</v>
      </c>
      <c r="I2149" t="s">
        <v>96</v>
      </c>
      <c r="K2149">
        <v>2550769</v>
      </c>
      <c r="L2149">
        <v>1157067</v>
      </c>
      <c r="M2149">
        <v>689</v>
      </c>
      <c r="N2149" t="s">
        <v>4818</v>
      </c>
    </row>
    <row r="2150" spans="1:14" x14ac:dyDescent="0.25">
      <c r="A2150">
        <v>8570461</v>
      </c>
      <c r="B2150" t="s">
        <v>4819</v>
      </c>
      <c r="C2150" t="s">
        <v>94</v>
      </c>
      <c r="D2150" t="s">
        <v>86</v>
      </c>
      <c r="E2150" t="s">
        <v>87</v>
      </c>
      <c r="F2150" t="s">
        <v>4747</v>
      </c>
      <c r="G2150">
        <v>5805</v>
      </c>
      <c r="H2150" t="s">
        <v>4820</v>
      </c>
      <c r="I2150" t="s">
        <v>96</v>
      </c>
      <c r="K2150">
        <v>2550117</v>
      </c>
      <c r="L2150">
        <v>1157015</v>
      </c>
      <c r="M2150">
        <v>738</v>
      </c>
      <c r="N2150" t="s">
        <v>4821</v>
      </c>
    </row>
    <row r="2151" spans="1:14" x14ac:dyDescent="0.25">
      <c r="A2151">
        <v>8507698</v>
      </c>
      <c r="B2151" t="s">
        <v>4822</v>
      </c>
      <c r="C2151" t="s">
        <v>94</v>
      </c>
      <c r="D2151" t="s">
        <v>86</v>
      </c>
      <c r="E2151" t="s">
        <v>87</v>
      </c>
      <c r="F2151" t="s">
        <v>4823</v>
      </c>
      <c r="G2151">
        <v>5925</v>
      </c>
      <c r="H2151" t="s">
        <v>4823</v>
      </c>
      <c r="I2151" t="s">
        <v>96</v>
      </c>
      <c r="K2151">
        <v>2542228</v>
      </c>
      <c r="L2151">
        <v>1174952</v>
      </c>
      <c r="M2151">
        <v>620</v>
      </c>
      <c r="N2151" t="s">
        <v>4824</v>
      </c>
    </row>
    <row r="2152" spans="1:14" x14ac:dyDescent="0.25">
      <c r="A2152">
        <v>8570186</v>
      </c>
      <c r="B2152" t="s">
        <v>4825</v>
      </c>
      <c r="C2152" t="s">
        <v>94</v>
      </c>
      <c r="D2152" t="s">
        <v>86</v>
      </c>
      <c r="E2152" t="s">
        <v>87</v>
      </c>
      <c r="F2152" t="s">
        <v>4826</v>
      </c>
      <c r="G2152">
        <v>5529</v>
      </c>
      <c r="H2152" t="s">
        <v>4826</v>
      </c>
      <c r="I2152" t="s">
        <v>96</v>
      </c>
      <c r="K2152">
        <v>2534016</v>
      </c>
      <c r="L2152">
        <v>1165700</v>
      </c>
      <c r="M2152">
        <v>586</v>
      </c>
      <c r="N2152" t="s">
        <v>4827</v>
      </c>
    </row>
    <row r="2153" spans="1:14" x14ac:dyDescent="0.25">
      <c r="A2153">
        <v>8570187</v>
      </c>
      <c r="B2153" t="s">
        <v>4828</v>
      </c>
      <c r="C2153" t="s">
        <v>94</v>
      </c>
      <c r="D2153" t="s">
        <v>86</v>
      </c>
      <c r="E2153" t="s">
        <v>87</v>
      </c>
      <c r="F2153" t="s">
        <v>4826</v>
      </c>
      <c r="G2153">
        <v>5529</v>
      </c>
      <c r="H2153" t="s">
        <v>4826</v>
      </c>
      <c r="I2153" t="s">
        <v>96</v>
      </c>
      <c r="K2153">
        <v>2534119</v>
      </c>
      <c r="L2153">
        <v>1166169</v>
      </c>
      <c r="M2153">
        <v>587</v>
      </c>
      <c r="N2153" t="s">
        <v>4829</v>
      </c>
    </row>
    <row r="2154" spans="1:14" x14ac:dyDescent="0.25">
      <c r="A2154">
        <v>8504759</v>
      </c>
      <c r="B2154" t="s">
        <v>4830</v>
      </c>
      <c r="C2154" t="s">
        <v>94</v>
      </c>
      <c r="D2154" t="s">
        <v>86</v>
      </c>
      <c r="E2154" t="s">
        <v>87</v>
      </c>
      <c r="F2154" t="s">
        <v>4831</v>
      </c>
      <c r="G2154">
        <v>5530</v>
      </c>
      <c r="H2154" t="s">
        <v>4831</v>
      </c>
      <c r="I2154" t="s">
        <v>96</v>
      </c>
      <c r="K2154">
        <v>2541532</v>
      </c>
      <c r="L2154">
        <v>1172537</v>
      </c>
      <c r="M2154">
        <v>649</v>
      </c>
      <c r="N2154" t="s">
        <v>4832</v>
      </c>
    </row>
    <row r="2155" spans="1:14" x14ac:dyDescent="0.25">
      <c r="A2155">
        <v>8570305</v>
      </c>
      <c r="B2155" t="s">
        <v>4833</v>
      </c>
      <c r="C2155" t="s">
        <v>94</v>
      </c>
      <c r="D2155" t="s">
        <v>86</v>
      </c>
      <c r="E2155" t="s">
        <v>87</v>
      </c>
      <c r="F2155" t="s">
        <v>4831</v>
      </c>
      <c r="G2155">
        <v>5530</v>
      </c>
      <c r="H2155" t="s">
        <v>4831</v>
      </c>
      <c r="I2155" t="s">
        <v>96</v>
      </c>
      <c r="K2155">
        <v>2541912</v>
      </c>
      <c r="L2155">
        <v>1172166</v>
      </c>
      <c r="M2155">
        <v>610</v>
      </c>
      <c r="N2155" t="s">
        <v>4834</v>
      </c>
    </row>
    <row r="2156" spans="1:14" x14ac:dyDescent="0.25">
      <c r="A2156">
        <v>8502735</v>
      </c>
      <c r="B2156" t="s">
        <v>4835</v>
      </c>
      <c r="C2156" t="s">
        <v>94</v>
      </c>
      <c r="D2156" t="s">
        <v>86</v>
      </c>
      <c r="E2156" t="s">
        <v>87</v>
      </c>
      <c r="F2156" t="s">
        <v>4831</v>
      </c>
      <c r="G2156">
        <v>5530</v>
      </c>
      <c r="H2156" t="s">
        <v>4831</v>
      </c>
      <c r="I2156" t="s">
        <v>96</v>
      </c>
      <c r="K2156">
        <v>2542513</v>
      </c>
      <c r="L2156">
        <v>1171977</v>
      </c>
      <c r="M2156">
        <v>560</v>
      </c>
      <c r="N2156" t="s">
        <v>4836</v>
      </c>
    </row>
    <row r="2157" spans="1:14" x14ac:dyDescent="0.25">
      <c r="A2157">
        <v>8592167</v>
      </c>
      <c r="B2157" t="s">
        <v>4837</v>
      </c>
      <c r="C2157" t="s">
        <v>242</v>
      </c>
      <c r="D2157" t="s">
        <v>86</v>
      </c>
      <c r="E2157" t="s">
        <v>87</v>
      </c>
      <c r="F2157" t="s">
        <v>4838</v>
      </c>
      <c r="G2157">
        <v>5588</v>
      </c>
      <c r="H2157" t="s">
        <v>4838</v>
      </c>
      <c r="I2157" t="s">
        <v>243</v>
      </c>
      <c r="K2157">
        <v>2541418</v>
      </c>
      <c r="L2157">
        <v>1150778</v>
      </c>
      <c r="M2157">
        <v>394</v>
      </c>
      <c r="N2157" t="s">
        <v>4839</v>
      </c>
    </row>
    <row r="2158" spans="1:14" x14ac:dyDescent="0.25">
      <c r="A2158">
        <v>8592169</v>
      </c>
      <c r="B2158" t="s">
        <v>4840</v>
      </c>
      <c r="C2158" t="s">
        <v>242</v>
      </c>
      <c r="D2158" t="s">
        <v>86</v>
      </c>
      <c r="E2158" t="s">
        <v>87</v>
      </c>
      <c r="F2158" t="s">
        <v>4838</v>
      </c>
      <c r="G2158">
        <v>5588</v>
      </c>
      <c r="H2158" t="s">
        <v>4838</v>
      </c>
      <c r="I2158" t="s">
        <v>243</v>
      </c>
      <c r="K2158">
        <v>2541227</v>
      </c>
      <c r="L2158">
        <v>1150883</v>
      </c>
      <c r="M2158">
        <v>405</v>
      </c>
      <c r="N2158" t="s">
        <v>4841</v>
      </c>
    </row>
    <row r="2159" spans="1:14" x14ac:dyDescent="0.25">
      <c r="A2159">
        <v>8592168</v>
      </c>
      <c r="B2159" t="s">
        <v>4842</v>
      </c>
      <c r="C2159" t="s">
        <v>242</v>
      </c>
      <c r="D2159" t="s">
        <v>86</v>
      </c>
      <c r="E2159" t="s">
        <v>87</v>
      </c>
      <c r="F2159" t="s">
        <v>4838</v>
      </c>
      <c r="G2159">
        <v>5588</v>
      </c>
      <c r="H2159" t="s">
        <v>4838</v>
      </c>
      <c r="I2159" t="s">
        <v>243</v>
      </c>
      <c r="K2159">
        <v>2541082</v>
      </c>
      <c r="L2159">
        <v>1150789</v>
      </c>
      <c r="M2159">
        <v>384</v>
      </c>
      <c r="N2159" t="s">
        <v>4843</v>
      </c>
    </row>
    <row r="2160" spans="1:14" x14ac:dyDescent="0.25">
      <c r="A2160">
        <v>8504134</v>
      </c>
      <c r="B2160" t="s">
        <v>4844</v>
      </c>
      <c r="C2160" t="s">
        <v>132</v>
      </c>
      <c r="D2160" t="s">
        <v>112</v>
      </c>
      <c r="E2160" t="s">
        <v>87</v>
      </c>
      <c r="F2160" t="s">
        <v>4844</v>
      </c>
      <c r="G2160">
        <v>5822</v>
      </c>
      <c r="H2160" t="s">
        <v>4844</v>
      </c>
      <c r="I2160" t="s">
        <v>133</v>
      </c>
      <c r="K2160">
        <v>2561939.4920000001</v>
      </c>
      <c r="L2160">
        <v>1185510.189</v>
      </c>
      <c r="M2160">
        <v>451.96</v>
      </c>
      <c r="N2160" t="s">
        <v>4845</v>
      </c>
    </row>
    <row r="2161" spans="1:14" x14ac:dyDescent="0.25">
      <c r="A2161">
        <v>8511703</v>
      </c>
      <c r="B2161" t="s">
        <v>4846</v>
      </c>
      <c r="C2161" t="s">
        <v>94</v>
      </c>
      <c r="D2161" t="s">
        <v>86</v>
      </c>
      <c r="E2161" t="s">
        <v>87</v>
      </c>
      <c r="F2161" t="s">
        <v>4844</v>
      </c>
      <c r="G2161">
        <v>5822</v>
      </c>
      <c r="H2161" t="s">
        <v>4844</v>
      </c>
      <c r="I2161" t="s">
        <v>96</v>
      </c>
      <c r="K2161">
        <v>2562251.7701099999</v>
      </c>
      <c r="L2161">
        <v>1185939.0248499999</v>
      </c>
      <c r="M2161">
        <v>451</v>
      </c>
      <c r="N2161" t="s">
        <v>4847</v>
      </c>
    </row>
    <row r="2162" spans="1:14" x14ac:dyDescent="0.25">
      <c r="A2162">
        <v>8512255</v>
      </c>
      <c r="B2162" t="s">
        <v>4848</v>
      </c>
      <c r="C2162" t="s">
        <v>94</v>
      </c>
      <c r="D2162" t="s">
        <v>86</v>
      </c>
      <c r="E2162" t="s">
        <v>87</v>
      </c>
      <c r="F2162" t="s">
        <v>4844</v>
      </c>
      <c r="G2162">
        <v>5822</v>
      </c>
      <c r="H2162" t="s">
        <v>4844</v>
      </c>
      <c r="I2162" t="s">
        <v>96</v>
      </c>
      <c r="K2162">
        <v>2561694.34601</v>
      </c>
      <c r="L2162">
        <v>1187136.60925</v>
      </c>
      <c r="M2162">
        <v>446.9</v>
      </c>
      <c r="N2162" t="s">
        <v>4849</v>
      </c>
    </row>
    <row r="2163" spans="1:14" x14ac:dyDescent="0.25">
      <c r="A2163">
        <v>8504158</v>
      </c>
      <c r="B2163" t="s">
        <v>4850</v>
      </c>
      <c r="C2163" t="s">
        <v>94</v>
      </c>
      <c r="D2163" t="s">
        <v>86</v>
      </c>
      <c r="E2163" t="s">
        <v>87</v>
      </c>
      <c r="F2163" t="s">
        <v>4844</v>
      </c>
      <c r="G2163">
        <v>5822</v>
      </c>
      <c r="H2163" t="s">
        <v>4851</v>
      </c>
      <c r="I2163" t="s">
        <v>96</v>
      </c>
      <c r="K2163">
        <v>2561830</v>
      </c>
      <c r="L2163">
        <v>1182400</v>
      </c>
      <c r="M2163">
        <v>494</v>
      </c>
      <c r="N2163" t="s">
        <v>4852</v>
      </c>
    </row>
    <row r="2164" spans="1:14" x14ac:dyDescent="0.25">
      <c r="A2164">
        <v>8557134</v>
      </c>
      <c r="B2164" t="s">
        <v>4853</v>
      </c>
      <c r="C2164" t="s">
        <v>94</v>
      </c>
      <c r="D2164" t="s">
        <v>86</v>
      </c>
      <c r="E2164" t="s">
        <v>87</v>
      </c>
      <c r="F2164" t="s">
        <v>4844</v>
      </c>
      <c r="G2164">
        <v>5822</v>
      </c>
      <c r="H2164" t="s">
        <v>4844</v>
      </c>
      <c r="I2164" t="s">
        <v>96</v>
      </c>
      <c r="J2164" t="s">
        <v>4854</v>
      </c>
      <c r="K2164">
        <v>2561696</v>
      </c>
      <c r="L2164">
        <v>1185490</v>
      </c>
      <c r="M2164">
        <v>449</v>
      </c>
      <c r="N2164" t="s">
        <v>4855</v>
      </c>
    </row>
    <row r="2165" spans="1:14" x14ac:dyDescent="0.25">
      <c r="A2165">
        <v>8557131</v>
      </c>
      <c r="B2165" t="s">
        <v>4856</v>
      </c>
      <c r="C2165" t="s">
        <v>94</v>
      </c>
      <c r="D2165" t="s">
        <v>86</v>
      </c>
      <c r="E2165" t="s">
        <v>87</v>
      </c>
      <c r="F2165" t="s">
        <v>4844</v>
      </c>
      <c r="G2165">
        <v>5822</v>
      </c>
      <c r="H2165" t="s">
        <v>4844</v>
      </c>
      <c r="I2165" t="s">
        <v>96</v>
      </c>
      <c r="J2165" t="s">
        <v>4854</v>
      </c>
      <c r="K2165">
        <v>2560977</v>
      </c>
      <c r="L2165">
        <v>1184966</v>
      </c>
      <c r="M2165">
        <v>450</v>
      </c>
      <c r="N2165" t="s">
        <v>4857</v>
      </c>
    </row>
    <row r="2166" spans="1:14" x14ac:dyDescent="0.25">
      <c r="A2166">
        <v>8504154</v>
      </c>
      <c r="B2166" t="s">
        <v>4858</v>
      </c>
      <c r="C2166" t="s">
        <v>94</v>
      </c>
      <c r="D2166" t="s">
        <v>86</v>
      </c>
      <c r="E2166" t="s">
        <v>87</v>
      </c>
      <c r="F2166" t="s">
        <v>4844</v>
      </c>
      <c r="G2166">
        <v>5822</v>
      </c>
      <c r="H2166" t="s">
        <v>4851</v>
      </c>
      <c r="I2166" t="s">
        <v>96</v>
      </c>
      <c r="K2166">
        <v>2561932</v>
      </c>
      <c r="L2166">
        <v>1182973</v>
      </c>
      <c r="M2166">
        <v>507</v>
      </c>
      <c r="N2166" t="s">
        <v>4859</v>
      </c>
    </row>
    <row r="2167" spans="1:14" x14ac:dyDescent="0.25">
      <c r="A2167">
        <v>8557132</v>
      </c>
      <c r="B2167" t="s">
        <v>4860</v>
      </c>
      <c r="C2167" t="s">
        <v>94</v>
      </c>
      <c r="D2167" t="s">
        <v>86</v>
      </c>
      <c r="E2167" t="s">
        <v>87</v>
      </c>
      <c r="F2167" t="s">
        <v>4844</v>
      </c>
      <c r="G2167">
        <v>5822</v>
      </c>
      <c r="H2167" t="s">
        <v>4844</v>
      </c>
      <c r="I2167" t="s">
        <v>96</v>
      </c>
      <c r="J2167" t="s">
        <v>4854</v>
      </c>
      <c r="K2167">
        <v>2561447</v>
      </c>
      <c r="L2167">
        <v>1185597</v>
      </c>
      <c r="M2167">
        <v>449</v>
      </c>
      <c r="N2167" t="s">
        <v>4861</v>
      </c>
    </row>
    <row r="2168" spans="1:14" x14ac:dyDescent="0.25">
      <c r="A2168">
        <v>8582048</v>
      </c>
      <c r="B2168" t="s">
        <v>4862</v>
      </c>
      <c r="C2168" t="s">
        <v>94</v>
      </c>
      <c r="D2168" t="s">
        <v>86</v>
      </c>
      <c r="E2168" t="s">
        <v>87</v>
      </c>
      <c r="F2168" t="s">
        <v>4844</v>
      </c>
      <c r="G2168">
        <v>5822</v>
      </c>
      <c r="H2168" t="s">
        <v>4844</v>
      </c>
      <c r="I2168" t="s">
        <v>96</v>
      </c>
      <c r="K2168">
        <v>2561864</v>
      </c>
      <c r="L2168">
        <v>1185078</v>
      </c>
      <c r="M2168">
        <v>466</v>
      </c>
      <c r="N2168" t="s">
        <v>4863</v>
      </c>
    </row>
    <row r="2169" spans="1:14" x14ac:dyDescent="0.25">
      <c r="A2169">
        <v>8515351</v>
      </c>
      <c r="B2169" t="s">
        <v>4864</v>
      </c>
      <c r="C2169" t="s">
        <v>132</v>
      </c>
      <c r="E2169" t="s">
        <v>87</v>
      </c>
      <c r="F2169" t="s">
        <v>4844</v>
      </c>
      <c r="G2169">
        <v>5822</v>
      </c>
      <c r="H2169" t="s">
        <v>4844</v>
      </c>
      <c r="I2169" t="s">
        <v>133</v>
      </c>
      <c r="J2169" t="s">
        <v>130</v>
      </c>
      <c r="K2169">
        <v>2562566.9509999999</v>
      </c>
      <c r="L2169">
        <v>1186322.8899999999</v>
      </c>
      <c r="M2169">
        <v>447.96</v>
      </c>
      <c r="N2169" t="s">
        <v>4865</v>
      </c>
    </row>
    <row r="2170" spans="1:14" x14ac:dyDescent="0.25">
      <c r="A2170">
        <v>8504999</v>
      </c>
      <c r="B2170" t="s">
        <v>4866</v>
      </c>
      <c r="C2170" t="s">
        <v>94</v>
      </c>
      <c r="D2170" t="s">
        <v>86</v>
      </c>
      <c r="E2170" t="s">
        <v>87</v>
      </c>
      <c r="F2170" t="s">
        <v>4844</v>
      </c>
      <c r="G2170">
        <v>5822</v>
      </c>
      <c r="H2170" t="s">
        <v>4844</v>
      </c>
      <c r="I2170" t="s">
        <v>96</v>
      </c>
      <c r="J2170" t="s">
        <v>277</v>
      </c>
      <c r="K2170">
        <v>2562470</v>
      </c>
      <c r="L2170">
        <v>1185487</v>
      </c>
      <c r="M2170">
        <v>485</v>
      </c>
      <c r="N2170" t="s">
        <v>4867</v>
      </c>
    </row>
    <row r="2171" spans="1:14" x14ac:dyDescent="0.25">
      <c r="A2171">
        <v>8557135</v>
      </c>
      <c r="B2171" t="s">
        <v>4868</v>
      </c>
      <c r="C2171" t="s">
        <v>94</v>
      </c>
      <c r="D2171" t="s">
        <v>86</v>
      </c>
      <c r="E2171" t="s">
        <v>87</v>
      </c>
      <c r="F2171" t="s">
        <v>4844</v>
      </c>
      <c r="G2171">
        <v>5822</v>
      </c>
      <c r="H2171" t="s">
        <v>4844</v>
      </c>
      <c r="I2171" t="s">
        <v>96</v>
      </c>
      <c r="J2171" t="s">
        <v>4854</v>
      </c>
      <c r="K2171">
        <v>2561827</v>
      </c>
      <c r="L2171">
        <v>1185553</v>
      </c>
      <c r="M2171">
        <v>450</v>
      </c>
      <c r="N2171" t="s">
        <v>4869</v>
      </c>
    </row>
    <row r="2172" spans="1:14" x14ac:dyDescent="0.25">
      <c r="A2172">
        <v>8557136</v>
      </c>
      <c r="B2172" t="s">
        <v>4870</v>
      </c>
      <c r="C2172" t="s">
        <v>94</v>
      </c>
      <c r="D2172" t="s">
        <v>86</v>
      </c>
      <c r="E2172" t="s">
        <v>87</v>
      </c>
      <c r="F2172" t="s">
        <v>4844</v>
      </c>
      <c r="G2172">
        <v>5822</v>
      </c>
      <c r="H2172" t="s">
        <v>4844</v>
      </c>
      <c r="I2172" t="s">
        <v>96</v>
      </c>
      <c r="J2172" t="s">
        <v>4854</v>
      </c>
      <c r="K2172">
        <v>2562449</v>
      </c>
      <c r="L2172">
        <v>1185761</v>
      </c>
      <c r="M2172">
        <v>466</v>
      </c>
      <c r="N2172" t="s">
        <v>4871</v>
      </c>
    </row>
    <row r="2173" spans="1:14" x14ac:dyDescent="0.25">
      <c r="A2173">
        <v>8557137</v>
      </c>
      <c r="B2173" t="s">
        <v>4872</v>
      </c>
      <c r="C2173" t="s">
        <v>94</v>
      </c>
      <c r="D2173" t="s">
        <v>86</v>
      </c>
      <c r="E2173" t="s">
        <v>87</v>
      </c>
      <c r="F2173" t="s">
        <v>4844</v>
      </c>
      <c r="G2173">
        <v>5822</v>
      </c>
      <c r="H2173" t="s">
        <v>4844</v>
      </c>
      <c r="I2173" t="s">
        <v>96</v>
      </c>
      <c r="J2173" t="s">
        <v>4854</v>
      </c>
      <c r="K2173">
        <v>2562652</v>
      </c>
      <c r="L2173">
        <v>1185541</v>
      </c>
      <c r="M2173">
        <v>486</v>
      </c>
      <c r="N2173" t="s">
        <v>4873</v>
      </c>
    </row>
    <row r="2174" spans="1:14" x14ac:dyDescent="0.25">
      <c r="A2174">
        <v>8570399</v>
      </c>
      <c r="B2174" t="s">
        <v>4874</v>
      </c>
      <c r="C2174" t="s">
        <v>94</v>
      </c>
      <c r="D2174" t="s">
        <v>86</v>
      </c>
      <c r="E2174" t="s">
        <v>87</v>
      </c>
      <c r="F2174" t="s">
        <v>4844</v>
      </c>
      <c r="G2174">
        <v>5822</v>
      </c>
      <c r="H2174" t="s">
        <v>4844</v>
      </c>
      <c r="I2174" t="s">
        <v>96</v>
      </c>
      <c r="K2174">
        <v>2561225</v>
      </c>
      <c r="L2174">
        <v>1185466</v>
      </c>
      <c r="M2174">
        <v>449</v>
      </c>
      <c r="N2174" t="s">
        <v>4875</v>
      </c>
    </row>
    <row r="2175" spans="1:14" x14ac:dyDescent="0.25">
      <c r="A2175">
        <v>8570400</v>
      </c>
      <c r="B2175" t="s">
        <v>4876</v>
      </c>
      <c r="C2175" t="s">
        <v>94</v>
      </c>
      <c r="D2175" t="s">
        <v>86</v>
      </c>
      <c r="E2175" t="s">
        <v>87</v>
      </c>
      <c r="F2175" t="s">
        <v>4844</v>
      </c>
      <c r="G2175">
        <v>5822</v>
      </c>
      <c r="H2175" t="s">
        <v>4844</v>
      </c>
      <c r="I2175" t="s">
        <v>96</v>
      </c>
      <c r="K2175">
        <v>2561021.2939900002</v>
      </c>
      <c r="L2175">
        <v>1185133.0052700001</v>
      </c>
      <c r="M2175">
        <v>450</v>
      </c>
      <c r="N2175" t="s">
        <v>4877</v>
      </c>
    </row>
    <row r="2176" spans="1:14" x14ac:dyDescent="0.25">
      <c r="A2176">
        <v>8504780</v>
      </c>
      <c r="B2176" t="s">
        <v>4878</v>
      </c>
      <c r="C2176" t="s">
        <v>94</v>
      </c>
      <c r="D2176" t="s">
        <v>86</v>
      </c>
      <c r="E2176" t="s">
        <v>87</v>
      </c>
      <c r="F2176" t="s">
        <v>4844</v>
      </c>
      <c r="G2176">
        <v>5822</v>
      </c>
      <c r="H2176" t="s">
        <v>4844</v>
      </c>
      <c r="I2176" t="s">
        <v>96</v>
      </c>
      <c r="K2176">
        <v>2561959</v>
      </c>
      <c r="L2176">
        <v>1185547</v>
      </c>
      <c r="M2176">
        <v>452</v>
      </c>
      <c r="N2176" t="s">
        <v>4879</v>
      </c>
    </row>
    <row r="2177" spans="1:14" x14ac:dyDescent="0.25">
      <c r="A2177">
        <v>8583429</v>
      </c>
      <c r="B2177" t="s">
        <v>4880</v>
      </c>
      <c r="C2177" t="s">
        <v>94</v>
      </c>
      <c r="D2177" t="s">
        <v>86</v>
      </c>
      <c r="E2177" t="s">
        <v>87</v>
      </c>
      <c r="F2177" t="s">
        <v>4844</v>
      </c>
      <c r="G2177">
        <v>5822</v>
      </c>
      <c r="H2177" t="s">
        <v>4844</v>
      </c>
      <c r="I2177" t="s">
        <v>96</v>
      </c>
      <c r="K2177">
        <v>2561864</v>
      </c>
      <c r="L2177">
        <v>1184621</v>
      </c>
      <c r="M2177">
        <v>484</v>
      </c>
      <c r="N2177" t="s">
        <v>4881</v>
      </c>
    </row>
    <row r="2178" spans="1:14" x14ac:dyDescent="0.25">
      <c r="A2178">
        <v>8511702</v>
      </c>
      <c r="B2178" t="s">
        <v>4882</v>
      </c>
      <c r="C2178" t="s">
        <v>94</v>
      </c>
      <c r="D2178" t="s">
        <v>86</v>
      </c>
      <c r="E2178" t="s">
        <v>87</v>
      </c>
      <c r="F2178" t="s">
        <v>4844</v>
      </c>
      <c r="G2178">
        <v>5822</v>
      </c>
      <c r="H2178" t="s">
        <v>4844</v>
      </c>
      <c r="I2178" t="s">
        <v>96</v>
      </c>
      <c r="K2178">
        <v>2562007.7532100002</v>
      </c>
      <c r="L2178">
        <v>1186182.98823</v>
      </c>
      <c r="M2178">
        <v>447.9</v>
      </c>
      <c r="N2178" t="s">
        <v>4883</v>
      </c>
    </row>
    <row r="2179" spans="1:14" x14ac:dyDescent="0.25">
      <c r="A2179">
        <v>8511700</v>
      </c>
      <c r="B2179" t="s">
        <v>4884</v>
      </c>
      <c r="C2179" t="s">
        <v>94</v>
      </c>
      <c r="D2179" t="s">
        <v>86</v>
      </c>
      <c r="E2179" t="s">
        <v>87</v>
      </c>
      <c r="F2179" t="s">
        <v>4844</v>
      </c>
      <c r="G2179">
        <v>5822</v>
      </c>
      <c r="H2179" t="s">
        <v>4844</v>
      </c>
      <c r="I2179" t="s">
        <v>96</v>
      </c>
      <c r="K2179">
        <v>2561077.8994800001</v>
      </c>
      <c r="L2179">
        <v>1186350.92509</v>
      </c>
      <c r="M2179">
        <v>447.8</v>
      </c>
      <c r="N2179" t="s">
        <v>4885</v>
      </c>
    </row>
    <row r="2180" spans="1:14" x14ac:dyDescent="0.25">
      <c r="A2180">
        <v>8511701</v>
      </c>
      <c r="B2180" t="s">
        <v>4886</v>
      </c>
      <c r="C2180" t="s">
        <v>94</v>
      </c>
      <c r="D2180" t="s">
        <v>86</v>
      </c>
      <c r="E2180" t="s">
        <v>87</v>
      </c>
      <c r="F2180" t="s">
        <v>4844</v>
      </c>
      <c r="G2180">
        <v>5822</v>
      </c>
      <c r="H2180" t="s">
        <v>4844</v>
      </c>
      <c r="I2180" t="s">
        <v>96</v>
      </c>
      <c r="K2180">
        <v>2561357.82455</v>
      </c>
      <c r="L2180">
        <v>1185918.1009500001</v>
      </c>
      <c r="M2180">
        <v>448.3</v>
      </c>
      <c r="N2180" t="s">
        <v>4887</v>
      </c>
    </row>
    <row r="2181" spans="1:14" x14ac:dyDescent="0.25">
      <c r="A2181">
        <v>8512171</v>
      </c>
      <c r="B2181" t="s">
        <v>4888</v>
      </c>
      <c r="C2181" t="s">
        <v>94</v>
      </c>
      <c r="D2181" t="s">
        <v>86</v>
      </c>
      <c r="E2181" t="s">
        <v>87</v>
      </c>
      <c r="F2181" t="s">
        <v>4844</v>
      </c>
      <c r="G2181">
        <v>5822</v>
      </c>
      <c r="H2181" t="s">
        <v>4844</v>
      </c>
      <c r="I2181" t="s">
        <v>96</v>
      </c>
      <c r="K2181">
        <v>2561731.7270800001</v>
      </c>
      <c r="L2181">
        <v>1186264.0735800001</v>
      </c>
      <c r="M2181">
        <v>448.2</v>
      </c>
      <c r="N2181" t="s">
        <v>4889</v>
      </c>
    </row>
    <row r="2182" spans="1:14" x14ac:dyDescent="0.25">
      <c r="A2182">
        <v>8557138</v>
      </c>
      <c r="B2182" t="s">
        <v>4890</v>
      </c>
      <c r="C2182" t="s">
        <v>94</v>
      </c>
      <c r="D2182" t="s">
        <v>86</v>
      </c>
      <c r="E2182" t="s">
        <v>87</v>
      </c>
      <c r="F2182" t="s">
        <v>4844</v>
      </c>
      <c r="G2182">
        <v>5822</v>
      </c>
      <c r="H2182" t="s">
        <v>4844</v>
      </c>
      <c r="I2182" t="s">
        <v>96</v>
      </c>
      <c r="J2182" t="s">
        <v>4854</v>
      </c>
      <c r="K2182">
        <v>2561777</v>
      </c>
      <c r="L2182">
        <v>1185697</v>
      </c>
      <c r="M2182">
        <v>450</v>
      </c>
      <c r="N2182" t="s">
        <v>4891</v>
      </c>
    </row>
    <row r="2183" spans="1:14" x14ac:dyDescent="0.25">
      <c r="A2183">
        <v>8511699</v>
      </c>
      <c r="B2183" t="s">
        <v>4892</v>
      </c>
      <c r="C2183" t="s">
        <v>94</v>
      </c>
      <c r="D2183" t="s">
        <v>86</v>
      </c>
      <c r="E2183" t="s">
        <v>87</v>
      </c>
      <c r="F2183" t="s">
        <v>4844</v>
      </c>
      <c r="G2183">
        <v>5822</v>
      </c>
      <c r="H2183" t="s">
        <v>4844</v>
      </c>
      <c r="I2183" t="s">
        <v>96</v>
      </c>
      <c r="K2183">
        <v>2560175.7447899999</v>
      </c>
      <c r="L2183">
        <v>1187656.9524999999</v>
      </c>
      <c r="M2183">
        <v>445.7</v>
      </c>
      <c r="N2183" t="s">
        <v>4893</v>
      </c>
    </row>
    <row r="2184" spans="1:14" x14ac:dyDescent="0.25">
      <c r="A2184">
        <v>8593755</v>
      </c>
      <c r="B2184" t="s">
        <v>4894</v>
      </c>
      <c r="C2184" t="s">
        <v>1419</v>
      </c>
      <c r="D2184" t="s">
        <v>1004</v>
      </c>
      <c r="E2184" t="s">
        <v>87</v>
      </c>
      <c r="F2184" t="s">
        <v>4895</v>
      </c>
      <c r="G2184">
        <v>5495</v>
      </c>
      <c r="H2184" t="s">
        <v>4895</v>
      </c>
      <c r="I2184" t="s">
        <v>1420</v>
      </c>
      <c r="J2184" t="s">
        <v>4896</v>
      </c>
      <c r="K2184">
        <v>2529839</v>
      </c>
      <c r="L2184">
        <v>1162038</v>
      </c>
      <c r="M2184">
        <v>431</v>
      </c>
      <c r="N2184" t="s">
        <v>4897</v>
      </c>
    </row>
    <row r="2185" spans="1:14" x14ac:dyDescent="0.25">
      <c r="A2185">
        <v>8501115</v>
      </c>
      <c r="B2185" t="s">
        <v>4898</v>
      </c>
      <c r="C2185" t="s">
        <v>132</v>
      </c>
      <c r="D2185" t="s">
        <v>112</v>
      </c>
      <c r="E2185" t="s">
        <v>87</v>
      </c>
      <c r="F2185" t="s">
        <v>4895</v>
      </c>
      <c r="G2185">
        <v>5495</v>
      </c>
      <c r="H2185" t="s">
        <v>4895</v>
      </c>
      <c r="I2185" t="s">
        <v>133</v>
      </c>
      <c r="K2185">
        <v>2529902.52</v>
      </c>
      <c r="L2185">
        <v>1162048.7990000001</v>
      </c>
      <c r="M2185">
        <v>427.95</v>
      </c>
      <c r="N2185" t="s">
        <v>4899</v>
      </c>
    </row>
    <row r="2186" spans="1:14" x14ac:dyDescent="0.25">
      <c r="A2186">
        <v>8570129</v>
      </c>
      <c r="B2186" t="s">
        <v>4900</v>
      </c>
      <c r="C2186" t="s">
        <v>94</v>
      </c>
      <c r="D2186" t="s">
        <v>86</v>
      </c>
      <c r="E2186" t="s">
        <v>87</v>
      </c>
      <c r="F2186" t="s">
        <v>4895</v>
      </c>
      <c r="G2186">
        <v>5495</v>
      </c>
      <c r="H2186" t="s">
        <v>4895</v>
      </c>
      <c r="I2186" t="s">
        <v>96</v>
      </c>
      <c r="K2186">
        <v>2529881</v>
      </c>
      <c r="L2186">
        <v>1162027</v>
      </c>
      <c r="M2186">
        <v>428</v>
      </c>
      <c r="N2186" t="s">
        <v>4901</v>
      </c>
    </row>
    <row r="2187" spans="1:14" x14ac:dyDescent="0.25">
      <c r="A2187">
        <v>8570131</v>
      </c>
      <c r="B2187" t="s">
        <v>4902</v>
      </c>
      <c r="C2187" t="s">
        <v>94</v>
      </c>
      <c r="D2187" t="s">
        <v>86</v>
      </c>
      <c r="E2187" t="s">
        <v>87</v>
      </c>
      <c r="F2187" t="s">
        <v>4895</v>
      </c>
      <c r="G2187">
        <v>5495</v>
      </c>
      <c r="H2187" t="s">
        <v>4895</v>
      </c>
      <c r="I2187" t="s">
        <v>96</v>
      </c>
      <c r="K2187">
        <v>2530227</v>
      </c>
      <c r="L2187">
        <v>1162873</v>
      </c>
      <c r="M2187">
        <v>485</v>
      </c>
      <c r="N2187" t="s">
        <v>4903</v>
      </c>
    </row>
    <row r="2188" spans="1:14" x14ac:dyDescent="0.25">
      <c r="A2188">
        <v>8581114</v>
      </c>
      <c r="B2188" t="s">
        <v>4904</v>
      </c>
      <c r="C2188" t="s">
        <v>94</v>
      </c>
      <c r="D2188" t="s">
        <v>86</v>
      </c>
      <c r="E2188" t="s">
        <v>87</v>
      </c>
      <c r="F2188" t="s">
        <v>4895</v>
      </c>
      <c r="G2188">
        <v>5495</v>
      </c>
      <c r="H2188" t="s">
        <v>4895</v>
      </c>
      <c r="I2188" t="s">
        <v>96</v>
      </c>
      <c r="K2188">
        <v>2530301</v>
      </c>
      <c r="L2188">
        <v>1161861</v>
      </c>
      <c r="M2188">
        <v>441</v>
      </c>
      <c r="N2188" t="s">
        <v>4905</v>
      </c>
    </row>
    <row r="2189" spans="1:14" x14ac:dyDescent="0.25">
      <c r="A2189">
        <v>8570130</v>
      </c>
      <c r="B2189" t="s">
        <v>4906</v>
      </c>
      <c r="C2189" t="s">
        <v>94</v>
      </c>
      <c r="D2189" t="s">
        <v>86</v>
      </c>
      <c r="E2189" t="s">
        <v>87</v>
      </c>
      <c r="F2189" t="s">
        <v>4895</v>
      </c>
      <c r="G2189">
        <v>5495</v>
      </c>
      <c r="H2189" t="s">
        <v>4895</v>
      </c>
      <c r="I2189" t="s">
        <v>96</v>
      </c>
      <c r="K2189">
        <v>2530036</v>
      </c>
      <c r="L2189">
        <v>1162464</v>
      </c>
      <c r="M2189">
        <v>453</v>
      </c>
      <c r="N2189" t="s">
        <v>4907</v>
      </c>
    </row>
    <row r="2190" spans="1:14" x14ac:dyDescent="0.25">
      <c r="A2190">
        <v>8570132</v>
      </c>
      <c r="B2190" t="s">
        <v>4908</v>
      </c>
      <c r="C2190" t="s">
        <v>94</v>
      </c>
      <c r="D2190" t="s">
        <v>86</v>
      </c>
      <c r="E2190" t="s">
        <v>87</v>
      </c>
      <c r="F2190" t="s">
        <v>4909</v>
      </c>
      <c r="G2190">
        <v>5496</v>
      </c>
      <c r="H2190" t="s">
        <v>4909</v>
      </c>
      <c r="I2190" t="s">
        <v>96</v>
      </c>
      <c r="K2190">
        <v>2530469.0005100002</v>
      </c>
      <c r="L2190">
        <v>1161616.0011499999</v>
      </c>
      <c r="M2190">
        <v>454</v>
      </c>
      <c r="N2190" t="s">
        <v>4910</v>
      </c>
    </row>
    <row r="2191" spans="1:14" x14ac:dyDescent="0.25">
      <c r="A2191">
        <v>8501299</v>
      </c>
      <c r="B2191" t="s">
        <v>4911</v>
      </c>
      <c r="C2191" t="s">
        <v>94</v>
      </c>
      <c r="D2191" t="s">
        <v>86</v>
      </c>
      <c r="E2191" t="s">
        <v>87</v>
      </c>
      <c r="F2191" t="s">
        <v>4909</v>
      </c>
      <c r="G2191">
        <v>5496</v>
      </c>
      <c r="H2191" t="s">
        <v>4909</v>
      </c>
      <c r="I2191" t="s">
        <v>96</v>
      </c>
      <c r="K2191">
        <v>2531068</v>
      </c>
      <c r="L2191">
        <v>1161308</v>
      </c>
      <c r="M2191">
        <v>486</v>
      </c>
      <c r="N2191" t="s">
        <v>4912</v>
      </c>
    </row>
    <row r="2192" spans="1:14" x14ac:dyDescent="0.25">
      <c r="A2192">
        <v>8570192</v>
      </c>
      <c r="B2192" t="s">
        <v>4913</v>
      </c>
      <c r="C2192" t="s">
        <v>94</v>
      </c>
      <c r="D2192" t="s">
        <v>86</v>
      </c>
      <c r="E2192" t="s">
        <v>87</v>
      </c>
      <c r="F2192" t="s">
        <v>4914</v>
      </c>
      <c r="G2192">
        <v>5531</v>
      </c>
      <c r="H2192" t="s">
        <v>4914</v>
      </c>
      <c r="I2192" t="s">
        <v>96</v>
      </c>
      <c r="K2192">
        <v>2536121</v>
      </c>
      <c r="L2192">
        <v>1170404</v>
      </c>
      <c r="M2192">
        <v>622</v>
      </c>
      <c r="N2192" t="s">
        <v>4915</v>
      </c>
    </row>
    <row r="2193" spans="1:14" x14ac:dyDescent="0.25">
      <c r="A2193">
        <v>8570194</v>
      </c>
      <c r="B2193" t="s">
        <v>4916</v>
      </c>
      <c r="C2193" t="s">
        <v>94</v>
      </c>
      <c r="D2193" t="s">
        <v>86</v>
      </c>
      <c r="E2193" t="s">
        <v>87</v>
      </c>
      <c r="F2193" t="s">
        <v>4914</v>
      </c>
      <c r="G2193">
        <v>5531</v>
      </c>
      <c r="H2193" t="s">
        <v>4914</v>
      </c>
      <c r="I2193" t="s">
        <v>96</v>
      </c>
      <c r="K2193">
        <v>2536279</v>
      </c>
      <c r="L2193">
        <v>1170889</v>
      </c>
      <c r="M2193">
        <v>620</v>
      </c>
      <c r="N2193" t="s">
        <v>4917</v>
      </c>
    </row>
    <row r="2194" spans="1:14" x14ac:dyDescent="0.25">
      <c r="A2194">
        <v>8570195</v>
      </c>
      <c r="B2194" t="s">
        <v>4918</v>
      </c>
      <c r="C2194" t="s">
        <v>94</v>
      </c>
      <c r="D2194" t="s">
        <v>86</v>
      </c>
      <c r="E2194" t="s">
        <v>87</v>
      </c>
      <c r="F2194" t="s">
        <v>4914</v>
      </c>
      <c r="G2194">
        <v>5531</v>
      </c>
      <c r="H2194" t="s">
        <v>4914</v>
      </c>
      <c r="I2194" t="s">
        <v>96</v>
      </c>
      <c r="K2194">
        <v>2537416</v>
      </c>
      <c r="L2194">
        <v>1171661</v>
      </c>
      <c r="M2194">
        <v>604</v>
      </c>
      <c r="N2194" t="s">
        <v>4919</v>
      </c>
    </row>
    <row r="2195" spans="1:14" x14ac:dyDescent="0.25">
      <c r="A2195">
        <v>8501034</v>
      </c>
      <c r="B2195" t="s">
        <v>4920</v>
      </c>
      <c r="C2195" t="s">
        <v>132</v>
      </c>
      <c r="E2195" t="s">
        <v>87</v>
      </c>
      <c r="F2195" t="s">
        <v>4920</v>
      </c>
      <c r="G2195">
        <v>5860</v>
      </c>
      <c r="H2195" t="s">
        <v>4920</v>
      </c>
      <c r="I2195" t="s">
        <v>133</v>
      </c>
      <c r="J2195" t="s">
        <v>130</v>
      </c>
      <c r="K2195">
        <v>2517385.9569999999</v>
      </c>
      <c r="L2195">
        <v>1147223.9509999999</v>
      </c>
      <c r="M2195">
        <v>418.072</v>
      </c>
      <c r="N2195" t="s">
        <v>4921</v>
      </c>
    </row>
    <row r="2196" spans="1:14" x14ac:dyDescent="0.25">
      <c r="A2196">
        <v>8570040</v>
      </c>
      <c r="B2196" t="s">
        <v>4922</v>
      </c>
      <c r="C2196" t="s">
        <v>94</v>
      </c>
      <c r="D2196" t="s">
        <v>86</v>
      </c>
      <c r="E2196" t="s">
        <v>87</v>
      </c>
      <c r="F2196" t="s">
        <v>4920</v>
      </c>
      <c r="G2196">
        <v>5860</v>
      </c>
      <c r="H2196" t="s">
        <v>4920</v>
      </c>
      <c r="I2196" t="s">
        <v>96</v>
      </c>
      <c r="K2196">
        <v>2517428</v>
      </c>
      <c r="L2196">
        <v>1146964</v>
      </c>
      <c r="M2196">
        <v>419</v>
      </c>
      <c r="N2196" t="s">
        <v>4923</v>
      </c>
    </row>
    <row r="2197" spans="1:14" x14ac:dyDescent="0.25">
      <c r="A2197">
        <v>8570039</v>
      </c>
      <c r="B2197" t="s">
        <v>4924</v>
      </c>
      <c r="C2197" t="s">
        <v>94</v>
      </c>
      <c r="D2197" t="s">
        <v>86</v>
      </c>
      <c r="E2197" t="s">
        <v>87</v>
      </c>
      <c r="F2197" t="s">
        <v>4920</v>
      </c>
      <c r="G2197">
        <v>5860</v>
      </c>
      <c r="H2197" t="s">
        <v>4920</v>
      </c>
      <c r="I2197" t="s">
        <v>96</v>
      </c>
      <c r="K2197">
        <v>2516601</v>
      </c>
      <c r="L2197">
        <v>1146417</v>
      </c>
      <c r="M2197">
        <v>385</v>
      </c>
      <c r="N2197" t="s">
        <v>4925</v>
      </c>
    </row>
    <row r="2198" spans="1:14" x14ac:dyDescent="0.25">
      <c r="A2198">
        <v>8570041</v>
      </c>
      <c r="B2198" t="s">
        <v>4926</v>
      </c>
      <c r="C2198" t="s">
        <v>94</v>
      </c>
      <c r="D2198" t="s">
        <v>86</v>
      </c>
      <c r="E2198" t="s">
        <v>87</v>
      </c>
      <c r="F2198" t="s">
        <v>4920</v>
      </c>
      <c r="G2198">
        <v>5860</v>
      </c>
      <c r="H2198" t="s">
        <v>4920</v>
      </c>
      <c r="I2198" t="s">
        <v>96</v>
      </c>
      <c r="K2198">
        <v>2517768</v>
      </c>
      <c r="L2198">
        <v>1147136</v>
      </c>
      <c r="M2198">
        <v>417</v>
      </c>
      <c r="N2198" t="s">
        <v>4927</v>
      </c>
    </row>
    <row r="2199" spans="1:14" x14ac:dyDescent="0.25">
      <c r="A2199">
        <v>8579669</v>
      </c>
      <c r="B2199" t="s">
        <v>4928</v>
      </c>
      <c r="C2199" t="s">
        <v>94</v>
      </c>
      <c r="D2199" t="s">
        <v>86</v>
      </c>
      <c r="E2199" t="s">
        <v>87</v>
      </c>
      <c r="F2199" t="s">
        <v>4929</v>
      </c>
      <c r="G2199">
        <v>5533</v>
      </c>
      <c r="H2199" t="s">
        <v>4929</v>
      </c>
      <c r="I2199" t="s">
        <v>96</v>
      </c>
      <c r="K2199">
        <v>2541726</v>
      </c>
      <c r="L2199">
        <v>1164675</v>
      </c>
      <c r="M2199">
        <v>709</v>
      </c>
      <c r="N2199" t="s">
        <v>4930</v>
      </c>
    </row>
    <row r="2200" spans="1:14" x14ac:dyDescent="0.25">
      <c r="A2200">
        <v>8570212</v>
      </c>
      <c r="B2200" t="s">
        <v>4931</v>
      </c>
      <c r="C2200" t="s">
        <v>94</v>
      </c>
      <c r="D2200" t="s">
        <v>86</v>
      </c>
      <c r="E2200" t="s">
        <v>87</v>
      </c>
      <c r="F2200" t="s">
        <v>4929</v>
      </c>
      <c r="G2200">
        <v>5533</v>
      </c>
      <c r="H2200" t="s">
        <v>4929</v>
      </c>
      <c r="I2200" t="s">
        <v>96</v>
      </c>
      <c r="K2200">
        <v>2542129</v>
      </c>
      <c r="L2200">
        <v>1164373</v>
      </c>
      <c r="M2200">
        <v>742</v>
      </c>
      <c r="N2200" t="s">
        <v>4932</v>
      </c>
    </row>
    <row r="2201" spans="1:14" x14ac:dyDescent="0.25">
      <c r="A2201">
        <v>8570210</v>
      </c>
      <c r="B2201" t="s">
        <v>4933</v>
      </c>
      <c r="C2201" t="s">
        <v>94</v>
      </c>
      <c r="D2201" t="s">
        <v>86</v>
      </c>
      <c r="E2201" t="s">
        <v>87</v>
      </c>
      <c r="F2201" t="s">
        <v>4929</v>
      </c>
      <c r="G2201">
        <v>5533</v>
      </c>
      <c r="H2201" t="s">
        <v>4929</v>
      </c>
      <c r="I2201" t="s">
        <v>96</v>
      </c>
      <c r="K2201">
        <v>2541657</v>
      </c>
      <c r="L2201">
        <v>1164880</v>
      </c>
      <c r="M2201">
        <v>711</v>
      </c>
      <c r="N2201" t="s">
        <v>4934</v>
      </c>
    </row>
    <row r="2202" spans="1:14" x14ac:dyDescent="0.25">
      <c r="A2202">
        <v>8570211</v>
      </c>
      <c r="B2202" t="s">
        <v>4935</v>
      </c>
      <c r="C2202" t="s">
        <v>94</v>
      </c>
      <c r="D2202" t="s">
        <v>86</v>
      </c>
      <c r="E2202" t="s">
        <v>87</v>
      </c>
      <c r="F2202" t="s">
        <v>4929</v>
      </c>
      <c r="G2202">
        <v>5533</v>
      </c>
      <c r="H2202" t="s">
        <v>4929</v>
      </c>
      <c r="I2202" t="s">
        <v>96</v>
      </c>
      <c r="K2202">
        <v>2541901</v>
      </c>
      <c r="L2202">
        <v>1164539</v>
      </c>
      <c r="M2202">
        <v>723</v>
      </c>
      <c r="N2202" t="s">
        <v>4936</v>
      </c>
    </row>
    <row r="2203" spans="1:14" x14ac:dyDescent="0.25">
      <c r="A2203">
        <v>8570162</v>
      </c>
      <c r="B2203" t="s">
        <v>4937</v>
      </c>
      <c r="C2203" t="s">
        <v>94</v>
      </c>
      <c r="D2203" t="s">
        <v>86</v>
      </c>
      <c r="E2203" t="s">
        <v>87</v>
      </c>
      <c r="F2203" t="s">
        <v>4938</v>
      </c>
      <c r="G2203">
        <v>5497</v>
      </c>
      <c r="H2203" t="s">
        <v>4938</v>
      </c>
      <c r="I2203" t="s">
        <v>96</v>
      </c>
      <c r="K2203">
        <v>2528873</v>
      </c>
      <c r="L2203">
        <v>1168745</v>
      </c>
      <c r="M2203">
        <v>490</v>
      </c>
      <c r="N2203" t="s">
        <v>4939</v>
      </c>
    </row>
    <row r="2204" spans="1:14" x14ac:dyDescent="0.25">
      <c r="A2204">
        <v>8501894</v>
      </c>
      <c r="B2204" t="s">
        <v>4940</v>
      </c>
      <c r="C2204" t="s">
        <v>94</v>
      </c>
      <c r="D2204" t="s">
        <v>86</v>
      </c>
      <c r="E2204" t="s">
        <v>87</v>
      </c>
      <c r="F2204" t="s">
        <v>4938</v>
      </c>
      <c r="G2204">
        <v>5497</v>
      </c>
      <c r="H2204" t="s">
        <v>4938</v>
      </c>
      <c r="I2204" t="s">
        <v>96</v>
      </c>
      <c r="K2204">
        <v>2528481</v>
      </c>
      <c r="L2204">
        <v>1168865</v>
      </c>
      <c r="M2204">
        <v>524</v>
      </c>
      <c r="N2204" t="s">
        <v>4941</v>
      </c>
    </row>
    <row r="2205" spans="1:14" x14ac:dyDescent="0.25">
      <c r="A2205">
        <v>8570308</v>
      </c>
      <c r="B2205" t="s">
        <v>4942</v>
      </c>
      <c r="C2205" t="s">
        <v>94</v>
      </c>
      <c r="D2205" t="s">
        <v>86</v>
      </c>
      <c r="E2205" t="s">
        <v>87</v>
      </c>
      <c r="F2205" t="s">
        <v>4943</v>
      </c>
      <c r="G2205">
        <v>5926</v>
      </c>
      <c r="H2205" t="s">
        <v>4943</v>
      </c>
      <c r="I2205" t="s">
        <v>96</v>
      </c>
      <c r="K2205">
        <v>2541343</v>
      </c>
      <c r="L2205">
        <v>1178916</v>
      </c>
      <c r="M2205">
        <v>567</v>
      </c>
      <c r="N2205" t="s">
        <v>4944</v>
      </c>
    </row>
    <row r="2206" spans="1:14" x14ac:dyDescent="0.25">
      <c r="A2206">
        <v>8507953</v>
      </c>
      <c r="B2206" t="s">
        <v>4945</v>
      </c>
      <c r="C2206" t="s">
        <v>94</v>
      </c>
      <c r="D2206" t="s">
        <v>86</v>
      </c>
      <c r="E2206" t="s">
        <v>87</v>
      </c>
      <c r="F2206" t="s">
        <v>4943</v>
      </c>
      <c r="G2206">
        <v>5926</v>
      </c>
      <c r="H2206" t="s">
        <v>4943</v>
      </c>
      <c r="I2206" t="s">
        <v>96</v>
      </c>
      <c r="K2206">
        <v>2541160</v>
      </c>
      <c r="L2206">
        <v>1179082</v>
      </c>
      <c r="M2206">
        <v>557</v>
      </c>
      <c r="N2206" t="s">
        <v>4946</v>
      </c>
    </row>
    <row r="2207" spans="1:14" x14ac:dyDescent="0.25">
      <c r="A2207">
        <v>8570302</v>
      </c>
      <c r="B2207" t="s">
        <v>4947</v>
      </c>
      <c r="C2207" t="s">
        <v>94</v>
      </c>
      <c r="D2207" t="s">
        <v>86</v>
      </c>
      <c r="E2207" t="s">
        <v>87</v>
      </c>
      <c r="F2207" t="s">
        <v>4943</v>
      </c>
      <c r="G2207">
        <v>5926</v>
      </c>
      <c r="H2207" t="s">
        <v>4943</v>
      </c>
      <c r="I2207" t="s">
        <v>96</v>
      </c>
      <c r="K2207">
        <v>2540187</v>
      </c>
      <c r="L2207">
        <v>1179558</v>
      </c>
      <c r="M2207">
        <v>498</v>
      </c>
      <c r="N2207" t="s">
        <v>4948</v>
      </c>
    </row>
    <row r="2208" spans="1:14" x14ac:dyDescent="0.25">
      <c r="A2208">
        <v>8570303</v>
      </c>
      <c r="B2208" t="s">
        <v>4949</v>
      </c>
      <c r="C2208" t="s">
        <v>94</v>
      </c>
      <c r="D2208" t="s">
        <v>86</v>
      </c>
      <c r="E2208" t="s">
        <v>87</v>
      </c>
      <c r="F2208" t="s">
        <v>4943</v>
      </c>
      <c r="G2208">
        <v>5926</v>
      </c>
      <c r="H2208" t="s">
        <v>4943</v>
      </c>
      <c r="I2208" t="s">
        <v>96</v>
      </c>
      <c r="K2208">
        <v>2540052</v>
      </c>
      <c r="L2208">
        <v>1179080</v>
      </c>
      <c r="M2208">
        <v>493</v>
      </c>
      <c r="N2208" t="s">
        <v>4950</v>
      </c>
    </row>
    <row r="2209" spans="1:14" x14ac:dyDescent="0.25">
      <c r="A2209">
        <v>8502812</v>
      </c>
      <c r="B2209" t="s">
        <v>4951</v>
      </c>
      <c r="C2209" t="s">
        <v>206</v>
      </c>
      <c r="D2209" t="s">
        <v>86</v>
      </c>
      <c r="E2209" t="s">
        <v>87</v>
      </c>
      <c r="F2209" t="s">
        <v>4952</v>
      </c>
      <c r="G2209">
        <v>5725</v>
      </c>
      <c r="H2209" t="s">
        <v>4952</v>
      </c>
      <c r="I2209" t="s">
        <v>208</v>
      </c>
      <c r="K2209">
        <v>2508568.1436399999</v>
      </c>
      <c r="L2209">
        <v>1138549.68551</v>
      </c>
      <c r="M2209">
        <v>400.2</v>
      </c>
      <c r="N2209" t="s">
        <v>4953</v>
      </c>
    </row>
    <row r="2210" spans="1:14" x14ac:dyDescent="0.25">
      <c r="A2210">
        <v>8588683</v>
      </c>
      <c r="B2210" t="s">
        <v>4954</v>
      </c>
      <c r="C2210" t="s">
        <v>1944</v>
      </c>
      <c r="D2210" t="s">
        <v>86</v>
      </c>
      <c r="E2210" t="s">
        <v>87</v>
      </c>
      <c r="F2210" t="s">
        <v>4952</v>
      </c>
      <c r="G2210">
        <v>5725</v>
      </c>
      <c r="H2210" t="s">
        <v>4952</v>
      </c>
      <c r="I2210" t="s">
        <v>1945</v>
      </c>
      <c r="K2210">
        <v>2508482.46392</v>
      </c>
      <c r="L2210">
        <v>1139732.2446600001</v>
      </c>
      <c r="M2210">
        <v>427.5</v>
      </c>
      <c r="N2210" t="s">
        <v>4955</v>
      </c>
    </row>
    <row r="2211" spans="1:14" x14ac:dyDescent="0.25">
      <c r="A2211">
        <v>8588681</v>
      </c>
      <c r="B2211" t="s">
        <v>4956</v>
      </c>
      <c r="C2211" t="s">
        <v>1944</v>
      </c>
      <c r="D2211" t="s">
        <v>86</v>
      </c>
      <c r="E2211" t="s">
        <v>87</v>
      </c>
      <c r="F2211" t="s">
        <v>4952</v>
      </c>
      <c r="G2211">
        <v>5725</v>
      </c>
      <c r="H2211" t="s">
        <v>4952</v>
      </c>
      <c r="I2211" t="s">
        <v>1945</v>
      </c>
      <c r="K2211">
        <v>2508775.3347</v>
      </c>
      <c r="L2211">
        <v>1139345.7965500001</v>
      </c>
      <c r="M2211">
        <v>416.9</v>
      </c>
      <c r="N2211" t="s">
        <v>4957</v>
      </c>
    </row>
    <row r="2212" spans="1:14" x14ac:dyDescent="0.25">
      <c r="A2212">
        <v>8588670</v>
      </c>
      <c r="B2212" t="s">
        <v>4958</v>
      </c>
      <c r="C2212" t="s">
        <v>206</v>
      </c>
      <c r="D2212" t="s">
        <v>86</v>
      </c>
      <c r="E2212" t="s">
        <v>87</v>
      </c>
      <c r="F2212" t="s">
        <v>4952</v>
      </c>
      <c r="G2212">
        <v>5725</v>
      </c>
      <c r="H2212" t="s">
        <v>4952</v>
      </c>
      <c r="I2212" t="s">
        <v>208</v>
      </c>
      <c r="K2212">
        <v>2508391.8391499999</v>
      </c>
      <c r="L2212">
        <v>1138081.6513</v>
      </c>
      <c r="M2212">
        <v>378.9</v>
      </c>
      <c r="N2212" t="s">
        <v>4959</v>
      </c>
    </row>
    <row r="2213" spans="1:14" x14ac:dyDescent="0.25">
      <c r="A2213">
        <v>8588680</v>
      </c>
      <c r="B2213" t="s">
        <v>4960</v>
      </c>
      <c r="C2213" t="s">
        <v>1944</v>
      </c>
      <c r="D2213" t="s">
        <v>86</v>
      </c>
      <c r="E2213" t="s">
        <v>87</v>
      </c>
      <c r="F2213" t="s">
        <v>4952</v>
      </c>
      <c r="G2213">
        <v>5725</v>
      </c>
      <c r="H2213" t="s">
        <v>4952</v>
      </c>
      <c r="I2213" t="s">
        <v>1945</v>
      </c>
      <c r="K2213">
        <v>2508707.0135499998</v>
      </c>
      <c r="L2213">
        <v>1139124.5604099999</v>
      </c>
      <c r="M2213">
        <v>414.3</v>
      </c>
      <c r="N2213" t="s">
        <v>4961</v>
      </c>
    </row>
    <row r="2214" spans="1:14" x14ac:dyDescent="0.25">
      <c r="A2214">
        <v>8588675</v>
      </c>
      <c r="B2214" t="s">
        <v>4962</v>
      </c>
      <c r="C2214" t="s">
        <v>1944</v>
      </c>
      <c r="D2214" t="s">
        <v>86</v>
      </c>
      <c r="E2214" t="s">
        <v>87</v>
      </c>
      <c r="F2214" t="s">
        <v>4952</v>
      </c>
      <c r="G2214">
        <v>5725</v>
      </c>
      <c r="H2214" t="s">
        <v>4952</v>
      </c>
      <c r="I2214" t="s">
        <v>1945</v>
      </c>
      <c r="K2214">
        <v>2508212.6173399999</v>
      </c>
      <c r="L2214">
        <v>1139001.54672</v>
      </c>
      <c r="M2214">
        <v>417.6</v>
      </c>
      <c r="N2214" t="s">
        <v>4963</v>
      </c>
    </row>
    <row r="2215" spans="1:14" x14ac:dyDescent="0.25">
      <c r="A2215">
        <v>8588679</v>
      </c>
      <c r="B2215" t="s">
        <v>4964</v>
      </c>
      <c r="C2215" t="s">
        <v>1944</v>
      </c>
      <c r="D2215" t="s">
        <v>86</v>
      </c>
      <c r="E2215" t="s">
        <v>87</v>
      </c>
      <c r="F2215" t="s">
        <v>4952</v>
      </c>
      <c r="G2215">
        <v>5725</v>
      </c>
      <c r="H2215" t="s">
        <v>4952</v>
      </c>
      <c r="I2215" t="s">
        <v>1945</v>
      </c>
      <c r="K2215">
        <v>2508261.1067499998</v>
      </c>
      <c r="L2215">
        <v>1139380.67301</v>
      </c>
      <c r="M2215">
        <v>420.5</v>
      </c>
      <c r="N2215" t="s">
        <v>4965</v>
      </c>
    </row>
    <row r="2216" spans="1:14" x14ac:dyDescent="0.25">
      <c r="A2216">
        <v>8588685</v>
      </c>
      <c r="B2216" t="s">
        <v>4966</v>
      </c>
      <c r="C2216" t="s">
        <v>206</v>
      </c>
      <c r="D2216" t="s">
        <v>86</v>
      </c>
      <c r="E2216" t="s">
        <v>87</v>
      </c>
      <c r="F2216" t="s">
        <v>4952</v>
      </c>
      <c r="G2216">
        <v>5725</v>
      </c>
      <c r="H2216" t="s">
        <v>4952</v>
      </c>
      <c r="I2216" t="s">
        <v>208</v>
      </c>
      <c r="K2216">
        <v>2509150</v>
      </c>
      <c r="L2216">
        <v>1139275</v>
      </c>
      <c r="M2216">
        <v>403</v>
      </c>
      <c r="N2216" t="s">
        <v>4967</v>
      </c>
    </row>
    <row r="2217" spans="1:14" x14ac:dyDescent="0.25">
      <c r="A2217">
        <v>8588678</v>
      </c>
      <c r="B2217" t="s">
        <v>4968</v>
      </c>
      <c r="C2217" t="s">
        <v>1944</v>
      </c>
      <c r="D2217" t="s">
        <v>86</v>
      </c>
      <c r="E2217" t="s">
        <v>87</v>
      </c>
      <c r="F2217" t="s">
        <v>4952</v>
      </c>
      <c r="G2217">
        <v>5725</v>
      </c>
      <c r="H2217" t="s">
        <v>4952</v>
      </c>
      <c r="I2217" t="s">
        <v>1945</v>
      </c>
      <c r="K2217">
        <v>2508100</v>
      </c>
      <c r="L2217">
        <v>1139075</v>
      </c>
      <c r="M2217">
        <v>445</v>
      </c>
      <c r="N2217" t="s">
        <v>4969</v>
      </c>
    </row>
    <row r="2218" spans="1:14" x14ac:dyDescent="0.25">
      <c r="A2218">
        <v>8507318</v>
      </c>
      <c r="B2218" t="s">
        <v>4970</v>
      </c>
      <c r="C2218" t="s">
        <v>1944</v>
      </c>
      <c r="D2218" t="s">
        <v>86</v>
      </c>
      <c r="E2218" t="s">
        <v>87</v>
      </c>
      <c r="F2218" t="s">
        <v>4952</v>
      </c>
      <c r="G2218">
        <v>5725</v>
      </c>
      <c r="H2218" t="s">
        <v>4952</v>
      </c>
      <c r="I2218" t="s">
        <v>1945</v>
      </c>
      <c r="K2218">
        <v>2508638</v>
      </c>
      <c r="L2218">
        <v>1138646</v>
      </c>
      <c r="M2218">
        <v>405</v>
      </c>
      <c r="N2218" t="s">
        <v>4971</v>
      </c>
    </row>
    <row r="2219" spans="1:14" x14ac:dyDescent="0.25">
      <c r="A2219">
        <v>8501040</v>
      </c>
      <c r="B2219" t="s">
        <v>4952</v>
      </c>
      <c r="C2219" t="s">
        <v>132</v>
      </c>
      <c r="E2219" t="s">
        <v>87</v>
      </c>
      <c r="F2219" t="s">
        <v>4952</v>
      </c>
      <c r="G2219">
        <v>5725</v>
      </c>
      <c r="H2219" t="s">
        <v>4952</v>
      </c>
      <c r="I2219" t="s">
        <v>133</v>
      </c>
      <c r="J2219" t="s">
        <v>130</v>
      </c>
      <c r="K2219">
        <v>2508195.48</v>
      </c>
      <c r="L2219">
        <v>1138993.5330000001</v>
      </c>
      <c r="M2219">
        <v>416.85199999999998</v>
      </c>
      <c r="N2219" t="s">
        <v>4972</v>
      </c>
    </row>
    <row r="2220" spans="1:14" x14ac:dyDescent="0.25">
      <c r="A2220">
        <v>8595653</v>
      </c>
      <c r="B2220" t="s">
        <v>4973</v>
      </c>
      <c r="C2220" t="s">
        <v>1944</v>
      </c>
      <c r="D2220" t="s">
        <v>86</v>
      </c>
      <c r="E2220" t="s">
        <v>87</v>
      </c>
      <c r="F2220" t="s">
        <v>4952</v>
      </c>
      <c r="G2220">
        <v>5725</v>
      </c>
      <c r="H2220" t="s">
        <v>4952</v>
      </c>
      <c r="I2220" t="s">
        <v>1945</v>
      </c>
      <c r="K2220">
        <v>2508734.7822699999</v>
      </c>
      <c r="L2220">
        <v>1139524.3170400001</v>
      </c>
      <c r="M2220">
        <v>423</v>
      </c>
      <c r="N2220" t="s">
        <v>4974</v>
      </c>
    </row>
    <row r="2221" spans="1:14" x14ac:dyDescent="0.25">
      <c r="A2221">
        <v>8588674</v>
      </c>
      <c r="B2221" t="s">
        <v>4975</v>
      </c>
      <c r="C2221" t="s">
        <v>1944</v>
      </c>
      <c r="D2221" t="s">
        <v>86</v>
      </c>
      <c r="E2221" t="s">
        <v>87</v>
      </c>
      <c r="F2221" t="s">
        <v>4952</v>
      </c>
      <c r="G2221">
        <v>5725</v>
      </c>
      <c r="H2221" t="s">
        <v>4952</v>
      </c>
      <c r="I2221" t="s">
        <v>1945</v>
      </c>
      <c r="K2221">
        <v>2508029.0391899999</v>
      </c>
      <c r="L2221">
        <v>1138759.3259099999</v>
      </c>
      <c r="M2221">
        <v>419.5</v>
      </c>
      <c r="N2221" t="s">
        <v>4976</v>
      </c>
    </row>
    <row r="2222" spans="1:14" x14ac:dyDescent="0.25">
      <c r="A2222">
        <v>8588672</v>
      </c>
      <c r="B2222" t="s">
        <v>4977</v>
      </c>
      <c r="C2222" t="s">
        <v>1944</v>
      </c>
      <c r="D2222" t="s">
        <v>86</v>
      </c>
      <c r="E2222" t="s">
        <v>87</v>
      </c>
      <c r="F2222" t="s">
        <v>4952</v>
      </c>
      <c r="G2222">
        <v>5725</v>
      </c>
      <c r="H2222" t="s">
        <v>4952</v>
      </c>
      <c r="I2222" t="s">
        <v>1945</v>
      </c>
      <c r="K2222">
        <v>2507917.3017899999</v>
      </c>
      <c r="L2222">
        <v>1138455.9760700001</v>
      </c>
      <c r="M2222">
        <v>419.4</v>
      </c>
      <c r="N2222" t="s">
        <v>4978</v>
      </c>
    </row>
    <row r="2223" spans="1:14" x14ac:dyDescent="0.25">
      <c r="A2223">
        <v>8588677</v>
      </c>
      <c r="B2223" t="s">
        <v>4979</v>
      </c>
      <c r="C2223" t="s">
        <v>206</v>
      </c>
      <c r="D2223" t="s">
        <v>86</v>
      </c>
      <c r="E2223" t="s">
        <v>87</v>
      </c>
      <c r="F2223" t="s">
        <v>4952</v>
      </c>
      <c r="G2223">
        <v>5725</v>
      </c>
      <c r="H2223" t="s">
        <v>4952</v>
      </c>
      <c r="I2223" t="s">
        <v>208</v>
      </c>
      <c r="K2223">
        <v>2508535.5759800002</v>
      </c>
      <c r="L2223">
        <v>1138858.81648</v>
      </c>
      <c r="M2223">
        <v>410.3</v>
      </c>
      <c r="N2223" t="s">
        <v>4980</v>
      </c>
    </row>
    <row r="2224" spans="1:14" x14ac:dyDescent="0.25">
      <c r="A2224">
        <v>8588671</v>
      </c>
      <c r="B2224" t="s">
        <v>4981</v>
      </c>
      <c r="C2224" t="s">
        <v>206</v>
      </c>
      <c r="D2224" t="s">
        <v>86</v>
      </c>
      <c r="E2224" t="s">
        <v>87</v>
      </c>
      <c r="F2224" t="s">
        <v>4952</v>
      </c>
      <c r="G2224">
        <v>5725</v>
      </c>
      <c r="H2224" t="s">
        <v>4952</v>
      </c>
      <c r="I2224" t="s">
        <v>208</v>
      </c>
      <c r="K2224">
        <v>2508578</v>
      </c>
      <c r="L2224">
        <v>1138288</v>
      </c>
      <c r="M2224">
        <v>381</v>
      </c>
      <c r="N2224" t="s">
        <v>4982</v>
      </c>
    </row>
    <row r="2225" spans="1:14" x14ac:dyDescent="0.25">
      <c r="A2225">
        <v>8588676</v>
      </c>
      <c r="B2225" t="s">
        <v>4983</v>
      </c>
      <c r="C2225" t="s">
        <v>206</v>
      </c>
      <c r="D2225" t="s">
        <v>86</v>
      </c>
      <c r="E2225" t="s">
        <v>87</v>
      </c>
      <c r="F2225" t="s">
        <v>4952</v>
      </c>
      <c r="G2225">
        <v>5725</v>
      </c>
      <c r="H2225" t="s">
        <v>4952</v>
      </c>
      <c r="I2225" t="s">
        <v>208</v>
      </c>
      <c r="K2225">
        <v>2508550</v>
      </c>
      <c r="L2225">
        <v>1138800</v>
      </c>
      <c r="M2225">
        <v>414</v>
      </c>
      <c r="N2225" t="s">
        <v>4984</v>
      </c>
    </row>
    <row r="2226" spans="1:14" x14ac:dyDescent="0.25">
      <c r="A2226">
        <v>8595589</v>
      </c>
      <c r="B2226" t="s">
        <v>4985</v>
      </c>
      <c r="C2226" t="s">
        <v>206</v>
      </c>
      <c r="D2226" t="s">
        <v>86</v>
      </c>
      <c r="E2226" t="s">
        <v>87</v>
      </c>
      <c r="F2226" t="s">
        <v>4952</v>
      </c>
      <c r="G2226">
        <v>5725</v>
      </c>
      <c r="H2226" t="s">
        <v>4952</v>
      </c>
      <c r="I2226" t="s">
        <v>208</v>
      </c>
      <c r="K2226">
        <v>2508894</v>
      </c>
      <c r="L2226">
        <v>1138650</v>
      </c>
      <c r="M2226">
        <v>383</v>
      </c>
      <c r="N2226" t="s">
        <v>4986</v>
      </c>
    </row>
    <row r="2227" spans="1:14" x14ac:dyDescent="0.25">
      <c r="A2227">
        <v>8501256</v>
      </c>
      <c r="B2227" t="s">
        <v>4987</v>
      </c>
      <c r="C2227" t="s">
        <v>94</v>
      </c>
      <c r="D2227" t="s">
        <v>86</v>
      </c>
      <c r="E2227" t="s">
        <v>87</v>
      </c>
      <c r="F2227" t="s">
        <v>4988</v>
      </c>
      <c r="G2227">
        <v>5759</v>
      </c>
      <c r="H2227" t="s">
        <v>4988</v>
      </c>
      <c r="I2227" t="s">
        <v>96</v>
      </c>
      <c r="K2227">
        <v>2524051</v>
      </c>
      <c r="L2227">
        <v>1173049</v>
      </c>
      <c r="M2227">
        <v>867</v>
      </c>
      <c r="N2227" t="s">
        <v>4989</v>
      </c>
    </row>
    <row r="2228" spans="1:14" x14ac:dyDescent="0.25">
      <c r="A2228">
        <v>8570227</v>
      </c>
      <c r="B2228" t="s">
        <v>4990</v>
      </c>
      <c r="C2228" t="s">
        <v>94</v>
      </c>
      <c r="D2228" t="s">
        <v>86</v>
      </c>
      <c r="E2228" t="s">
        <v>87</v>
      </c>
      <c r="F2228" t="s">
        <v>4988</v>
      </c>
      <c r="G2228">
        <v>5759</v>
      </c>
      <c r="H2228" t="s">
        <v>4988</v>
      </c>
      <c r="I2228" t="s">
        <v>96</v>
      </c>
      <c r="K2228">
        <v>2524382</v>
      </c>
      <c r="L2228">
        <v>1172733</v>
      </c>
      <c r="M2228">
        <v>807</v>
      </c>
      <c r="N2228" t="s">
        <v>4991</v>
      </c>
    </row>
    <row r="2229" spans="1:14" x14ac:dyDescent="0.25">
      <c r="A2229">
        <v>8570228</v>
      </c>
      <c r="B2229" t="s">
        <v>4992</v>
      </c>
      <c r="C2229" t="s">
        <v>94</v>
      </c>
      <c r="D2229" t="s">
        <v>86</v>
      </c>
      <c r="E2229" t="s">
        <v>87</v>
      </c>
      <c r="F2229" t="s">
        <v>4988</v>
      </c>
      <c r="G2229">
        <v>5759</v>
      </c>
      <c r="H2229" t="s">
        <v>4988</v>
      </c>
      <c r="I2229" t="s">
        <v>96</v>
      </c>
      <c r="K2229">
        <v>2524137</v>
      </c>
      <c r="L2229">
        <v>1172955</v>
      </c>
      <c r="M2229">
        <v>849</v>
      </c>
      <c r="N2229" t="s">
        <v>4993</v>
      </c>
    </row>
    <row r="2230" spans="1:14" x14ac:dyDescent="0.25">
      <c r="A2230">
        <v>8588898</v>
      </c>
      <c r="B2230" t="s">
        <v>4994</v>
      </c>
      <c r="C2230" t="s">
        <v>85</v>
      </c>
      <c r="D2230" t="s">
        <v>86</v>
      </c>
      <c r="E2230" t="s">
        <v>87</v>
      </c>
      <c r="F2230" t="s">
        <v>57</v>
      </c>
      <c r="G2230">
        <v>5643</v>
      </c>
      <c r="H2230" t="s">
        <v>57</v>
      </c>
      <c r="I2230" t="s">
        <v>89</v>
      </c>
      <c r="K2230">
        <v>2529954</v>
      </c>
      <c r="L2230">
        <v>1152437</v>
      </c>
      <c r="M2230">
        <v>405</v>
      </c>
      <c r="N2230" t="s">
        <v>4995</v>
      </c>
    </row>
    <row r="2231" spans="1:14" x14ac:dyDescent="0.25">
      <c r="A2231">
        <v>8592279</v>
      </c>
      <c r="B2231" t="s">
        <v>4996</v>
      </c>
      <c r="C2231" t="s">
        <v>85</v>
      </c>
      <c r="D2231" t="s">
        <v>86</v>
      </c>
      <c r="E2231" t="s">
        <v>87</v>
      </c>
      <c r="F2231" t="s">
        <v>57</v>
      </c>
      <c r="G2231">
        <v>5643</v>
      </c>
      <c r="H2231" t="s">
        <v>57</v>
      </c>
      <c r="I2231" t="s">
        <v>89</v>
      </c>
      <c r="K2231">
        <v>2529331</v>
      </c>
      <c r="L2231">
        <v>1152250</v>
      </c>
      <c r="M2231">
        <v>384</v>
      </c>
      <c r="N2231" t="s">
        <v>4997</v>
      </c>
    </row>
    <row r="2232" spans="1:14" x14ac:dyDescent="0.25">
      <c r="A2232">
        <v>8579230</v>
      </c>
      <c r="B2232" t="s">
        <v>4998</v>
      </c>
      <c r="C2232" t="s">
        <v>85</v>
      </c>
      <c r="D2232" t="s">
        <v>86</v>
      </c>
      <c r="E2232" t="s">
        <v>87</v>
      </c>
      <c r="F2232" t="s">
        <v>57</v>
      </c>
      <c r="G2232">
        <v>5643</v>
      </c>
      <c r="H2232" t="s">
        <v>57</v>
      </c>
      <c r="I2232" t="s">
        <v>89</v>
      </c>
      <c r="K2232">
        <v>2529987</v>
      </c>
      <c r="L2232">
        <v>1152190</v>
      </c>
      <c r="M2232">
        <v>411</v>
      </c>
      <c r="N2232" t="s">
        <v>4999</v>
      </c>
    </row>
    <row r="2233" spans="1:14" x14ac:dyDescent="0.25">
      <c r="A2233">
        <v>8570470</v>
      </c>
      <c r="B2233" t="s">
        <v>5000</v>
      </c>
      <c r="C2233" t="s">
        <v>94</v>
      </c>
      <c r="D2233" t="s">
        <v>86</v>
      </c>
      <c r="E2233" t="s">
        <v>87</v>
      </c>
      <c r="F2233" t="s">
        <v>5001</v>
      </c>
      <c r="G2233">
        <v>5683</v>
      </c>
      <c r="H2233" t="s">
        <v>5001</v>
      </c>
      <c r="I2233" t="s">
        <v>96</v>
      </c>
      <c r="K2233">
        <v>2557533</v>
      </c>
      <c r="L2233">
        <v>1172123</v>
      </c>
      <c r="M2233">
        <v>747</v>
      </c>
      <c r="N2233" t="s">
        <v>5002</v>
      </c>
    </row>
    <row r="2234" spans="1:14" x14ac:dyDescent="0.25">
      <c r="A2234">
        <v>8570471</v>
      </c>
      <c r="B2234" t="s">
        <v>5003</v>
      </c>
      <c r="C2234" t="s">
        <v>94</v>
      </c>
      <c r="D2234" t="s">
        <v>86</v>
      </c>
      <c r="E2234" t="s">
        <v>87</v>
      </c>
      <c r="F2234" t="s">
        <v>5001</v>
      </c>
      <c r="G2234">
        <v>5683</v>
      </c>
      <c r="H2234" t="s">
        <v>5001</v>
      </c>
      <c r="I2234" t="s">
        <v>96</v>
      </c>
      <c r="K2234">
        <v>2557466</v>
      </c>
      <c r="L2234">
        <v>1172313</v>
      </c>
      <c r="M2234">
        <v>741</v>
      </c>
      <c r="N2234" t="s">
        <v>5004</v>
      </c>
    </row>
    <row r="2235" spans="1:14" x14ac:dyDescent="0.25">
      <c r="A2235">
        <v>8511406</v>
      </c>
      <c r="B2235" t="s">
        <v>5005</v>
      </c>
      <c r="C2235" t="s">
        <v>242</v>
      </c>
      <c r="D2235" t="s">
        <v>86</v>
      </c>
      <c r="E2235" t="s">
        <v>87</v>
      </c>
      <c r="F2235" t="s">
        <v>58</v>
      </c>
      <c r="G2235">
        <v>5589</v>
      </c>
      <c r="H2235" t="s">
        <v>58</v>
      </c>
      <c r="I2235" t="s">
        <v>243</v>
      </c>
      <c r="K2235">
        <v>2536412.8653899999</v>
      </c>
      <c r="L2235">
        <v>1154086.20456</v>
      </c>
      <c r="M2235">
        <v>504</v>
      </c>
      <c r="N2235" t="s">
        <v>5006</v>
      </c>
    </row>
    <row r="2236" spans="1:14" x14ac:dyDescent="0.25">
      <c r="A2236">
        <v>8592187</v>
      </c>
      <c r="B2236" t="s">
        <v>5007</v>
      </c>
      <c r="C2236" t="s">
        <v>242</v>
      </c>
      <c r="D2236" t="s">
        <v>86</v>
      </c>
      <c r="E2236" t="s">
        <v>87</v>
      </c>
      <c r="F2236" t="s">
        <v>58</v>
      </c>
      <c r="G2236">
        <v>5589</v>
      </c>
      <c r="H2236" t="s">
        <v>58</v>
      </c>
      <c r="I2236" t="s">
        <v>243</v>
      </c>
      <c r="K2236">
        <v>2536517</v>
      </c>
      <c r="L2236">
        <v>1154484</v>
      </c>
      <c r="M2236">
        <v>535</v>
      </c>
      <c r="N2236" t="s">
        <v>5008</v>
      </c>
    </row>
    <row r="2237" spans="1:14" x14ac:dyDescent="0.25">
      <c r="A2237">
        <v>8592179</v>
      </c>
      <c r="B2237" t="s">
        <v>5009</v>
      </c>
      <c r="C2237" t="s">
        <v>242</v>
      </c>
      <c r="D2237" t="s">
        <v>86</v>
      </c>
      <c r="E2237" t="s">
        <v>87</v>
      </c>
      <c r="F2237" t="s">
        <v>58</v>
      </c>
      <c r="G2237">
        <v>5589</v>
      </c>
      <c r="H2237" t="s">
        <v>58</v>
      </c>
      <c r="I2237" t="s">
        <v>243</v>
      </c>
      <c r="K2237">
        <v>2535710</v>
      </c>
      <c r="L2237">
        <v>1153529</v>
      </c>
      <c r="M2237">
        <v>437</v>
      </c>
      <c r="N2237" t="s">
        <v>5010</v>
      </c>
    </row>
    <row r="2238" spans="1:14" x14ac:dyDescent="0.25">
      <c r="A2238">
        <v>8592176</v>
      </c>
      <c r="B2238" t="s">
        <v>5011</v>
      </c>
      <c r="C2238" t="s">
        <v>242</v>
      </c>
      <c r="D2238" t="s">
        <v>86</v>
      </c>
      <c r="E2238" t="s">
        <v>87</v>
      </c>
      <c r="F2238" t="s">
        <v>58</v>
      </c>
      <c r="G2238">
        <v>5589</v>
      </c>
      <c r="H2238" t="s">
        <v>58</v>
      </c>
      <c r="I2238" t="s">
        <v>243</v>
      </c>
      <c r="K2238">
        <v>2536413</v>
      </c>
      <c r="L2238">
        <v>1154670</v>
      </c>
      <c r="M2238">
        <v>538</v>
      </c>
      <c r="N2238" t="s">
        <v>5012</v>
      </c>
    </row>
    <row r="2239" spans="1:14" x14ac:dyDescent="0.25">
      <c r="A2239">
        <v>8592181</v>
      </c>
      <c r="B2239" t="s">
        <v>5013</v>
      </c>
      <c r="C2239" t="s">
        <v>242</v>
      </c>
      <c r="D2239" t="s">
        <v>86</v>
      </c>
      <c r="E2239" t="s">
        <v>87</v>
      </c>
      <c r="F2239" t="s">
        <v>58</v>
      </c>
      <c r="G2239">
        <v>5589</v>
      </c>
      <c r="H2239" t="s">
        <v>58</v>
      </c>
      <c r="I2239" t="s">
        <v>243</v>
      </c>
      <c r="K2239">
        <v>2536308</v>
      </c>
      <c r="L2239">
        <v>1153887</v>
      </c>
      <c r="M2239">
        <v>484</v>
      </c>
      <c r="N2239" t="s">
        <v>5014</v>
      </c>
    </row>
    <row r="2240" spans="1:14" x14ac:dyDescent="0.25">
      <c r="A2240">
        <v>8593849</v>
      </c>
      <c r="B2240" t="s">
        <v>5015</v>
      </c>
      <c r="C2240" t="s">
        <v>242</v>
      </c>
      <c r="D2240" t="s">
        <v>86</v>
      </c>
      <c r="E2240" t="s">
        <v>87</v>
      </c>
      <c r="F2240" t="s">
        <v>58</v>
      </c>
      <c r="G2240">
        <v>5589</v>
      </c>
      <c r="H2240" t="s">
        <v>58</v>
      </c>
      <c r="I2240" t="s">
        <v>243</v>
      </c>
      <c r="J2240" t="s">
        <v>5016</v>
      </c>
      <c r="K2240">
        <v>2536079</v>
      </c>
      <c r="L2240">
        <v>1155158</v>
      </c>
      <c r="M2240">
        <v>540</v>
      </c>
      <c r="N2240" t="s">
        <v>5017</v>
      </c>
    </row>
    <row r="2241" spans="1:14" x14ac:dyDescent="0.25">
      <c r="A2241">
        <v>8518452</v>
      </c>
      <c r="B2241" t="s">
        <v>5018</v>
      </c>
      <c r="C2241" t="s">
        <v>132</v>
      </c>
      <c r="D2241" t="s">
        <v>112</v>
      </c>
      <c r="E2241" t="s">
        <v>87</v>
      </c>
      <c r="F2241" t="s">
        <v>58</v>
      </c>
      <c r="G2241">
        <v>5589</v>
      </c>
      <c r="H2241" t="s">
        <v>58</v>
      </c>
      <c r="I2241" t="s">
        <v>133</v>
      </c>
      <c r="K2241">
        <v>2535856.0066999998</v>
      </c>
      <c r="L2241">
        <v>1153164.2394999999</v>
      </c>
      <c r="M2241">
        <v>430.4</v>
      </c>
      <c r="N2241" t="s">
        <v>5019</v>
      </c>
    </row>
    <row r="2242" spans="1:14" x14ac:dyDescent="0.25">
      <c r="A2242">
        <v>8501162</v>
      </c>
      <c r="B2242" t="s">
        <v>5020</v>
      </c>
      <c r="C2242" t="s">
        <v>238</v>
      </c>
      <c r="D2242" t="s">
        <v>112</v>
      </c>
      <c r="E2242" t="s">
        <v>87</v>
      </c>
      <c r="F2242" t="s">
        <v>58</v>
      </c>
      <c r="G2242">
        <v>5589</v>
      </c>
      <c r="H2242" t="s">
        <v>58</v>
      </c>
      <c r="I2242" t="s">
        <v>239</v>
      </c>
      <c r="K2242">
        <v>2536419.4750000001</v>
      </c>
      <c r="L2242">
        <v>1154050.74</v>
      </c>
      <c r="M2242">
        <v>503</v>
      </c>
      <c r="N2242" t="s">
        <v>5021</v>
      </c>
    </row>
    <row r="2243" spans="1:14" x14ac:dyDescent="0.25">
      <c r="A2243">
        <v>8501164</v>
      </c>
      <c r="B2243" t="s">
        <v>5022</v>
      </c>
      <c r="C2243" t="s">
        <v>238</v>
      </c>
      <c r="D2243" t="s">
        <v>112</v>
      </c>
      <c r="E2243" t="s">
        <v>87</v>
      </c>
      <c r="F2243" t="s">
        <v>58</v>
      </c>
      <c r="G2243">
        <v>5589</v>
      </c>
      <c r="H2243" t="s">
        <v>58</v>
      </c>
      <c r="I2243" t="s">
        <v>239</v>
      </c>
      <c r="K2243">
        <v>2536059.8569999998</v>
      </c>
      <c r="L2243">
        <v>1155150.7109999999</v>
      </c>
      <c r="M2243">
        <v>540</v>
      </c>
      <c r="N2243" t="s">
        <v>5023</v>
      </c>
    </row>
    <row r="2244" spans="1:14" x14ac:dyDescent="0.25">
      <c r="A2244">
        <v>8592180</v>
      </c>
      <c r="B2244" t="s">
        <v>5024</v>
      </c>
      <c r="C2244" t="s">
        <v>242</v>
      </c>
      <c r="D2244" t="s">
        <v>86</v>
      </c>
      <c r="E2244" t="s">
        <v>87</v>
      </c>
      <c r="F2244" t="s">
        <v>58</v>
      </c>
      <c r="G2244">
        <v>5589</v>
      </c>
      <c r="H2244" t="s">
        <v>58</v>
      </c>
      <c r="I2244" t="s">
        <v>243</v>
      </c>
      <c r="K2244">
        <v>2535964</v>
      </c>
      <c r="L2244">
        <v>1153723</v>
      </c>
      <c r="M2244">
        <v>461</v>
      </c>
      <c r="N2244" t="s">
        <v>5025</v>
      </c>
    </row>
    <row r="2245" spans="1:14" x14ac:dyDescent="0.25">
      <c r="A2245">
        <v>8592049</v>
      </c>
      <c r="B2245" t="s">
        <v>5026</v>
      </c>
      <c r="C2245" t="s">
        <v>242</v>
      </c>
      <c r="D2245" t="s">
        <v>2695</v>
      </c>
      <c r="E2245" t="s">
        <v>87</v>
      </c>
      <c r="F2245" t="s">
        <v>58</v>
      </c>
      <c r="G2245">
        <v>5589</v>
      </c>
      <c r="H2245" t="s">
        <v>58</v>
      </c>
      <c r="I2245" t="s">
        <v>243</v>
      </c>
      <c r="K2245">
        <v>2535933.8865299998</v>
      </c>
      <c r="L2245">
        <v>1153340.24074</v>
      </c>
      <c r="M2245">
        <v>433.7</v>
      </c>
      <c r="N2245" t="s">
        <v>5027</v>
      </c>
    </row>
    <row r="2246" spans="1:14" x14ac:dyDescent="0.25">
      <c r="A2246">
        <v>8511846</v>
      </c>
      <c r="B2246" t="s">
        <v>5028</v>
      </c>
      <c r="C2246" t="s">
        <v>242</v>
      </c>
      <c r="D2246" t="s">
        <v>86</v>
      </c>
      <c r="E2246" t="s">
        <v>87</v>
      </c>
      <c r="F2246" t="s">
        <v>58</v>
      </c>
      <c r="G2246">
        <v>5589</v>
      </c>
      <c r="H2246" t="s">
        <v>58</v>
      </c>
      <c r="I2246" t="s">
        <v>243</v>
      </c>
      <c r="K2246">
        <v>2535848.5109700002</v>
      </c>
      <c r="L2246">
        <v>1153269.8792399999</v>
      </c>
      <c r="M2246">
        <v>429.1</v>
      </c>
      <c r="N2246" t="s">
        <v>5029</v>
      </c>
    </row>
    <row r="2247" spans="1:14" x14ac:dyDescent="0.25">
      <c r="A2247">
        <v>8592175</v>
      </c>
      <c r="B2247" t="s">
        <v>5030</v>
      </c>
      <c r="C2247" t="s">
        <v>242</v>
      </c>
      <c r="D2247" t="s">
        <v>86</v>
      </c>
      <c r="E2247" t="s">
        <v>87</v>
      </c>
      <c r="F2247" t="s">
        <v>58</v>
      </c>
      <c r="G2247">
        <v>5589</v>
      </c>
      <c r="H2247" t="s">
        <v>58</v>
      </c>
      <c r="I2247" t="s">
        <v>243</v>
      </c>
      <c r="K2247">
        <v>2536176</v>
      </c>
      <c r="L2247">
        <v>1154545</v>
      </c>
      <c r="M2247">
        <v>510</v>
      </c>
      <c r="N2247" t="s">
        <v>5031</v>
      </c>
    </row>
    <row r="2248" spans="1:14" x14ac:dyDescent="0.25">
      <c r="A2248">
        <v>8592173</v>
      </c>
      <c r="B2248" t="s">
        <v>5032</v>
      </c>
      <c r="C2248" t="s">
        <v>242</v>
      </c>
      <c r="D2248" t="s">
        <v>86</v>
      </c>
      <c r="E2248" t="s">
        <v>87</v>
      </c>
      <c r="F2248" t="s">
        <v>58</v>
      </c>
      <c r="G2248">
        <v>5589</v>
      </c>
      <c r="H2248" t="s">
        <v>58</v>
      </c>
      <c r="I2248" t="s">
        <v>243</v>
      </c>
      <c r="K2248">
        <v>2536064.6179</v>
      </c>
      <c r="L2248">
        <v>1154037.4315800001</v>
      </c>
      <c r="M2248">
        <v>482.6</v>
      </c>
      <c r="N2248" t="s">
        <v>5033</v>
      </c>
    </row>
    <row r="2249" spans="1:14" x14ac:dyDescent="0.25">
      <c r="A2249">
        <v>8501163</v>
      </c>
      <c r="B2249" t="s">
        <v>5034</v>
      </c>
      <c r="C2249" t="s">
        <v>238</v>
      </c>
      <c r="D2249" t="s">
        <v>112</v>
      </c>
      <c r="E2249" t="s">
        <v>87</v>
      </c>
      <c r="F2249" t="s">
        <v>58</v>
      </c>
      <c r="G2249">
        <v>5589</v>
      </c>
      <c r="H2249" t="s">
        <v>58</v>
      </c>
      <c r="I2249" t="s">
        <v>239</v>
      </c>
      <c r="K2249">
        <v>2536239.6490000002</v>
      </c>
      <c r="L2249">
        <v>1154600.723</v>
      </c>
      <c r="M2249">
        <v>520.9</v>
      </c>
      <c r="N2249" t="s">
        <v>5035</v>
      </c>
    </row>
    <row r="2250" spans="1:14" x14ac:dyDescent="0.25">
      <c r="A2250">
        <v>8510543</v>
      </c>
      <c r="B2250" t="s">
        <v>5036</v>
      </c>
      <c r="C2250" t="s">
        <v>242</v>
      </c>
      <c r="D2250" t="s">
        <v>86</v>
      </c>
      <c r="E2250" t="s">
        <v>87</v>
      </c>
      <c r="F2250" t="s">
        <v>58</v>
      </c>
      <c r="G2250">
        <v>5589</v>
      </c>
      <c r="H2250" t="s">
        <v>58</v>
      </c>
      <c r="I2250" t="s">
        <v>243</v>
      </c>
      <c r="K2250">
        <v>2535782.0009599999</v>
      </c>
      <c r="L2250">
        <v>1153352.97217</v>
      </c>
      <c r="M2250">
        <v>433</v>
      </c>
      <c r="N2250" t="s">
        <v>5037</v>
      </c>
    </row>
    <row r="2251" spans="1:14" x14ac:dyDescent="0.25">
      <c r="A2251">
        <v>8592192</v>
      </c>
      <c r="B2251" t="s">
        <v>5038</v>
      </c>
      <c r="C2251" t="s">
        <v>242</v>
      </c>
      <c r="D2251" t="s">
        <v>86</v>
      </c>
      <c r="E2251" t="s">
        <v>87</v>
      </c>
      <c r="F2251" t="s">
        <v>58</v>
      </c>
      <c r="G2251">
        <v>5589</v>
      </c>
      <c r="H2251" t="s">
        <v>58</v>
      </c>
      <c r="I2251" t="s">
        <v>243</v>
      </c>
      <c r="K2251">
        <v>2535816.9297000002</v>
      </c>
      <c r="L2251">
        <v>1154331.21006</v>
      </c>
      <c r="M2251">
        <v>479.2</v>
      </c>
      <c r="N2251" t="s">
        <v>5039</v>
      </c>
    </row>
    <row r="2252" spans="1:14" x14ac:dyDescent="0.25">
      <c r="A2252">
        <v>8510752</v>
      </c>
      <c r="B2252" t="s">
        <v>5040</v>
      </c>
      <c r="C2252" t="s">
        <v>94</v>
      </c>
      <c r="D2252" t="s">
        <v>86</v>
      </c>
      <c r="E2252" t="s">
        <v>87</v>
      </c>
      <c r="F2252" t="s">
        <v>5041</v>
      </c>
      <c r="G2252">
        <v>5566</v>
      </c>
      <c r="H2252" t="s">
        <v>5041</v>
      </c>
      <c r="I2252" t="s">
        <v>96</v>
      </c>
      <c r="K2252">
        <v>2541679</v>
      </c>
      <c r="L2252">
        <v>1193462</v>
      </c>
      <c r="M2252">
        <v>1161</v>
      </c>
      <c r="N2252" t="s">
        <v>5042</v>
      </c>
    </row>
    <row r="2253" spans="1:14" x14ac:dyDescent="0.25">
      <c r="A2253">
        <v>8511753</v>
      </c>
      <c r="B2253" t="s">
        <v>5043</v>
      </c>
      <c r="C2253" t="s">
        <v>94</v>
      </c>
      <c r="D2253" t="s">
        <v>86</v>
      </c>
      <c r="E2253" t="s">
        <v>87</v>
      </c>
      <c r="F2253" t="s">
        <v>5041</v>
      </c>
      <c r="G2253">
        <v>5566</v>
      </c>
      <c r="H2253" t="s">
        <v>5044</v>
      </c>
      <c r="I2253" t="s">
        <v>96</v>
      </c>
      <c r="K2253">
        <v>2543656.3787500001</v>
      </c>
      <c r="L2253">
        <v>1197082.26241</v>
      </c>
      <c r="M2253">
        <v>1260.0999999999999</v>
      </c>
      <c r="N2253" t="s">
        <v>5045</v>
      </c>
    </row>
    <row r="2254" spans="1:14" x14ac:dyDescent="0.25">
      <c r="A2254">
        <v>8507666</v>
      </c>
      <c r="B2254" t="s">
        <v>5046</v>
      </c>
      <c r="C2254" t="s">
        <v>94</v>
      </c>
      <c r="D2254" t="s">
        <v>86</v>
      </c>
      <c r="E2254" t="s">
        <v>87</v>
      </c>
      <c r="F2254" t="s">
        <v>5041</v>
      </c>
      <c r="G2254">
        <v>5566</v>
      </c>
      <c r="H2254" t="s">
        <v>5044</v>
      </c>
      <c r="I2254" t="s">
        <v>96</v>
      </c>
      <c r="K2254">
        <v>2540300</v>
      </c>
      <c r="L2254">
        <v>1196145</v>
      </c>
      <c r="M2254">
        <v>1113</v>
      </c>
      <c r="N2254" t="s">
        <v>5047</v>
      </c>
    </row>
    <row r="2255" spans="1:14" x14ac:dyDescent="0.25">
      <c r="A2255">
        <v>8507955</v>
      </c>
      <c r="B2255" t="s">
        <v>5048</v>
      </c>
      <c r="C2255" t="s">
        <v>94</v>
      </c>
      <c r="D2255" t="s">
        <v>86</v>
      </c>
      <c r="E2255" t="s">
        <v>87</v>
      </c>
      <c r="F2255" t="s">
        <v>5041</v>
      </c>
      <c r="G2255">
        <v>5566</v>
      </c>
      <c r="H2255" t="s">
        <v>5041</v>
      </c>
      <c r="I2255" t="s">
        <v>96</v>
      </c>
      <c r="K2255">
        <v>2545698</v>
      </c>
      <c r="L2255">
        <v>1193470</v>
      </c>
      <c r="M2255">
        <v>773</v>
      </c>
      <c r="N2255" t="s">
        <v>5049</v>
      </c>
    </row>
    <row r="2256" spans="1:14" x14ac:dyDescent="0.25">
      <c r="A2256">
        <v>8570286</v>
      </c>
      <c r="B2256" t="s">
        <v>5050</v>
      </c>
      <c r="C2256" t="s">
        <v>94</v>
      </c>
      <c r="D2256" t="s">
        <v>86</v>
      </c>
      <c r="E2256" t="s">
        <v>87</v>
      </c>
      <c r="F2256" t="s">
        <v>5041</v>
      </c>
      <c r="G2256">
        <v>5566</v>
      </c>
      <c r="H2256" t="s">
        <v>5041</v>
      </c>
      <c r="I2256" t="s">
        <v>96</v>
      </c>
      <c r="K2256">
        <v>2545888</v>
      </c>
      <c r="L2256">
        <v>1193662</v>
      </c>
      <c r="M2256">
        <v>776</v>
      </c>
      <c r="N2256" t="s">
        <v>5051</v>
      </c>
    </row>
    <row r="2257" spans="1:14" x14ac:dyDescent="0.25">
      <c r="A2257">
        <v>8570285</v>
      </c>
      <c r="B2257" t="s">
        <v>5052</v>
      </c>
      <c r="C2257" t="s">
        <v>94</v>
      </c>
      <c r="D2257" t="s">
        <v>86</v>
      </c>
      <c r="E2257" t="s">
        <v>87</v>
      </c>
      <c r="F2257" t="s">
        <v>5041</v>
      </c>
      <c r="G2257">
        <v>5566</v>
      </c>
      <c r="H2257" t="s">
        <v>5041</v>
      </c>
      <c r="I2257" t="s">
        <v>96</v>
      </c>
      <c r="K2257">
        <v>2545825</v>
      </c>
      <c r="L2257">
        <v>1193430</v>
      </c>
      <c r="M2257">
        <v>764</v>
      </c>
      <c r="N2257" t="s">
        <v>5053</v>
      </c>
    </row>
    <row r="2258" spans="1:14" x14ac:dyDescent="0.25">
      <c r="A2258">
        <v>8570272</v>
      </c>
      <c r="B2258" t="s">
        <v>5054</v>
      </c>
      <c r="C2258" t="s">
        <v>94</v>
      </c>
      <c r="D2258" t="s">
        <v>86</v>
      </c>
      <c r="E2258" t="s">
        <v>87</v>
      </c>
      <c r="F2258" t="s">
        <v>5041</v>
      </c>
      <c r="G2258">
        <v>5566</v>
      </c>
      <c r="H2258" t="s">
        <v>5044</v>
      </c>
      <c r="I2258" t="s">
        <v>96</v>
      </c>
      <c r="K2258">
        <v>2539376</v>
      </c>
      <c r="L2258">
        <v>1193987</v>
      </c>
      <c r="M2258">
        <v>1174</v>
      </c>
      <c r="N2258" t="s">
        <v>5055</v>
      </c>
    </row>
    <row r="2259" spans="1:14" x14ac:dyDescent="0.25">
      <c r="A2259">
        <v>8570287</v>
      </c>
      <c r="B2259" t="s">
        <v>5056</v>
      </c>
      <c r="C2259" t="s">
        <v>94</v>
      </c>
      <c r="D2259" t="s">
        <v>86</v>
      </c>
      <c r="E2259" t="s">
        <v>87</v>
      </c>
      <c r="F2259" t="s">
        <v>5041</v>
      </c>
      <c r="G2259">
        <v>5566</v>
      </c>
      <c r="H2259" t="s">
        <v>5041</v>
      </c>
      <c r="I2259" t="s">
        <v>96</v>
      </c>
      <c r="K2259">
        <v>2545835</v>
      </c>
      <c r="L2259">
        <v>1193619</v>
      </c>
      <c r="M2259">
        <v>781</v>
      </c>
      <c r="N2259" t="s">
        <v>5057</v>
      </c>
    </row>
    <row r="2260" spans="1:14" x14ac:dyDescent="0.25">
      <c r="A2260">
        <v>8504012</v>
      </c>
      <c r="B2260" t="s">
        <v>5058</v>
      </c>
      <c r="C2260" t="s">
        <v>132</v>
      </c>
      <c r="D2260" t="s">
        <v>112</v>
      </c>
      <c r="E2260" t="s">
        <v>87</v>
      </c>
      <c r="F2260" t="s">
        <v>5058</v>
      </c>
      <c r="G2260">
        <v>5607</v>
      </c>
      <c r="H2260" t="s">
        <v>5058</v>
      </c>
      <c r="I2260" t="s">
        <v>133</v>
      </c>
      <c r="K2260">
        <v>2548335.0669999998</v>
      </c>
      <c r="L2260">
        <v>1149391.9620000001</v>
      </c>
      <c r="M2260">
        <v>617.55999999999995</v>
      </c>
      <c r="N2260" t="s">
        <v>5059</v>
      </c>
    </row>
    <row r="2261" spans="1:14" x14ac:dyDescent="0.25">
      <c r="A2261">
        <v>8504009</v>
      </c>
      <c r="B2261" t="s">
        <v>5060</v>
      </c>
      <c r="C2261" t="s">
        <v>132</v>
      </c>
      <c r="E2261" t="s">
        <v>87</v>
      </c>
      <c r="F2261" t="s">
        <v>5058</v>
      </c>
      <c r="G2261">
        <v>5607</v>
      </c>
      <c r="H2261" t="s">
        <v>5058</v>
      </c>
      <c r="I2261" t="s">
        <v>133</v>
      </c>
      <c r="J2261" t="s">
        <v>625</v>
      </c>
      <c r="K2261">
        <v>2548128.4610000001</v>
      </c>
      <c r="L2261">
        <v>1148744.469</v>
      </c>
      <c r="M2261">
        <v>607.99300000000005</v>
      </c>
      <c r="N2261" t="s">
        <v>5061</v>
      </c>
    </row>
    <row r="2262" spans="1:14" x14ac:dyDescent="0.25">
      <c r="A2262">
        <v>8570563</v>
      </c>
      <c r="B2262" t="s">
        <v>5062</v>
      </c>
      <c r="C2262" t="s">
        <v>94</v>
      </c>
      <c r="D2262" t="s">
        <v>86</v>
      </c>
      <c r="E2262" t="s">
        <v>87</v>
      </c>
      <c r="F2262" t="s">
        <v>5058</v>
      </c>
      <c r="G2262">
        <v>5607</v>
      </c>
      <c r="H2262" t="s">
        <v>5058</v>
      </c>
      <c r="I2262" t="s">
        <v>96</v>
      </c>
      <c r="K2262">
        <v>2548969</v>
      </c>
      <c r="L2262">
        <v>1147996</v>
      </c>
      <c r="M2262">
        <v>571</v>
      </c>
      <c r="N2262" t="s">
        <v>5063</v>
      </c>
    </row>
    <row r="2263" spans="1:14" x14ac:dyDescent="0.25">
      <c r="A2263">
        <v>8570566</v>
      </c>
      <c r="B2263" t="s">
        <v>5064</v>
      </c>
      <c r="C2263" t="s">
        <v>94</v>
      </c>
      <c r="D2263" t="s">
        <v>86</v>
      </c>
      <c r="E2263" t="s">
        <v>87</v>
      </c>
      <c r="F2263" t="s">
        <v>5058</v>
      </c>
      <c r="G2263">
        <v>5607</v>
      </c>
      <c r="H2263" t="s">
        <v>5058</v>
      </c>
      <c r="I2263" t="s">
        <v>96</v>
      </c>
      <c r="K2263">
        <v>2548576</v>
      </c>
      <c r="L2263">
        <v>1149236</v>
      </c>
      <c r="M2263">
        <v>598</v>
      </c>
      <c r="N2263" t="s">
        <v>5065</v>
      </c>
    </row>
    <row r="2264" spans="1:14" x14ac:dyDescent="0.25">
      <c r="A2264">
        <v>8557083</v>
      </c>
      <c r="B2264" t="s">
        <v>5066</v>
      </c>
      <c r="C2264" t="s">
        <v>94</v>
      </c>
      <c r="D2264" t="s">
        <v>86</v>
      </c>
      <c r="E2264" t="s">
        <v>87</v>
      </c>
      <c r="F2264" t="s">
        <v>5058</v>
      </c>
      <c r="G2264">
        <v>5607</v>
      </c>
      <c r="H2264" t="s">
        <v>5058</v>
      </c>
      <c r="I2264" t="s">
        <v>96</v>
      </c>
      <c r="K2264">
        <v>2550908</v>
      </c>
      <c r="L2264">
        <v>1153348</v>
      </c>
      <c r="M2264">
        <v>695</v>
      </c>
      <c r="N2264" t="s">
        <v>5067</v>
      </c>
    </row>
    <row r="2265" spans="1:14" x14ac:dyDescent="0.25">
      <c r="A2265">
        <v>8557086</v>
      </c>
      <c r="B2265" t="s">
        <v>5068</v>
      </c>
      <c r="C2265" t="s">
        <v>94</v>
      </c>
      <c r="D2265" t="s">
        <v>86</v>
      </c>
      <c r="E2265" t="s">
        <v>87</v>
      </c>
      <c r="F2265" t="s">
        <v>5058</v>
      </c>
      <c r="G2265">
        <v>5607</v>
      </c>
      <c r="H2265" t="s">
        <v>5058</v>
      </c>
      <c r="I2265" t="s">
        <v>96</v>
      </c>
      <c r="K2265">
        <v>2550489</v>
      </c>
      <c r="L2265">
        <v>1151869</v>
      </c>
      <c r="M2265">
        <v>658</v>
      </c>
      <c r="N2265" t="s">
        <v>5069</v>
      </c>
    </row>
    <row r="2266" spans="1:14" x14ac:dyDescent="0.25">
      <c r="A2266">
        <v>8557085</v>
      </c>
      <c r="B2266" t="s">
        <v>5070</v>
      </c>
      <c r="C2266" t="s">
        <v>94</v>
      </c>
      <c r="D2266" t="s">
        <v>86</v>
      </c>
      <c r="E2266" t="s">
        <v>87</v>
      </c>
      <c r="F2266" t="s">
        <v>5058</v>
      </c>
      <c r="G2266">
        <v>5607</v>
      </c>
      <c r="H2266" t="s">
        <v>5058</v>
      </c>
      <c r="I2266" t="s">
        <v>96</v>
      </c>
      <c r="K2266">
        <v>2550024</v>
      </c>
      <c r="L2266">
        <v>1151479</v>
      </c>
      <c r="M2266">
        <v>663</v>
      </c>
      <c r="N2266" t="s">
        <v>5071</v>
      </c>
    </row>
    <row r="2267" spans="1:14" x14ac:dyDescent="0.25">
      <c r="A2267">
        <v>8557143</v>
      </c>
      <c r="B2267" t="s">
        <v>5072</v>
      </c>
      <c r="C2267" t="s">
        <v>94</v>
      </c>
      <c r="D2267" t="s">
        <v>86</v>
      </c>
      <c r="E2267" t="s">
        <v>87</v>
      </c>
      <c r="F2267" t="s">
        <v>5058</v>
      </c>
      <c r="G2267">
        <v>5607</v>
      </c>
      <c r="H2267" t="s">
        <v>5058</v>
      </c>
      <c r="I2267" t="s">
        <v>96</v>
      </c>
      <c r="K2267">
        <v>2550710</v>
      </c>
      <c r="L2267">
        <v>1152396</v>
      </c>
      <c r="M2267">
        <v>701</v>
      </c>
      <c r="N2267" t="s">
        <v>5073</v>
      </c>
    </row>
    <row r="2268" spans="1:14" x14ac:dyDescent="0.25">
      <c r="A2268">
        <v>8570567</v>
      </c>
      <c r="B2268" t="s">
        <v>5074</v>
      </c>
      <c r="C2268" t="s">
        <v>94</v>
      </c>
      <c r="D2268" t="s">
        <v>86</v>
      </c>
      <c r="E2268" t="s">
        <v>87</v>
      </c>
      <c r="F2268" t="s">
        <v>5058</v>
      </c>
      <c r="G2268">
        <v>5607</v>
      </c>
      <c r="H2268" t="s">
        <v>5058</v>
      </c>
      <c r="I2268" t="s">
        <v>96</v>
      </c>
      <c r="K2268">
        <v>2548311</v>
      </c>
      <c r="L2268">
        <v>1149379</v>
      </c>
      <c r="M2268">
        <v>619</v>
      </c>
      <c r="N2268" t="s">
        <v>5075</v>
      </c>
    </row>
    <row r="2269" spans="1:14" x14ac:dyDescent="0.25">
      <c r="A2269">
        <v>8504007</v>
      </c>
      <c r="B2269" t="s">
        <v>5076</v>
      </c>
      <c r="C2269" t="s">
        <v>132</v>
      </c>
      <c r="D2269" t="s">
        <v>112</v>
      </c>
      <c r="E2269" t="s">
        <v>87</v>
      </c>
      <c r="F2269" t="s">
        <v>5058</v>
      </c>
      <c r="G2269">
        <v>5607</v>
      </c>
      <c r="H2269" t="s">
        <v>5058</v>
      </c>
      <c r="I2269" t="s">
        <v>133</v>
      </c>
      <c r="K2269">
        <v>2549880.8429999999</v>
      </c>
      <c r="L2269">
        <v>1150997.152</v>
      </c>
      <c r="M2269">
        <v>657.24</v>
      </c>
      <c r="N2269" t="s">
        <v>5077</v>
      </c>
    </row>
    <row r="2270" spans="1:14" x14ac:dyDescent="0.25">
      <c r="A2270">
        <v>8557082</v>
      </c>
      <c r="B2270" t="s">
        <v>5078</v>
      </c>
      <c r="C2270" t="s">
        <v>94</v>
      </c>
      <c r="D2270" t="s">
        <v>86</v>
      </c>
      <c r="E2270" t="s">
        <v>87</v>
      </c>
      <c r="F2270" t="s">
        <v>5058</v>
      </c>
      <c r="G2270">
        <v>5607</v>
      </c>
      <c r="H2270" t="s">
        <v>5058</v>
      </c>
      <c r="I2270" t="s">
        <v>96</v>
      </c>
      <c r="J2270" t="s">
        <v>175</v>
      </c>
      <c r="K2270">
        <v>2549880.6475999998</v>
      </c>
      <c r="L2270">
        <v>1150936.62989</v>
      </c>
      <c r="M2270">
        <v>657</v>
      </c>
      <c r="N2270" t="s">
        <v>5079</v>
      </c>
    </row>
    <row r="2271" spans="1:14" x14ac:dyDescent="0.25">
      <c r="A2271">
        <v>8570568</v>
      </c>
      <c r="B2271" t="s">
        <v>5080</v>
      </c>
      <c r="C2271" t="s">
        <v>94</v>
      </c>
      <c r="D2271" t="s">
        <v>86</v>
      </c>
      <c r="E2271" t="s">
        <v>87</v>
      </c>
      <c r="F2271" t="s">
        <v>5058</v>
      </c>
      <c r="G2271">
        <v>5607</v>
      </c>
      <c r="H2271" t="s">
        <v>5058</v>
      </c>
      <c r="I2271" t="s">
        <v>96</v>
      </c>
      <c r="K2271">
        <v>2548596</v>
      </c>
      <c r="L2271">
        <v>1149871</v>
      </c>
      <c r="M2271">
        <v>610</v>
      </c>
      <c r="N2271" t="s">
        <v>5081</v>
      </c>
    </row>
    <row r="2272" spans="1:14" x14ac:dyDescent="0.25">
      <c r="A2272">
        <v>8570562</v>
      </c>
      <c r="B2272" t="s">
        <v>5082</v>
      </c>
      <c r="C2272" t="s">
        <v>94</v>
      </c>
      <c r="D2272" t="s">
        <v>86</v>
      </c>
      <c r="E2272" t="s">
        <v>87</v>
      </c>
      <c r="F2272" t="s">
        <v>5058</v>
      </c>
      <c r="G2272">
        <v>5607</v>
      </c>
      <c r="H2272" t="s">
        <v>806</v>
      </c>
      <c r="I2272" t="s">
        <v>96</v>
      </c>
      <c r="K2272">
        <v>2547800.0005299998</v>
      </c>
      <c r="L2272">
        <v>1148387.0011400001</v>
      </c>
      <c r="M2272">
        <v>502.1</v>
      </c>
      <c r="N2272" t="s">
        <v>5083</v>
      </c>
    </row>
    <row r="2273" spans="1:14" x14ac:dyDescent="0.25">
      <c r="A2273">
        <v>8557087</v>
      </c>
      <c r="B2273" t="s">
        <v>5084</v>
      </c>
      <c r="C2273" t="s">
        <v>94</v>
      </c>
      <c r="D2273" t="s">
        <v>86</v>
      </c>
      <c r="E2273" t="s">
        <v>87</v>
      </c>
      <c r="F2273" t="s">
        <v>5058</v>
      </c>
      <c r="G2273">
        <v>5607</v>
      </c>
      <c r="H2273" t="s">
        <v>4759</v>
      </c>
      <c r="I2273" t="s">
        <v>96</v>
      </c>
      <c r="J2273" t="s">
        <v>175</v>
      </c>
      <c r="K2273">
        <v>2551744</v>
      </c>
      <c r="L2273">
        <v>1154247</v>
      </c>
      <c r="M2273">
        <v>711</v>
      </c>
      <c r="N2273" t="s">
        <v>5085</v>
      </c>
    </row>
    <row r="2274" spans="1:14" x14ac:dyDescent="0.25">
      <c r="A2274">
        <v>8557084</v>
      </c>
      <c r="B2274" t="s">
        <v>5086</v>
      </c>
      <c r="C2274" t="s">
        <v>94</v>
      </c>
      <c r="D2274" t="s">
        <v>86</v>
      </c>
      <c r="E2274" t="s">
        <v>87</v>
      </c>
      <c r="F2274" t="s">
        <v>5058</v>
      </c>
      <c r="G2274">
        <v>5607</v>
      </c>
      <c r="H2274" t="s">
        <v>5058</v>
      </c>
      <c r="I2274" t="s">
        <v>96</v>
      </c>
      <c r="J2274" t="s">
        <v>175</v>
      </c>
      <c r="K2274">
        <v>2548421</v>
      </c>
      <c r="L2274">
        <v>1149276</v>
      </c>
      <c r="M2274">
        <v>618</v>
      </c>
      <c r="N2274" t="s">
        <v>5087</v>
      </c>
    </row>
    <row r="2275" spans="1:14" x14ac:dyDescent="0.25">
      <c r="A2275">
        <v>8570569</v>
      </c>
      <c r="B2275" t="s">
        <v>5088</v>
      </c>
      <c r="C2275" t="s">
        <v>94</v>
      </c>
      <c r="D2275" t="s">
        <v>86</v>
      </c>
      <c r="E2275" t="s">
        <v>87</v>
      </c>
      <c r="F2275" t="s">
        <v>5058</v>
      </c>
      <c r="G2275">
        <v>5607</v>
      </c>
      <c r="H2275" t="s">
        <v>5058</v>
      </c>
      <c r="I2275" t="s">
        <v>96</v>
      </c>
      <c r="K2275">
        <v>2549641</v>
      </c>
      <c r="L2275">
        <v>1150152</v>
      </c>
      <c r="M2275">
        <v>658</v>
      </c>
      <c r="N2275" t="s">
        <v>5089</v>
      </c>
    </row>
    <row r="2276" spans="1:14" x14ac:dyDescent="0.25">
      <c r="A2276">
        <v>8579248</v>
      </c>
      <c r="B2276" t="s">
        <v>5090</v>
      </c>
      <c r="C2276" t="s">
        <v>94</v>
      </c>
      <c r="D2276" t="s">
        <v>86</v>
      </c>
      <c r="E2276" t="s">
        <v>87</v>
      </c>
      <c r="F2276" t="s">
        <v>59</v>
      </c>
      <c r="G2276">
        <v>5590</v>
      </c>
      <c r="H2276" t="s">
        <v>5091</v>
      </c>
      <c r="I2276" t="s">
        <v>96</v>
      </c>
      <c r="K2276">
        <v>2542140</v>
      </c>
      <c r="L2276">
        <v>1153953</v>
      </c>
      <c r="M2276">
        <v>727</v>
      </c>
      <c r="N2276" t="s">
        <v>5092</v>
      </c>
    </row>
    <row r="2277" spans="1:14" x14ac:dyDescent="0.25">
      <c r="A2277">
        <v>8588435</v>
      </c>
      <c r="B2277" t="s">
        <v>5093</v>
      </c>
      <c r="C2277" t="s">
        <v>242</v>
      </c>
      <c r="D2277" t="s">
        <v>86</v>
      </c>
      <c r="E2277" t="s">
        <v>87</v>
      </c>
      <c r="F2277" t="s">
        <v>59</v>
      </c>
      <c r="G2277">
        <v>5590</v>
      </c>
      <c r="H2277" t="s">
        <v>5091</v>
      </c>
      <c r="I2277" t="s">
        <v>243</v>
      </c>
      <c r="K2277">
        <v>2541240</v>
      </c>
      <c r="L2277">
        <v>1153150</v>
      </c>
      <c r="M2277">
        <v>422</v>
      </c>
      <c r="N2277" t="s">
        <v>5094</v>
      </c>
    </row>
    <row r="2278" spans="1:14" x14ac:dyDescent="0.25">
      <c r="A2278">
        <v>8588434</v>
      </c>
      <c r="B2278" t="s">
        <v>5095</v>
      </c>
      <c r="C2278" t="s">
        <v>242</v>
      </c>
      <c r="D2278" t="s">
        <v>86</v>
      </c>
      <c r="E2278" t="s">
        <v>87</v>
      </c>
      <c r="F2278" t="s">
        <v>59</v>
      </c>
      <c r="G2278">
        <v>5590</v>
      </c>
      <c r="H2278" t="s">
        <v>59</v>
      </c>
      <c r="I2278" t="s">
        <v>243</v>
      </c>
      <c r="K2278">
        <v>2540422</v>
      </c>
      <c r="L2278">
        <v>1152551</v>
      </c>
      <c r="M2278">
        <v>422</v>
      </c>
      <c r="N2278" t="s">
        <v>5096</v>
      </c>
    </row>
    <row r="2279" spans="1:14" x14ac:dyDescent="0.25">
      <c r="A2279">
        <v>8588450</v>
      </c>
      <c r="B2279" t="s">
        <v>5097</v>
      </c>
      <c r="C2279" t="s">
        <v>242</v>
      </c>
      <c r="D2279" t="s">
        <v>86</v>
      </c>
      <c r="E2279" t="s">
        <v>87</v>
      </c>
      <c r="F2279" t="s">
        <v>59</v>
      </c>
      <c r="G2279">
        <v>5590</v>
      </c>
      <c r="H2279" t="s">
        <v>59</v>
      </c>
      <c r="I2279" t="s">
        <v>243</v>
      </c>
      <c r="K2279">
        <v>2540788.4897099999</v>
      </c>
      <c r="L2279">
        <v>1152267.4068100001</v>
      </c>
      <c r="M2279">
        <v>539</v>
      </c>
      <c r="N2279" t="s">
        <v>5098</v>
      </c>
    </row>
    <row r="2280" spans="1:14" x14ac:dyDescent="0.25">
      <c r="A2280">
        <v>8588445</v>
      </c>
      <c r="B2280" t="s">
        <v>5099</v>
      </c>
      <c r="C2280" t="s">
        <v>242</v>
      </c>
      <c r="D2280" t="s">
        <v>86</v>
      </c>
      <c r="E2280" t="s">
        <v>87</v>
      </c>
      <c r="F2280" t="s">
        <v>59</v>
      </c>
      <c r="G2280">
        <v>5590</v>
      </c>
      <c r="H2280" t="s">
        <v>59</v>
      </c>
      <c r="I2280" t="s">
        <v>243</v>
      </c>
      <c r="K2280">
        <v>2540150</v>
      </c>
      <c r="L2280">
        <v>1151300</v>
      </c>
      <c r="M2280">
        <v>425</v>
      </c>
      <c r="N2280" t="s">
        <v>5100</v>
      </c>
    </row>
    <row r="2281" spans="1:14" x14ac:dyDescent="0.25">
      <c r="A2281">
        <v>8592193</v>
      </c>
      <c r="B2281" t="s">
        <v>5101</v>
      </c>
      <c r="C2281" t="s">
        <v>242</v>
      </c>
      <c r="D2281" t="s">
        <v>86</v>
      </c>
      <c r="E2281" t="s">
        <v>87</v>
      </c>
      <c r="F2281" t="s">
        <v>59</v>
      </c>
      <c r="G2281">
        <v>5590</v>
      </c>
      <c r="H2281" t="s">
        <v>59</v>
      </c>
      <c r="I2281" t="s">
        <v>243</v>
      </c>
      <c r="K2281">
        <v>2538971</v>
      </c>
      <c r="L2281">
        <v>1151206</v>
      </c>
      <c r="M2281">
        <v>429</v>
      </c>
      <c r="N2281" t="s">
        <v>5102</v>
      </c>
    </row>
    <row r="2282" spans="1:14" x14ac:dyDescent="0.25">
      <c r="A2282">
        <v>8592186</v>
      </c>
      <c r="B2282" t="s">
        <v>5103</v>
      </c>
      <c r="C2282" t="s">
        <v>242</v>
      </c>
      <c r="D2282" t="s">
        <v>86</v>
      </c>
      <c r="E2282" t="s">
        <v>87</v>
      </c>
      <c r="F2282" t="s">
        <v>59</v>
      </c>
      <c r="G2282">
        <v>5590</v>
      </c>
      <c r="H2282" t="s">
        <v>59</v>
      </c>
      <c r="I2282" t="s">
        <v>243</v>
      </c>
      <c r="K2282">
        <v>2538767</v>
      </c>
      <c r="L2282">
        <v>1151286</v>
      </c>
      <c r="M2282">
        <v>420</v>
      </c>
      <c r="N2282" t="s">
        <v>5104</v>
      </c>
    </row>
    <row r="2283" spans="1:14" x14ac:dyDescent="0.25">
      <c r="A2283">
        <v>8592191</v>
      </c>
      <c r="B2283" t="s">
        <v>5105</v>
      </c>
      <c r="C2283" t="s">
        <v>242</v>
      </c>
      <c r="D2283" t="s">
        <v>86</v>
      </c>
      <c r="E2283" t="s">
        <v>87</v>
      </c>
      <c r="F2283" t="s">
        <v>59</v>
      </c>
      <c r="G2283">
        <v>5590</v>
      </c>
      <c r="H2283" t="s">
        <v>59</v>
      </c>
      <c r="I2283" t="s">
        <v>243</v>
      </c>
      <c r="K2283">
        <v>2540137.7943600002</v>
      </c>
      <c r="L2283">
        <v>1152345.3218499999</v>
      </c>
      <c r="M2283">
        <v>532</v>
      </c>
      <c r="N2283" t="s">
        <v>5106</v>
      </c>
    </row>
    <row r="2284" spans="1:14" x14ac:dyDescent="0.25">
      <c r="A2284">
        <v>8588448</v>
      </c>
      <c r="B2284" t="s">
        <v>5107</v>
      </c>
      <c r="C2284" t="s">
        <v>242</v>
      </c>
      <c r="D2284" t="s">
        <v>86</v>
      </c>
      <c r="E2284" t="s">
        <v>87</v>
      </c>
      <c r="F2284" t="s">
        <v>59</v>
      </c>
      <c r="G2284">
        <v>5590</v>
      </c>
      <c r="H2284" t="s">
        <v>59</v>
      </c>
      <c r="I2284" t="s">
        <v>243</v>
      </c>
      <c r="K2284">
        <v>2540695</v>
      </c>
      <c r="L2284">
        <v>1151962</v>
      </c>
      <c r="M2284">
        <v>422</v>
      </c>
      <c r="N2284" t="s">
        <v>5108</v>
      </c>
    </row>
    <row r="2285" spans="1:14" x14ac:dyDescent="0.25">
      <c r="A2285">
        <v>8588447</v>
      </c>
      <c r="B2285" t="s">
        <v>5109</v>
      </c>
      <c r="C2285" t="s">
        <v>242</v>
      </c>
      <c r="D2285" t="s">
        <v>86</v>
      </c>
      <c r="E2285" t="s">
        <v>87</v>
      </c>
      <c r="F2285" t="s">
        <v>59</v>
      </c>
      <c r="G2285">
        <v>5590</v>
      </c>
      <c r="H2285" t="s">
        <v>59</v>
      </c>
      <c r="I2285" t="s">
        <v>243</v>
      </c>
      <c r="K2285">
        <v>2540503.85892</v>
      </c>
      <c r="L2285">
        <v>1151719.0632</v>
      </c>
      <c r="M2285">
        <v>465</v>
      </c>
      <c r="N2285" t="s">
        <v>5110</v>
      </c>
    </row>
    <row r="2286" spans="1:14" x14ac:dyDescent="0.25">
      <c r="A2286">
        <v>8588446</v>
      </c>
      <c r="B2286" t="s">
        <v>5111</v>
      </c>
      <c r="C2286" t="s">
        <v>242</v>
      </c>
      <c r="D2286" t="s">
        <v>86</v>
      </c>
      <c r="E2286" t="s">
        <v>87</v>
      </c>
      <c r="F2286" t="s">
        <v>59</v>
      </c>
      <c r="G2286">
        <v>5590</v>
      </c>
      <c r="H2286" t="s">
        <v>59</v>
      </c>
      <c r="I2286" t="s">
        <v>243</v>
      </c>
      <c r="K2286">
        <v>2540392</v>
      </c>
      <c r="L2286">
        <v>1151396</v>
      </c>
      <c r="M2286">
        <v>429</v>
      </c>
      <c r="N2286" t="s">
        <v>5112</v>
      </c>
    </row>
    <row r="2287" spans="1:14" x14ac:dyDescent="0.25">
      <c r="A2287">
        <v>8512377</v>
      </c>
      <c r="B2287" t="s">
        <v>5113</v>
      </c>
      <c r="C2287" t="s">
        <v>242</v>
      </c>
      <c r="D2287" t="s">
        <v>86</v>
      </c>
      <c r="E2287" t="s">
        <v>87</v>
      </c>
      <c r="F2287" t="s">
        <v>59</v>
      </c>
      <c r="G2287">
        <v>5590</v>
      </c>
      <c r="H2287" t="s">
        <v>59</v>
      </c>
      <c r="I2287" t="s">
        <v>243</v>
      </c>
      <c r="K2287">
        <v>2540319.8592599998</v>
      </c>
      <c r="L2287">
        <v>1152050.99737</v>
      </c>
      <c r="M2287">
        <v>519.9</v>
      </c>
      <c r="N2287" t="s">
        <v>5114</v>
      </c>
    </row>
    <row r="2288" spans="1:14" x14ac:dyDescent="0.25">
      <c r="A2288">
        <v>8592195</v>
      </c>
      <c r="B2288" t="s">
        <v>5115</v>
      </c>
      <c r="C2288" t="s">
        <v>242</v>
      </c>
      <c r="D2288" t="s">
        <v>86</v>
      </c>
      <c r="E2288" t="s">
        <v>87</v>
      </c>
      <c r="F2288" t="s">
        <v>59</v>
      </c>
      <c r="G2288">
        <v>5590</v>
      </c>
      <c r="H2288" t="s">
        <v>59</v>
      </c>
      <c r="I2288" t="s">
        <v>243</v>
      </c>
      <c r="K2288">
        <v>2540670.1625899998</v>
      </c>
      <c r="L2288">
        <v>1151175.14903</v>
      </c>
      <c r="M2288">
        <v>413</v>
      </c>
      <c r="N2288" t="s">
        <v>5116</v>
      </c>
    </row>
    <row r="2289" spans="1:14" x14ac:dyDescent="0.25">
      <c r="A2289">
        <v>8592177</v>
      </c>
      <c r="B2289" t="s">
        <v>5117</v>
      </c>
      <c r="C2289" t="s">
        <v>242</v>
      </c>
      <c r="D2289" t="s">
        <v>86</v>
      </c>
      <c r="E2289" t="s">
        <v>87</v>
      </c>
      <c r="F2289" t="s">
        <v>59</v>
      </c>
      <c r="G2289">
        <v>5590</v>
      </c>
      <c r="H2289" t="s">
        <v>59</v>
      </c>
      <c r="I2289" t="s">
        <v>243</v>
      </c>
      <c r="K2289">
        <v>2540728</v>
      </c>
      <c r="L2289">
        <v>1152702</v>
      </c>
      <c r="M2289">
        <v>588</v>
      </c>
      <c r="N2289" t="s">
        <v>5118</v>
      </c>
    </row>
    <row r="2290" spans="1:14" x14ac:dyDescent="0.25">
      <c r="A2290">
        <v>8592194</v>
      </c>
      <c r="B2290" t="s">
        <v>5119</v>
      </c>
      <c r="C2290" t="s">
        <v>94</v>
      </c>
      <c r="D2290" t="s">
        <v>86</v>
      </c>
      <c r="E2290" t="s">
        <v>87</v>
      </c>
      <c r="F2290" t="s">
        <v>59</v>
      </c>
      <c r="G2290">
        <v>5590</v>
      </c>
      <c r="H2290" t="s">
        <v>5091</v>
      </c>
      <c r="I2290" t="s">
        <v>96</v>
      </c>
      <c r="K2290">
        <v>2543103</v>
      </c>
      <c r="L2290">
        <v>1154479</v>
      </c>
      <c r="M2290">
        <v>797</v>
      </c>
      <c r="N2290" t="s">
        <v>5120</v>
      </c>
    </row>
    <row r="2291" spans="1:14" x14ac:dyDescent="0.25">
      <c r="A2291">
        <v>8592185</v>
      </c>
      <c r="B2291" t="s">
        <v>5121</v>
      </c>
      <c r="C2291" t="s">
        <v>242</v>
      </c>
      <c r="D2291" t="s">
        <v>86</v>
      </c>
      <c r="E2291" t="s">
        <v>87</v>
      </c>
      <c r="F2291" t="s">
        <v>59</v>
      </c>
      <c r="G2291">
        <v>5590</v>
      </c>
      <c r="H2291" t="s">
        <v>59</v>
      </c>
      <c r="I2291" t="s">
        <v>243</v>
      </c>
      <c r="K2291">
        <v>2540323.4511500001</v>
      </c>
      <c r="L2291">
        <v>1152366.83944</v>
      </c>
      <c r="M2291">
        <v>550</v>
      </c>
      <c r="N2291" t="s">
        <v>5122</v>
      </c>
    </row>
    <row r="2292" spans="1:14" x14ac:dyDescent="0.25">
      <c r="A2292">
        <v>8592171</v>
      </c>
      <c r="B2292" t="s">
        <v>5123</v>
      </c>
      <c r="C2292" t="s">
        <v>242</v>
      </c>
      <c r="D2292" t="s">
        <v>86</v>
      </c>
      <c r="E2292" t="s">
        <v>87</v>
      </c>
      <c r="F2292" t="s">
        <v>59</v>
      </c>
      <c r="G2292">
        <v>5590</v>
      </c>
      <c r="H2292" t="s">
        <v>59</v>
      </c>
      <c r="I2292" t="s">
        <v>243</v>
      </c>
      <c r="K2292">
        <v>2540486.40233</v>
      </c>
      <c r="L2292">
        <v>1152810.5020300001</v>
      </c>
      <c r="M2292">
        <v>598</v>
      </c>
      <c r="N2292" t="s">
        <v>5124</v>
      </c>
    </row>
    <row r="2293" spans="1:14" x14ac:dyDescent="0.25">
      <c r="A2293">
        <v>8592170</v>
      </c>
      <c r="B2293" t="s">
        <v>5125</v>
      </c>
      <c r="C2293" t="s">
        <v>242</v>
      </c>
      <c r="D2293" t="s">
        <v>86</v>
      </c>
      <c r="E2293" t="s">
        <v>87</v>
      </c>
      <c r="F2293" t="s">
        <v>59</v>
      </c>
      <c r="G2293">
        <v>5590</v>
      </c>
      <c r="H2293" t="s">
        <v>59</v>
      </c>
      <c r="I2293" t="s">
        <v>243</v>
      </c>
      <c r="K2293">
        <v>2539206</v>
      </c>
      <c r="L2293">
        <v>1150888</v>
      </c>
      <c r="M2293">
        <v>387</v>
      </c>
      <c r="N2293" t="s">
        <v>5126</v>
      </c>
    </row>
    <row r="2294" spans="1:14" x14ac:dyDescent="0.25">
      <c r="A2294">
        <v>8592172</v>
      </c>
      <c r="B2294" t="s">
        <v>5127</v>
      </c>
      <c r="C2294" t="s">
        <v>242</v>
      </c>
      <c r="D2294" t="s">
        <v>86</v>
      </c>
      <c r="E2294" t="s">
        <v>87</v>
      </c>
      <c r="F2294" t="s">
        <v>59</v>
      </c>
      <c r="G2294">
        <v>5590</v>
      </c>
      <c r="H2294" t="s">
        <v>59</v>
      </c>
      <c r="I2294" t="s">
        <v>243</v>
      </c>
      <c r="K2294">
        <v>2539332</v>
      </c>
      <c r="L2294">
        <v>1151221</v>
      </c>
      <c r="M2294">
        <v>418</v>
      </c>
      <c r="N2294" t="s">
        <v>5128</v>
      </c>
    </row>
    <row r="2295" spans="1:14" x14ac:dyDescent="0.25">
      <c r="A2295">
        <v>8592188</v>
      </c>
      <c r="B2295" t="s">
        <v>5129</v>
      </c>
      <c r="C2295" t="s">
        <v>242</v>
      </c>
      <c r="D2295" t="s">
        <v>86</v>
      </c>
      <c r="E2295" t="s">
        <v>87</v>
      </c>
      <c r="F2295" t="s">
        <v>59</v>
      </c>
      <c r="G2295">
        <v>5590</v>
      </c>
      <c r="H2295" t="s">
        <v>59</v>
      </c>
      <c r="I2295" t="s">
        <v>243</v>
      </c>
      <c r="K2295">
        <v>2540062</v>
      </c>
      <c r="L2295">
        <v>1151528</v>
      </c>
      <c r="M2295">
        <v>447</v>
      </c>
      <c r="N2295" t="s">
        <v>5130</v>
      </c>
    </row>
    <row r="2296" spans="1:14" x14ac:dyDescent="0.25">
      <c r="A2296">
        <v>8592199</v>
      </c>
      <c r="B2296" t="s">
        <v>5131</v>
      </c>
      <c r="C2296" t="s">
        <v>242</v>
      </c>
      <c r="D2296" t="s">
        <v>86</v>
      </c>
      <c r="E2296" t="s">
        <v>87</v>
      </c>
      <c r="F2296" t="s">
        <v>59</v>
      </c>
      <c r="G2296">
        <v>5590</v>
      </c>
      <c r="H2296" t="s">
        <v>59</v>
      </c>
      <c r="I2296" t="s">
        <v>243</v>
      </c>
      <c r="K2296">
        <v>2540659</v>
      </c>
      <c r="L2296">
        <v>1150950</v>
      </c>
      <c r="M2296">
        <v>385</v>
      </c>
      <c r="N2296" t="s">
        <v>5132</v>
      </c>
    </row>
    <row r="2297" spans="1:14" x14ac:dyDescent="0.25">
      <c r="A2297">
        <v>8592198</v>
      </c>
      <c r="B2297" t="s">
        <v>5133</v>
      </c>
      <c r="C2297" t="s">
        <v>242</v>
      </c>
      <c r="D2297" t="s">
        <v>86</v>
      </c>
      <c r="E2297" t="s">
        <v>87</v>
      </c>
      <c r="F2297" t="s">
        <v>59</v>
      </c>
      <c r="G2297">
        <v>5590</v>
      </c>
      <c r="H2297" t="s">
        <v>59</v>
      </c>
      <c r="I2297" t="s">
        <v>243</v>
      </c>
      <c r="K2297">
        <v>2539447</v>
      </c>
      <c r="L2297">
        <v>1150879</v>
      </c>
      <c r="M2297">
        <v>386</v>
      </c>
      <c r="N2297" t="s">
        <v>5134</v>
      </c>
    </row>
    <row r="2298" spans="1:14" x14ac:dyDescent="0.25">
      <c r="A2298">
        <v>8592189</v>
      </c>
      <c r="B2298" t="s">
        <v>5135</v>
      </c>
      <c r="C2298" t="s">
        <v>242</v>
      </c>
      <c r="D2298" t="s">
        <v>86</v>
      </c>
      <c r="E2298" t="s">
        <v>87</v>
      </c>
      <c r="F2298" t="s">
        <v>59</v>
      </c>
      <c r="G2298">
        <v>5590</v>
      </c>
      <c r="H2298" t="s">
        <v>59</v>
      </c>
      <c r="I2298" t="s">
        <v>243</v>
      </c>
      <c r="K2298">
        <v>2541006</v>
      </c>
      <c r="L2298">
        <v>1151079</v>
      </c>
      <c r="M2298">
        <v>400</v>
      </c>
      <c r="N2298" t="s">
        <v>5136</v>
      </c>
    </row>
    <row r="2299" spans="1:14" x14ac:dyDescent="0.25">
      <c r="A2299">
        <v>8595192</v>
      </c>
      <c r="B2299" t="s">
        <v>5137</v>
      </c>
      <c r="C2299" t="s">
        <v>242</v>
      </c>
      <c r="D2299" t="s">
        <v>86</v>
      </c>
      <c r="E2299" t="s">
        <v>87</v>
      </c>
      <c r="F2299" t="s">
        <v>59</v>
      </c>
      <c r="G2299">
        <v>5590</v>
      </c>
      <c r="H2299" t="s">
        <v>59</v>
      </c>
      <c r="I2299" t="s">
        <v>243</v>
      </c>
      <c r="K2299">
        <v>2540590</v>
      </c>
      <c r="L2299">
        <v>1151575</v>
      </c>
      <c r="M2299">
        <v>450</v>
      </c>
      <c r="N2299" t="s">
        <v>5138</v>
      </c>
    </row>
    <row r="2300" spans="1:14" x14ac:dyDescent="0.25">
      <c r="A2300">
        <v>8501121</v>
      </c>
      <c r="B2300" t="s">
        <v>59</v>
      </c>
      <c r="C2300" t="s">
        <v>132</v>
      </c>
      <c r="D2300" t="s">
        <v>112</v>
      </c>
      <c r="E2300" t="s">
        <v>87</v>
      </c>
      <c r="F2300" t="s">
        <v>59</v>
      </c>
      <c r="G2300">
        <v>5590</v>
      </c>
      <c r="H2300" t="s">
        <v>59</v>
      </c>
      <c r="I2300" t="s">
        <v>133</v>
      </c>
      <c r="K2300">
        <v>2540199.4750000001</v>
      </c>
      <c r="L2300">
        <v>1151366.456</v>
      </c>
      <c r="M2300">
        <v>424.8</v>
      </c>
      <c r="N2300" t="s">
        <v>5139</v>
      </c>
    </row>
    <row r="2301" spans="1:14" x14ac:dyDescent="0.25">
      <c r="A2301">
        <v>8592183</v>
      </c>
      <c r="B2301" t="s">
        <v>5140</v>
      </c>
      <c r="C2301" t="s">
        <v>242</v>
      </c>
      <c r="D2301" t="s">
        <v>86</v>
      </c>
      <c r="E2301" t="s">
        <v>87</v>
      </c>
      <c r="F2301" t="s">
        <v>59</v>
      </c>
      <c r="G2301">
        <v>5590</v>
      </c>
      <c r="H2301" t="s">
        <v>59</v>
      </c>
      <c r="I2301" t="s">
        <v>243</v>
      </c>
      <c r="K2301">
        <v>2539984</v>
      </c>
      <c r="L2301">
        <v>1152138</v>
      </c>
      <c r="M2301">
        <v>501</v>
      </c>
      <c r="N2301" t="s">
        <v>5141</v>
      </c>
    </row>
    <row r="2302" spans="1:14" x14ac:dyDescent="0.25">
      <c r="A2302">
        <v>8592197</v>
      </c>
      <c r="B2302" t="s">
        <v>5142</v>
      </c>
      <c r="C2302" t="s">
        <v>242</v>
      </c>
      <c r="D2302" t="s">
        <v>86</v>
      </c>
      <c r="E2302" t="s">
        <v>87</v>
      </c>
      <c r="F2302" t="s">
        <v>59</v>
      </c>
      <c r="G2302">
        <v>5590</v>
      </c>
      <c r="H2302" t="s">
        <v>59</v>
      </c>
      <c r="I2302" t="s">
        <v>243</v>
      </c>
      <c r="K2302">
        <v>2538893</v>
      </c>
      <c r="L2302">
        <v>1150902</v>
      </c>
      <c r="M2302">
        <v>384</v>
      </c>
      <c r="N2302" t="s">
        <v>5143</v>
      </c>
    </row>
    <row r="2303" spans="1:14" x14ac:dyDescent="0.25">
      <c r="A2303">
        <v>8592196</v>
      </c>
      <c r="B2303" t="s">
        <v>5144</v>
      </c>
      <c r="C2303" t="s">
        <v>242</v>
      </c>
      <c r="D2303" t="s">
        <v>86</v>
      </c>
      <c r="E2303" t="s">
        <v>87</v>
      </c>
      <c r="F2303" t="s">
        <v>59</v>
      </c>
      <c r="G2303">
        <v>5590</v>
      </c>
      <c r="H2303" t="s">
        <v>59</v>
      </c>
      <c r="I2303" t="s">
        <v>243</v>
      </c>
      <c r="K2303">
        <v>2539984</v>
      </c>
      <c r="L2303">
        <v>1151832</v>
      </c>
      <c r="M2303">
        <v>476</v>
      </c>
      <c r="N2303" t="s">
        <v>5145</v>
      </c>
    </row>
    <row r="2304" spans="1:14" x14ac:dyDescent="0.25">
      <c r="A2304">
        <v>8595191</v>
      </c>
      <c r="B2304" t="s">
        <v>5146</v>
      </c>
      <c r="C2304" t="s">
        <v>242</v>
      </c>
      <c r="D2304" t="s">
        <v>86</v>
      </c>
      <c r="E2304" t="s">
        <v>87</v>
      </c>
      <c r="F2304" t="s">
        <v>59</v>
      </c>
      <c r="G2304">
        <v>5590</v>
      </c>
      <c r="H2304" t="s">
        <v>59</v>
      </c>
      <c r="I2304" t="s">
        <v>243</v>
      </c>
      <c r="K2304">
        <v>2541012</v>
      </c>
      <c r="L2304">
        <v>1151453</v>
      </c>
      <c r="M2304">
        <v>450</v>
      </c>
      <c r="N2304" t="s">
        <v>5147</v>
      </c>
    </row>
    <row r="2305" spans="1:14" x14ac:dyDescent="0.25">
      <c r="A2305">
        <v>8579249</v>
      </c>
      <c r="B2305" t="s">
        <v>5148</v>
      </c>
      <c r="C2305" t="s">
        <v>94</v>
      </c>
      <c r="D2305" t="s">
        <v>86</v>
      </c>
      <c r="E2305" t="s">
        <v>87</v>
      </c>
      <c r="F2305" t="s">
        <v>59</v>
      </c>
      <c r="G2305">
        <v>5590</v>
      </c>
      <c r="H2305" t="s">
        <v>5091</v>
      </c>
      <c r="I2305" t="s">
        <v>96</v>
      </c>
      <c r="K2305">
        <v>2542462</v>
      </c>
      <c r="L2305">
        <v>1154129</v>
      </c>
      <c r="M2305">
        <v>749</v>
      </c>
      <c r="N2305" t="s">
        <v>5149</v>
      </c>
    </row>
    <row r="2306" spans="1:14" x14ac:dyDescent="0.25">
      <c r="A2306">
        <v>8579256</v>
      </c>
      <c r="B2306" t="s">
        <v>5150</v>
      </c>
      <c r="C2306" t="s">
        <v>242</v>
      </c>
      <c r="D2306" t="s">
        <v>86</v>
      </c>
      <c r="E2306" t="s">
        <v>87</v>
      </c>
      <c r="F2306" t="s">
        <v>59</v>
      </c>
      <c r="G2306">
        <v>5590</v>
      </c>
      <c r="H2306" t="s">
        <v>59</v>
      </c>
      <c r="I2306" t="s">
        <v>243</v>
      </c>
      <c r="K2306">
        <v>2540789</v>
      </c>
      <c r="L2306">
        <v>1152580</v>
      </c>
      <c r="M2306">
        <v>601</v>
      </c>
      <c r="N2306" t="s">
        <v>5151</v>
      </c>
    </row>
    <row r="2307" spans="1:14" x14ac:dyDescent="0.25">
      <c r="A2307">
        <v>8588439</v>
      </c>
      <c r="B2307" t="s">
        <v>5152</v>
      </c>
      <c r="C2307" t="s">
        <v>242</v>
      </c>
      <c r="D2307" t="s">
        <v>86</v>
      </c>
      <c r="E2307" t="s">
        <v>87</v>
      </c>
      <c r="F2307" t="s">
        <v>59</v>
      </c>
      <c r="G2307">
        <v>5590</v>
      </c>
      <c r="H2307" t="s">
        <v>59</v>
      </c>
      <c r="I2307" t="s">
        <v>243</v>
      </c>
      <c r="K2307">
        <v>2540343</v>
      </c>
      <c r="L2307">
        <v>1150847</v>
      </c>
      <c r="M2307">
        <v>377</v>
      </c>
      <c r="N2307" t="s">
        <v>5153</v>
      </c>
    </row>
    <row r="2308" spans="1:14" x14ac:dyDescent="0.25">
      <c r="A2308">
        <v>8593850</v>
      </c>
      <c r="B2308" t="s">
        <v>5154</v>
      </c>
      <c r="C2308" t="s">
        <v>242</v>
      </c>
      <c r="D2308" t="s">
        <v>86</v>
      </c>
      <c r="E2308" t="s">
        <v>87</v>
      </c>
      <c r="F2308" t="s">
        <v>59</v>
      </c>
      <c r="G2308">
        <v>5590</v>
      </c>
      <c r="H2308" t="s">
        <v>59</v>
      </c>
      <c r="I2308" t="s">
        <v>243</v>
      </c>
      <c r="K2308">
        <v>2540789</v>
      </c>
      <c r="L2308">
        <v>1151460</v>
      </c>
      <c r="M2308">
        <v>449</v>
      </c>
      <c r="N2308" t="s">
        <v>5155</v>
      </c>
    </row>
    <row r="2309" spans="1:14" x14ac:dyDescent="0.25">
      <c r="A2309">
        <v>8588449</v>
      </c>
      <c r="B2309" t="s">
        <v>5156</v>
      </c>
      <c r="C2309" t="s">
        <v>242</v>
      </c>
      <c r="D2309" t="s">
        <v>86</v>
      </c>
      <c r="E2309" t="s">
        <v>87</v>
      </c>
      <c r="F2309" t="s">
        <v>59</v>
      </c>
      <c r="G2309">
        <v>5590</v>
      </c>
      <c r="H2309" t="s">
        <v>59</v>
      </c>
      <c r="I2309" t="s">
        <v>243</v>
      </c>
      <c r="K2309">
        <v>2540792.8668399998</v>
      </c>
      <c r="L2309">
        <v>1152151.91395</v>
      </c>
      <c r="M2309">
        <v>529</v>
      </c>
      <c r="N2309" t="s">
        <v>5157</v>
      </c>
    </row>
    <row r="2310" spans="1:14" x14ac:dyDescent="0.25">
      <c r="A2310">
        <v>8588442</v>
      </c>
      <c r="B2310" t="s">
        <v>5158</v>
      </c>
      <c r="C2310" t="s">
        <v>242</v>
      </c>
      <c r="D2310" t="s">
        <v>86</v>
      </c>
      <c r="E2310" t="s">
        <v>87</v>
      </c>
      <c r="F2310" t="s">
        <v>59</v>
      </c>
      <c r="G2310">
        <v>5590</v>
      </c>
      <c r="H2310" t="s">
        <v>59</v>
      </c>
      <c r="I2310" t="s">
        <v>243</v>
      </c>
      <c r="K2310">
        <v>2539795.52654</v>
      </c>
      <c r="L2310">
        <v>1151141.9203300001</v>
      </c>
      <c r="M2310">
        <v>399</v>
      </c>
      <c r="N2310" t="s">
        <v>5159</v>
      </c>
    </row>
    <row r="2311" spans="1:14" x14ac:dyDescent="0.25">
      <c r="A2311">
        <v>8588441</v>
      </c>
      <c r="B2311" t="s">
        <v>5160</v>
      </c>
      <c r="C2311" t="s">
        <v>242</v>
      </c>
      <c r="D2311" t="s">
        <v>86</v>
      </c>
      <c r="E2311" t="s">
        <v>87</v>
      </c>
      <c r="F2311" t="s">
        <v>59</v>
      </c>
      <c r="G2311">
        <v>5590</v>
      </c>
      <c r="H2311" t="s">
        <v>59</v>
      </c>
      <c r="I2311" t="s">
        <v>243</v>
      </c>
      <c r="K2311">
        <v>2539759.75342</v>
      </c>
      <c r="L2311">
        <v>1150874.9037599999</v>
      </c>
      <c r="M2311">
        <v>383</v>
      </c>
      <c r="N2311" t="s">
        <v>5161</v>
      </c>
    </row>
    <row r="2312" spans="1:14" x14ac:dyDescent="0.25">
      <c r="A2312">
        <v>8588440</v>
      </c>
      <c r="B2312" t="s">
        <v>5162</v>
      </c>
      <c r="C2312" t="s">
        <v>242</v>
      </c>
      <c r="D2312" t="s">
        <v>86</v>
      </c>
      <c r="E2312" t="s">
        <v>87</v>
      </c>
      <c r="F2312" t="s">
        <v>59</v>
      </c>
      <c r="G2312">
        <v>5590</v>
      </c>
      <c r="H2312" t="s">
        <v>59</v>
      </c>
      <c r="I2312" t="s">
        <v>243</v>
      </c>
      <c r="K2312">
        <v>2540046.15497</v>
      </c>
      <c r="L2312">
        <v>1150898.8467999999</v>
      </c>
      <c r="M2312">
        <v>380</v>
      </c>
      <c r="N2312" t="s">
        <v>5163</v>
      </c>
    </row>
    <row r="2313" spans="1:14" x14ac:dyDescent="0.25">
      <c r="A2313">
        <v>8592182</v>
      </c>
      <c r="B2313" t="s">
        <v>5164</v>
      </c>
      <c r="C2313" t="s">
        <v>242</v>
      </c>
      <c r="D2313" t="s">
        <v>86</v>
      </c>
      <c r="E2313" t="s">
        <v>87</v>
      </c>
      <c r="F2313" t="s">
        <v>59</v>
      </c>
      <c r="G2313">
        <v>5590</v>
      </c>
      <c r="H2313" t="s">
        <v>59</v>
      </c>
      <c r="I2313" t="s">
        <v>243</v>
      </c>
      <c r="K2313">
        <v>2539720</v>
      </c>
      <c r="L2313">
        <v>1151257</v>
      </c>
      <c r="M2313">
        <v>412</v>
      </c>
      <c r="N2313" t="s">
        <v>5165</v>
      </c>
    </row>
    <row r="2314" spans="1:14" x14ac:dyDescent="0.25">
      <c r="A2314">
        <v>8592190</v>
      </c>
      <c r="B2314" t="s">
        <v>5166</v>
      </c>
      <c r="C2314" t="s">
        <v>242</v>
      </c>
      <c r="D2314" t="s">
        <v>86</v>
      </c>
      <c r="E2314" t="s">
        <v>87</v>
      </c>
      <c r="F2314" t="s">
        <v>59</v>
      </c>
      <c r="G2314">
        <v>5590</v>
      </c>
      <c r="H2314" t="s">
        <v>59</v>
      </c>
      <c r="I2314" t="s">
        <v>243</v>
      </c>
      <c r="K2314">
        <v>2539805</v>
      </c>
      <c r="L2314">
        <v>1151717</v>
      </c>
      <c r="M2314">
        <v>460</v>
      </c>
      <c r="N2314" t="s">
        <v>5167</v>
      </c>
    </row>
    <row r="2315" spans="1:14" x14ac:dyDescent="0.25">
      <c r="A2315">
        <v>8501319</v>
      </c>
      <c r="B2315" t="s">
        <v>5168</v>
      </c>
      <c r="C2315" t="s">
        <v>778</v>
      </c>
      <c r="D2315" t="s">
        <v>302</v>
      </c>
      <c r="E2315" t="s">
        <v>87</v>
      </c>
      <c r="F2315" t="s">
        <v>59</v>
      </c>
      <c r="G2315">
        <v>5590</v>
      </c>
      <c r="H2315" t="s">
        <v>59</v>
      </c>
      <c r="I2315" t="s">
        <v>780</v>
      </c>
      <c r="K2315">
        <v>2540326.6499299998</v>
      </c>
      <c r="L2315">
        <v>1150744.83626</v>
      </c>
      <c r="M2315">
        <v>374</v>
      </c>
      <c r="N2315" t="s">
        <v>5169</v>
      </c>
    </row>
    <row r="2316" spans="1:14" x14ac:dyDescent="0.25">
      <c r="A2316">
        <v>8511925</v>
      </c>
      <c r="B2316" t="s">
        <v>5170</v>
      </c>
      <c r="C2316" t="s">
        <v>242</v>
      </c>
      <c r="D2316" t="s">
        <v>86</v>
      </c>
      <c r="E2316" t="s">
        <v>87</v>
      </c>
      <c r="F2316" t="s">
        <v>59</v>
      </c>
      <c r="G2316">
        <v>5590</v>
      </c>
      <c r="H2316" t="s">
        <v>59</v>
      </c>
      <c r="I2316" t="s">
        <v>243</v>
      </c>
      <c r="K2316">
        <v>2540703.2273800001</v>
      </c>
      <c r="L2316">
        <v>1153062.0194600001</v>
      </c>
      <c r="M2316">
        <v>645.6</v>
      </c>
      <c r="N2316" t="s">
        <v>5171</v>
      </c>
    </row>
    <row r="2317" spans="1:14" x14ac:dyDescent="0.25">
      <c r="A2317">
        <v>8504000</v>
      </c>
      <c r="B2317" t="s">
        <v>5172</v>
      </c>
      <c r="C2317" t="s">
        <v>132</v>
      </c>
      <c r="D2317" t="s">
        <v>112</v>
      </c>
      <c r="E2317" t="s">
        <v>87</v>
      </c>
      <c r="F2317" t="s">
        <v>59</v>
      </c>
      <c r="G2317">
        <v>5590</v>
      </c>
      <c r="H2317" t="s">
        <v>59</v>
      </c>
      <c r="I2317" t="s">
        <v>133</v>
      </c>
      <c r="K2317">
        <v>2540090.014</v>
      </c>
      <c r="L2317">
        <v>1151785.3089999999</v>
      </c>
      <c r="M2317">
        <v>473.38</v>
      </c>
      <c r="N2317" t="s">
        <v>5173</v>
      </c>
    </row>
    <row r="2318" spans="1:14" x14ac:dyDescent="0.25">
      <c r="A2318">
        <v>8570243</v>
      </c>
      <c r="B2318" t="s">
        <v>5174</v>
      </c>
      <c r="C2318" t="s">
        <v>94</v>
      </c>
      <c r="D2318" t="s">
        <v>86</v>
      </c>
      <c r="E2318" t="s">
        <v>87</v>
      </c>
      <c r="F2318" t="s">
        <v>5175</v>
      </c>
      <c r="G2318">
        <v>5760</v>
      </c>
      <c r="H2318" t="s">
        <v>5175</v>
      </c>
      <c r="I2318" t="s">
        <v>96</v>
      </c>
      <c r="K2318">
        <v>2531358</v>
      </c>
      <c r="L2318">
        <v>1179638</v>
      </c>
      <c r="M2318">
        <v>487</v>
      </c>
      <c r="N2318" t="s">
        <v>5176</v>
      </c>
    </row>
    <row r="2319" spans="1:14" x14ac:dyDescent="0.25">
      <c r="A2319">
        <v>8507956</v>
      </c>
      <c r="B2319" t="s">
        <v>5177</v>
      </c>
      <c r="C2319" t="s">
        <v>94</v>
      </c>
      <c r="D2319" t="s">
        <v>86</v>
      </c>
      <c r="E2319" t="s">
        <v>87</v>
      </c>
      <c r="F2319" t="s">
        <v>5175</v>
      </c>
      <c r="G2319">
        <v>5760</v>
      </c>
      <c r="H2319" t="s">
        <v>5175</v>
      </c>
      <c r="I2319" t="s">
        <v>96</v>
      </c>
      <c r="K2319">
        <v>2530669</v>
      </c>
      <c r="L2319">
        <v>1179181</v>
      </c>
      <c r="M2319">
        <v>557</v>
      </c>
      <c r="N2319" t="s">
        <v>5178</v>
      </c>
    </row>
    <row r="2320" spans="1:14" x14ac:dyDescent="0.25">
      <c r="A2320">
        <v>8501119</v>
      </c>
      <c r="B2320" t="s">
        <v>5179</v>
      </c>
      <c r="C2320" t="s">
        <v>132</v>
      </c>
      <c r="E2320" t="s">
        <v>87</v>
      </c>
      <c r="F2320" t="s">
        <v>5180</v>
      </c>
      <c r="G2320">
        <v>5591</v>
      </c>
      <c r="H2320" t="s">
        <v>5181</v>
      </c>
      <c r="I2320" t="s">
        <v>133</v>
      </c>
      <c r="J2320" t="s">
        <v>625</v>
      </c>
      <c r="K2320">
        <v>2534336</v>
      </c>
      <c r="L2320">
        <v>1154085</v>
      </c>
      <c r="M2320">
        <v>411</v>
      </c>
      <c r="N2320" t="s">
        <v>5182</v>
      </c>
    </row>
    <row r="2321" spans="1:14" x14ac:dyDescent="0.25">
      <c r="A2321">
        <v>8510400</v>
      </c>
      <c r="B2321" t="s">
        <v>5183</v>
      </c>
      <c r="C2321" t="s">
        <v>242</v>
      </c>
      <c r="D2321" t="s">
        <v>86</v>
      </c>
      <c r="E2321" t="s">
        <v>87</v>
      </c>
      <c r="F2321" t="s">
        <v>5180</v>
      </c>
      <c r="G2321">
        <v>5591</v>
      </c>
      <c r="H2321" t="s">
        <v>5181</v>
      </c>
      <c r="I2321" t="s">
        <v>243</v>
      </c>
      <c r="K2321">
        <v>2534286.7394900001</v>
      </c>
      <c r="L2321">
        <v>1154025.9568</v>
      </c>
      <c r="M2321">
        <v>411</v>
      </c>
      <c r="N2321" t="s">
        <v>5184</v>
      </c>
    </row>
    <row r="2322" spans="1:14" x14ac:dyDescent="0.25">
      <c r="A2322">
        <v>8588839</v>
      </c>
      <c r="B2322" t="s">
        <v>5185</v>
      </c>
      <c r="C2322" t="s">
        <v>242</v>
      </c>
      <c r="D2322" t="s">
        <v>86</v>
      </c>
      <c r="E2322" t="s">
        <v>87</v>
      </c>
      <c r="F2322" t="s">
        <v>5180</v>
      </c>
      <c r="G2322">
        <v>5591</v>
      </c>
      <c r="H2322" t="s">
        <v>5181</v>
      </c>
      <c r="I2322" t="s">
        <v>243</v>
      </c>
      <c r="K2322">
        <v>2534113</v>
      </c>
      <c r="L2322">
        <v>1154587</v>
      </c>
      <c r="M2322">
        <v>420</v>
      </c>
      <c r="N2322" t="s">
        <v>5186</v>
      </c>
    </row>
    <row r="2323" spans="1:14" x14ac:dyDescent="0.25">
      <c r="A2323">
        <v>8592178</v>
      </c>
      <c r="B2323" t="s">
        <v>5187</v>
      </c>
      <c r="C2323" t="s">
        <v>242</v>
      </c>
      <c r="D2323" t="s">
        <v>86</v>
      </c>
      <c r="E2323" t="s">
        <v>87</v>
      </c>
      <c r="F2323" t="s">
        <v>5180</v>
      </c>
      <c r="G2323">
        <v>5591</v>
      </c>
      <c r="H2323" t="s">
        <v>5181</v>
      </c>
      <c r="I2323" t="s">
        <v>243</v>
      </c>
      <c r="K2323">
        <v>2535483.14983</v>
      </c>
      <c r="L2323">
        <v>1154569.2870499999</v>
      </c>
      <c r="M2323">
        <v>474.6</v>
      </c>
      <c r="N2323" t="s">
        <v>5188</v>
      </c>
    </row>
    <row r="2324" spans="1:14" x14ac:dyDescent="0.25">
      <c r="A2324">
        <v>8530749</v>
      </c>
      <c r="B2324" t="s">
        <v>5189</v>
      </c>
      <c r="C2324" t="s">
        <v>242</v>
      </c>
      <c r="D2324" t="s">
        <v>3030</v>
      </c>
      <c r="E2324" t="s">
        <v>87</v>
      </c>
      <c r="F2324" t="s">
        <v>5180</v>
      </c>
      <c r="G2324">
        <v>5591</v>
      </c>
      <c r="H2324" t="s">
        <v>5181</v>
      </c>
      <c r="I2324" t="s">
        <v>243</v>
      </c>
      <c r="K2324">
        <v>2534019.5207600002</v>
      </c>
      <c r="L2324">
        <v>1154398.9164400001</v>
      </c>
      <c r="M2324">
        <v>415.8</v>
      </c>
      <c r="N2324" t="s">
        <v>5190</v>
      </c>
    </row>
    <row r="2325" spans="1:14" x14ac:dyDescent="0.25">
      <c r="A2325">
        <v>8512031</v>
      </c>
      <c r="B2325" t="s">
        <v>5191</v>
      </c>
      <c r="C2325" t="s">
        <v>242</v>
      </c>
      <c r="D2325" t="s">
        <v>86</v>
      </c>
      <c r="E2325" t="s">
        <v>87</v>
      </c>
      <c r="F2325" t="s">
        <v>5180</v>
      </c>
      <c r="G2325">
        <v>5591</v>
      </c>
      <c r="H2325" t="s">
        <v>5181</v>
      </c>
      <c r="I2325" t="s">
        <v>243</v>
      </c>
      <c r="K2325">
        <v>2534169.2356699998</v>
      </c>
      <c r="L2325">
        <v>1153519.6351900001</v>
      </c>
      <c r="M2325">
        <v>425.3</v>
      </c>
      <c r="N2325" t="s">
        <v>5192</v>
      </c>
    </row>
    <row r="2326" spans="1:14" x14ac:dyDescent="0.25">
      <c r="A2326">
        <v>8512035</v>
      </c>
      <c r="B2326" t="s">
        <v>5193</v>
      </c>
      <c r="C2326" t="s">
        <v>242</v>
      </c>
      <c r="D2326" t="s">
        <v>86</v>
      </c>
      <c r="E2326" t="s">
        <v>87</v>
      </c>
      <c r="F2326" t="s">
        <v>5180</v>
      </c>
      <c r="G2326">
        <v>5591</v>
      </c>
      <c r="H2326" t="s">
        <v>5181</v>
      </c>
      <c r="I2326" t="s">
        <v>243</v>
      </c>
      <c r="K2326">
        <v>2534384.4372700001</v>
      </c>
      <c r="L2326">
        <v>1154573.03614</v>
      </c>
      <c r="M2326">
        <v>422.5</v>
      </c>
      <c r="N2326" t="s">
        <v>5194</v>
      </c>
    </row>
    <row r="2327" spans="1:14" x14ac:dyDescent="0.25">
      <c r="A2327">
        <v>8512037</v>
      </c>
      <c r="B2327" t="s">
        <v>5195</v>
      </c>
      <c r="C2327" t="s">
        <v>242</v>
      </c>
      <c r="D2327" t="s">
        <v>86</v>
      </c>
      <c r="E2327" t="s">
        <v>87</v>
      </c>
      <c r="F2327" t="s">
        <v>5180</v>
      </c>
      <c r="G2327">
        <v>5591</v>
      </c>
      <c r="H2327" t="s">
        <v>5181</v>
      </c>
      <c r="I2327" t="s">
        <v>243</v>
      </c>
      <c r="K2327">
        <v>2534748.7572699999</v>
      </c>
      <c r="L2327">
        <v>1154480.05739</v>
      </c>
      <c r="M2327">
        <v>432.7</v>
      </c>
      <c r="N2327" t="s">
        <v>5196</v>
      </c>
    </row>
    <row r="2328" spans="1:14" x14ac:dyDescent="0.25">
      <c r="A2328">
        <v>8512045</v>
      </c>
      <c r="B2328" t="s">
        <v>5197</v>
      </c>
      <c r="C2328" t="s">
        <v>242</v>
      </c>
      <c r="D2328" t="s">
        <v>86</v>
      </c>
      <c r="E2328" t="s">
        <v>87</v>
      </c>
      <c r="F2328" t="s">
        <v>5180</v>
      </c>
      <c r="G2328">
        <v>5591</v>
      </c>
      <c r="H2328" t="s">
        <v>5181</v>
      </c>
      <c r="I2328" t="s">
        <v>243</v>
      </c>
      <c r="K2328">
        <v>2534429.1867499999</v>
      </c>
      <c r="L2328">
        <v>1154892.1397200001</v>
      </c>
      <c r="M2328">
        <v>441.7</v>
      </c>
      <c r="N2328" t="s">
        <v>5198</v>
      </c>
    </row>
    <row r="2329" spans="1:14" x14ac:dyDescent="0.25">
      <c r="A2329">
        <v>8592219</v>
      </c>
      <c r="B2329" t="s">
        <v>5199</v>
      </c>
      <c r="C2329" t="s">
        <v>242</v>
      </c>
      <c r="D2329" t="s">
        <v>86</v>
      </c>
      <c r="E2329" t="s">
        <v>87</v>
      </c>
      <c r="F2329" t="s">
        <v>5180</v>
      </c>
      <c r="G2329">
        <v>5591</v>
      </c>
      <c r="H2329" t="s">
        <v>5181</v>
      </c>
      <c r="I2329" t="s">
        <v>243</v>
      </c>
      <c r="K2329">
        <v>2534898.17013</v>
      </c>
      <c r="L2329">
        <v>1153430.59085</v>
      </c>
      <c r="M2329">
        <v>419.5</v>
      </c>
      <c r="N2329" t="s">
        <v>5200</v>
      </c>
    </row>
    <row r="2330" spans="1:14" x14ac:dyDescent="0.25">
      <c r="A2330">
        <v>8592215</v>
      </c>
      <c r="B2330" t="s">
        <v>5201</v>
      </c>
      <c r="C2330" t="s">
        <v>242</v>
      </c>
      <c r="D2330" t="s">
        <v>86</v>
      </c>
      <c r="E2330" t="s">
        <v>87</v>
      </c>
      <c r="F2330" t="s">
        <v>5180</v>
      </c>
      <c r="G2330">
        <v>5591</v>
      </c>
      <c r="H2330" t="s">
        <v>5181</v>
      </c>
      <c r="I2330" t="s">
        <v>243</v>
      </c>
      <c r="K2330">
        <v>2535392</v>
      </c>
      <c r="L2330">
        <v>1153045</v>
      </c>
      <c r="M2330">
        <v>431</v>
      </c>
      <c r="N2330" t="s">
        <v>5202</v>
      </c>
    </row>
    <row r="2331" spans="1:14" x14ac:dyDescent="0.25">
      <c r="A2331">
        <v>8592212</v>
      </c>
      <c r="B2331" t="s">
        <v>5203</v>
      </c>
      <c r="C2331" t="s">
        <v>242</v>
      </c>
      <c r="D2331" t="s">
        <v>86</v>
      </c>
      <c r="E2331" t="s">
        <v>87</v>
      </c>
      <c r="F2331" t="s">
        <v>5180</v>
      </c>
      <c r="G2331">
        <v>5591</v>
      </c>
      <c r="H2331" t="s">
        <v>5181</v>
      </c>
      <c r="I2331" t="s">
        <v>243</v>
      </c>
      <c r="K2331">
        <v>2535129</v>
      </c>
      <c r="L2331">
        <v>1154615</v>
      </c>
      <c r="M2331">
        <v>462</v>
      </c>
      <c r="N2331" t="s">
        <v>5204</v>
      </c>
    </row>
    <row r="2332" spans="1:14" x14ac:dyDescent="0.25">
      <c r="A2332">
        <v>8592209</v>
      </c>
      <c r="B2332" t="s">
        <v>5205</v>
      </c>
      <c r="C2332" t="s">
        <v>242</v>
      </c>
      <c r="D2332" t="s">
        <v>86</v>
      </c>
      <c r="E2332" t="s">
        <v>87</v>
      </c>
      <c r="F2332" t="s">
        <v>5180</v>
      </c>
      <c r="G2332">
        <v>5591</v>
      </c>
      <c r="H2332" t="s">
        <v>5181</v>
      </c>
      <c r="I2332" t="s">
        <v>243</v>
      </c>
      <c r="K2332">
        <v>2534431</v>
      </c>
      <c r="L2332">
        <v>1153812</v>
      </c>
      <c r="M2332">
        <v>410</v>
      </c>
      <c r="N2332" t="s">
        <v>5206</v>
      </c>
    </row>
    <row r="2333" spans="1:14" x14ac:dyDescent="0.25">
      <c r="A2333">
        <v>8592201</v>
      </c>
      <c r="B2333" t="s">
        <v>5207</v>
      </c>
      <c r="C2333" t="s">
        <v>242</v>
      </c>
      <c r="D2333" t="s">
        <v>86</v>
      </c>
      <c r="E2333" t="s">
        <v>87</v>
      </c>
      <c r="F2333" t="s">
        <v>5180</v>
      </c>
      <c r="G2333">
        <v>5591</v>
      </c>
      <c r="H2333" t="s">
        <v>5181</v>
      </c>
      <c r="I2333" t="s">
        <v>243</v>
      </c>
      <c r="K2333">
        <v>2534396</v>
      </c>
      <c r="L2333">
        <v>1154741</v>
      </c>
      <c r="M2333">
        <v>433</v>
      </c>
      <c r="N2333" t="s">
        <v>5208</v>
      </c>
    </row>
    <row r="2334" spans="1:14" x14ac:dyDescent="0.25">
      <c r="A2334">
        <v>8592200</v>
      </c>
      <c r="B2334" t="s">
        <v>5209</v>
      </c>
      <c r="C2334" t="s">
        <v>242</v>
      </c>
      <c r="D2334" t="s">
        <v>86</v>
      </c>
      <c r="E2334" t="s">
        <v>87</v>
      </c>
      <c r="F2334" t="s">
        <v>5180</v>
      </c>
      <c r="G2334">
        <v>5591</v>
      </c>
      <c r="H2334" t="s">
        <v>5181</v>
      </c>
      <c r="I2334" t="s">
        <v>243</v>
      </c>
      <c r="K2334">
        <v>2534290</v>
      </c>
      <c r="L2334">
        <v>1154299</v>
      </c>
      <c r="M2334">
        <v>418</v>
      </c>
      <c r="N2334" t="s">
        <v>5210</v>
      </c>
    </row>
    <row r="2335" spans="1:14" x14ac:dyDescent="0.25">
      <c r="A2335">
        <v>8592206</v>
      </c>
      <c r="B2335" t="s">
        <v>5211</v>
      </c>
      <c r="C2335" t="s">
        <v>242</v>
      </c>
      <c r="D2335" t="s">
        <v>86</v>
      </c>
      <c r="E2335" t="s">
        <v>87</v>
      </c>
      <c r="F2335" t="s">
        <v>5180</v>
      </c>
      <c r="G2335">
        <v>5591</v>
      </c>
      <c r="H2335" t="s">
        <v>5181</v>
      </c>
      <c r="I2335" t="s">
        <v>243</v>
      </c>
      <c r="K2335">
        <v>2535271</v>
      </c>
      <c r="L2335">
        <v>1154453</v>
      </c>
      <c r="M2335">
        <v>464</v>
      </c>
      <c r="N2335" t="s">
        <v>5212</v>
      </c>
    </row>
    <row r="2336" spans="1:14" x14ac:dyDescent="0.25">
      <c r="A2336">
        <v>8592205</v>
      </c>
      <c r="B2336" t="s">
        <v>5213</v>
      </c>
      <c r="C2336" t="s">
        <v>242</v>
      </c>
      <c r="D2336" t="s">
        <v>86</v>
      </c>
      <c r="E2336" t="s">
        <v>87</v>
      </c>
      <c r="F2336" t="s">
        <v>5180</v>
      </c>
      <c r="G2336">
        <v>5591</v>
      </c>
      <c r="H2336" t="s">
        <v>5181</v>
      </c>
      <c r="I2336" t="s">
        <v>243</v>
      </c>
      <c r="K2336">
        <v>2534803</v>
      </c>
      <c r="L2336">
        <v>1154610</v>
      </c>
      <c r="M2336">
        <v>441</v>
      </c>
      <c r="N2336" t="s">
        <v>5214</v>
      </c>
    </row>
    <row r="2337" spans="1:14" x14ac:dyDescent="0.25">
      <c r="A2337">
        <v>8592221</v>
      </c>
      <c r="B2337" t="s">
        <v>5215</v>
      </c>
      <c r="C2337" t="s">
        <v>242</v>
      </c>
      <c r="D2337" t="s">
        <v>86</v>
      </c>
      <c r="E2337" t="s">
        <v>87</v>
      </c>
      <c r="F2337" t="s">
        <v>5180</v>
      </c>
      <c r="G2337">
        <v>5591</v>
      </c>
      <c r="H2337" t="s">
        <v>5181</v>
      </c>
      <c r="I2337" t="s">
        <v>243</v>
      </c>
      <c r="K2337">
        <v>2534795</v>
      </c>
      <c r="L2337">
        <v>1154107</v>
      </c>
      <c r="M2337">
        <v>416</v>
      </c>
      <c r="N2337" t="s">
        <v>5216</v>
      </c>
    </row>
    <row r="2338" spans="1:14" x14ac:dyDescent="0.25">
      <c r="A2338">
        <v>8592220</v>
      </c>
      <c r="B2338" t="s">
        <v>5217</v>
      </c>
      <c r="C2338" t="s">
        <v>242</v>
      </c>
      <c r="D2338" t="s">
        <v>86</v>
      </c>
      <c r="E2338" t="s">
        <v>87</v>
      </c>
      <c r="F2338" t="s">
        <v>5180</v>
      </c>
      <c r="G2338">
        <v>5591</v>
      </c>
      <c r="H2338" t="s">
        <v>5181</v>
      </c>
      <c r="I2338" t="s">
        <v>243</v>
      </c>
      <c r="K2338">
        <v>2534621</v>
      </c>
      <c r="L2338">
        <v>1154688</v>
      </c>
      <c r="M2338">
        <v>437</v>
      </c>
      <c r="N2338" t="s">
        <v>5218</v>
      </c>
    </row>
    <row r="2339" spans="1:14" x14ac:dyDescent="0.25">
      <c r="A2339">
        <v>8595534</v>
      </c>
      <c r="B2339" t="s">
        <v>5219</v>
      </c>
      <c r="C2339" t="s">
        <v>242</v>
      </c>
      <c r="D2339" t="s">
        <v>86</v>
      </c>
      <c r="E2339" t="s">
        <v>87</v>
      </c>
      <c r="F2339" t="s">
        <v>5180</v>
      </c>
      <c r="G2339">
        <v>5591</v>
      </c>
      <c r="H2339" t="s">
        <v>5181</v>
      </c>
      <c r="I2339" t="s">
        <v>243</v>
      </c>
      <c r="K2339">
        <v>2534529</v>
      </c>
      <c r="L2339">
        <v>1153591</v>
      </c>
      <c r="M2339">
        <v>418</v>
      </c>
      <c r="N2339" t="s">
        <v>5220</v>
      </c>
    </row>
    <row r="2340" spans="1:14" x14ac:dyDescent="0.25">
      <c r="A2340">
        <v>8515354</v>
      </c>
      <c r="B2340" t="s">
        <v>5221</v>
      </c>
      <c r="C2340" t="s">
        <v>132</v>
      </c>
      <c r="E2340" t="s">
        <v>87</v>
      </c>
      <c r="F2340" t="s">
        <v>5180</v>
      </c>
      <c r="G2340">
        <v>5591</v>
      </c>
      <c r="H2340" t="s">
        <v>5181</v>
      </c>
      <c r="I2340" t="s">
        <v>133</v>
      </c>
      <c r="J2340" t="s">
        <v>130</v>
      </c>
      <c r="K2340">
        <v>2534670.41</v>
      </c>
      <c r="L2340">
        <v>1153906.7080000001</v>
      </c>
      <c r="M2340">
        <v>416.26299999999998</v>
      </c>
      <c r="N2340" t="s">
        <v>5222</v>
      </c>
    </row>
    <row r="2341" spans="1:14" x14ac:dyDescent="0.25">
      <c r="A2341">
        <v>8592218</v>
      </c>
      <c r="B2341" t="s">
        <v>5223</v>
      </c>
      <c r="C2341" t="s">
        <v>242</v>
      </c>
      <c r="D2341" t="s">
        <v>86</v>
      </c>
      <c r="E2341" t="s">
        <v>87</v>
      </c>
      <c r="F2341" t="s">
        <v>5180</v>
      </c>
      <c r="G2341">
        <v>5591</v>
      </c>
      <c r="H2341" t="s">
        <v>5181</v>
      </c>
      <c r="I2341" t="s">
        <v>243</v>
      </c>
      <c r="K2341">
        <v>2534580</v>
      </c>
      <c r="L2341">
        <v>1153738</v>
      </c>
      <c r="M2341">
        <v>414</v>
      </c>
      <c r="N2341" t="s">
        <v>5224</v>
      </c>
    </row>
    <row r="2342" spans="1:14" x14ac:dyDescent="0.25">
      <c r="A2342">
        <v>8511874</v>
      </c>
      <c r="B2342" t="s">
        <v>5225</v>
      </c>
      <c r="C2342" t="s">
        <v>242</v>
      </c>
      <c r="D2342" t="s">
        <v>86</v>
      </c>
      <c r="E2342" t="s">
        <v>87</v>
      </c>
      <c r="F2342" t="s">
        <v>5180</v>
      </c>
      <c r="G2342">
        <v>5591</v>
      </c>
      <c r="H2342" t="s">
        <v>5181</v>
      </c>
      <c r="I2342" t="s">
        <v>243</v>
      </c>
      <c r="K2342">
        <v>2535545.8880699999</v>
      </c>
      <c r="L2342">
        <v>1153842.63803</v>
      </c>
      <c r="M2342">
        <v>453.4</v>
      </c>
      <c r="N2342" t="s">
        <v>5226</v>
      </c>
    </row>
    <row r="2343" spans="1:14" x14ac:dyDescent="0.25">
      <c r="A2343">
        <v>8592203</v>
      </c>
      <c r="B2343" t="s">
        <v>5227</v>
      </c>
      <c r="C2343" t="s">
        <v>242</v>
      </c>
      <c r="D2343" t="s">
        <v>86</v>
      </c>
      <c r="E2343" t="s">
        <v>87</v>
      </c>
      <c r="F2343" t="s">
        <v>5180</v>
      </c>
      <c r="G2343">
        <v>5591</v>
      </c>
      <c r="H2343" t="s">
        <v>5181</v>
      </c>
      <c r="I2343" t="s">
        <v>243</v>
      </c>
      <c r="K2343">
        <v>2534907.9076100001</v>
      </c>
      <c r="L2343">
        <v>1155089.8700000001</v>
      </c>
      <c r="M2343">
        <v>463.1</v>
      </c>
      <c r="N2343" t="s">
        <v>5228</v>
      </c>
    </row>
    <row r="2344" spans="1:14" x14ac:dyDescent="0.25">
      <c r="A2344">
        <v>8592222</v>
      </c>
      <c r="B2344" t="s">
        <v>5229</v>
      </c>
      <c r="C2344" t="s">
        <v>242</v>
      </c>
      <c r="D2344" t="s">
        <v>86</v>
      </c>
      <c r="E2344" t="s">
        <v>87</v>
      </c>
      <c r="F2344" t="s">
        <v>5180</v>
      </c>
      <c r="G2344">
        <v>5591</v>
      </c>
      <c r="H2344" t="s">
        <v>5181</v>
      </c>
      <c r="I2344" t="s">
        <v>243</v>
      </c>
      <c r="K2344">
        <v>2535153.1883</v>
      </c>
      <c r="L2344">
        <v>1154807.45208</v>
      </c>
      <c r="M2344">
        <v>471</v>
      </c>
      <c r="N2344" t="s">
        <v>5230</v>
      </c>
    </row>
    <row r="2345" spans="1:14" x14ac:dyDescent="0.25">
      <c r="A2345">
        <v>8512038</v>
      </c>
      <c r="B2345" t="s">
        <v>5231</v>
      </c>
      <c r="C2345" t="s">
        <v>242</v>
      </c>
      <c r="D2345" t="s">
        <v>86</v>
      </c>
      <c r="E2345" t="s">
        <v>87</v>
      </c>
      <c r="F2345" t="s">
        <v>5180</v>
      </c>
      <c r="G2345">
        <v>5591</v>
      </c>
      <c r="H2345" t="s">
        <v>5181</v>
      </c>
      <c r="I2345" t="s">
        <v>243</v>
      </c>
      <c r="K2345">
        <v>2534925.2325900001</v>
      </c>
      <c r="L2345">
        <v>1154485.06801</v>
      </c>
      <c r="M2345">
        <v>440.3</v>
      </c>
      <c r="N2345" t="s">
        <v>5232</v>
      </c>
    </row>
    <row r="2346" spans="1:14" x14ac:dyDescent="0.25">
      <c r="A2346">
        <v>8512044</v>
      </c>
      <c r="B2346" t="s">
        <v>5233</v>
      </c>
      <c r="C2346" t="s">
        <v>242</v>
      </c>
      <c r="D2346" t="s">
        <v>86</v>
      </c>
      <c r="E2346" t="s">
        <v>87</v>
      </c>
      <c r="F2346" t="s">
        <v>5180</v>
      </c>
      <c r="G2346">
        <v>5591</v>
      </c>
      <c r="H2346" t="s">
        <v>5181</v>
      </c>
      <c r="I2346" t="s">
        <v>243</v>
      </c>
      <c r="K2346">
        <v>2534543.0860799998</v>
      </c>
      <c r="L2346">
        <v>1155186.43848</v>
      </c>
      <c r="M2346">
        <v>454.8</v>
      </c>
      <c r="N2346" t="s">
        <v>5234</v>
      </c>
    </row>
    <row r="2347" spans="1:14" x14ac:dyDescent="0.25">
      <c r="A2347">
        <v>8592211</v>
      </c>
      <c r="B2347" t="s">
        <v>5235</v>
      </c>
      <c r="C2347" t="s">
        <v>242</v>
      </c>
      <c r="D2347" t="s">
        <v>86</v>
      </c>
      <c r="E2347" t="s">
        <v>87</v>
      </c>
      <c r="F2347" t="s">
        <v>5180</v>
      </c>
      <c r="G2347">
        <v>5591</v>
      </c>
      <c r="H2347" t="s">
        <v>5181</v>
      </c>
      <c r="I2347" t="s">
        <v>243</v>
      </c>
      <c r="K2347">
        <v>2535565.3570400001</v>
      </c>
      <c r="L2347">
        <v>1153609.7325800001</v>
      </c>
      <c r="M2347">
        <v>441</v>
      </c>
      <c r="N2347" t="s">
        <v>5236</v>
      </c>
    </row>
    <row r="2348" spans="1:14" x14ac:dyDescent="0.25">
      <c r="A2348">
        <v>8592213</v>
      </c>
      <c r="B2348" t="s">
        <v>5237</v>
      </c>
      <c r="C2348" t="s">
        <v>242</v>
      </c>
      <c r="D2348" t="s">
        <v>2695</v>
      </c>
      <c r="E2348" t="s">
        <v>87</v>
      </c>
      <c r="F2348" t="s">
        <v>5180</v>
      </c>
      <c r="G2348">
        <v>5591</v>
      </c>
      <c r="H2348" t="s">
        <v>5181</v>
      </c>
      <c r="I2348" t="s">
        <v>243</v>
      </c>
      <c r="K2348">
        <v>2534560.9956899998</v>
      </c>
      <c r="L2348">
        <v>1154213.5328200001</v>
      </c>
      <c r="M2348">
        <v>415.7</v>
      </c>
      <c r="N2348" t="s">
        <v>5238</v>
      </c>
    </row>
    <row r="2349" spans="1:14" x14ac:dyDescent="0.25">
      <c r="A2349">
        <v>8592223</v>
      </c>
      <c r="B2349" t="s">
        <v>5239</v>
      </c>
      <c r="C2349" t="s">
        <v>242</v>
      </c>
      <c r="D2349" t="s">
        <v>2695</v>
      </c>
      <c r="E2349" t="s">
        <v>87</v>
      </c>
      <c r="F2349" t="s">
        <v>5180</v>
      </c>
      <c r="G2349">
        <v>5591</v>
      </c>
      <c r="H2349" t="s">
        <v>5181</v>
      </c>
      <c r="I2349" t="s">
        <v>243</v>
      </c>
      <c r="K2349">
        <v>2534952.00599</v>
      </c>
      <c r="L2349">
        <v>1153941.6022999999</v>
      </c>
      <c r="M2349">
        <v>421.4</v>
      </c>
      <c r="N2349" t="s">
        <v>5240</v>
      </c>
    </row>
    <row r="2350" spans="1:14" x14ac:dyDescent="0.25">
      <c r="A2350">
        <v>8592207</v>
      </c>
      <c r="B2350" t="s">
        <v>5241</v>
      </c>
      <c r="C2350" t="s">
        <v>242</v>
      </c>
      <c r="D2350" t="s">
        <v>86</v>
      </c>
      <c r="E2350" t="s">
        <v>87</v>
      </c>
      <c r="F2350" t="s">
        <v>5180</v>
      </c>
      <c r="G2350">
        <v>5591</v>
      </c>
      <c r="H2350" t="s">
        <v>5181</v>
      </c>
      <c r="I2350" t="s">
        <v>243</v>
      </c>
      <c r="K2350">
        <v>2535523.1228</v>
      </c>
      <c r="L2350">
        <v>1154126.7827099999</v>
      </c>
      <c r="M2350">
        <v>460.8</v>
      </c>
      <c r="N2350" t="s">
        <v>5242</v>
      </c>
    </row>
    <row r="2351" spans="1:14" x14ac:dyDescent="0.25">
      <c r="A2351">
        <v>8592210</v>
      </c>
      <c r="B2351" t="s">
        <v>5243</v>
      </c>
      <c r="C2351" t="s">
        <v>242</v>
      </c>
      <c r="D2351" t="s">
        <v>86</v>
      </c>
      <c r="E2351" t="s">
        <v>87</v>
      </c>
      <c r="F2351" t="s">
        <v>5180</v>
      </c>
      <c r="G2351">
        <v>5591</v>
      </c>
      <c r="H2351" t="s">
        <v>5181</v>
      </c>
      <c r="I2351" t="s">
        <v>243</v>
      </c>
      <c r="K2351">
        <v>2535063.9611</v>
      </c>
      <c r="L2351">
        <v>1153246.6636999999</v>
      </c>
      <c r="M2351">
        <v>422.1</v>
      </c>
      <c r="N2351" t="s">
        <v>5244</v>
      </c>
    </row>
    <row r="2352" spans="1:14" x14ac:dyDescent="0.25">
      <c r="A2352">
        <v>8501118</v>
      </c>
      <c r="B2352" t="s">
        <v>5181</v>
      </c>
      <c r="C2352" t="s">
        <v>132</v>
      </c>
      <c r="D2352" t="s">
        <v>112</v>
      </c>
      <c r="E2352" t="s">
        <v>87</v>
      </c>
      <c r="F2352" t="s">
        <v>5180</v>
      </c>
      <c r="G2352">
        <v>5591</v>
      </c>
      <c r="H2352" t="s">
        <v>5181</v>
      </c>
      <c r="I2352" t="s">
        <v>133</v>
      </c>
      <c r="K2352">
        <v>2534050.7880000002</v>
      </c>
      <c r="L2352">
        <v>1154334.469</v>
      </c>
      <c r="M2352">
        <v>415.887</v>
      </c>
      <c r="N2352" t="s">
        <v>5245</v>
      </c>
    </row>
    <row r="2353" spans="1:14" x14ac:dyDescent="0.25">
      <c r="A2353">
        <v>8592202</v>
      </c>
      <c r="B2353" t="s">
        <v>5246</v>
      </c>
      <c r="C2353" t="s">
        <v>242</v>
      </c>
      <c r="D2353" t="s">
        <v>86</v>
      </c>
      <c r="E2353" t="s">
        <v>87</v>
      </c>
      <c r="F2353" t="s">
        <v>5180</v>
      </c>
      <c r="G2353">
        <v>5591</v>
      </c>
      <c r="H2353" t="s">
        <v>5181</v>
      </c>
      <c r="I2353" t="s">
        <v>243</v>
      </c>
      <c r="K2353">
        <v>2534348.3731</v>
      </c>
      <c r="L2353">
        <v>1154498.66053</v>
      </c>
      <c r="M2353">
        <v>420.3</v>
      </c>
      <c r="N2353" t="s">
        <v>5247</v>
      </c>
    </row>
    <row r="2354" spans="1:14" x14ac:dyDescent="0.25">
      <c r="A2354">
        <v>8512036</v>
      </c>
      <c r="B2354" t="s">
        <v>5248</v>
      </c>
      <c r="C2354" t="s">
        <v>242</v>
      </c>
      <c r="D2354" t="s">
        <v>86</v>
      </c>
      <c r="E2354" t="s">
        <v>87</v>
      </c>
      <c r="F2354" t="s">
        <v>5180</v>
      </c>
      <c r="G2354">
        <v>5591</v>
      </c>
      <c r="H2354" t="s">
        <v>5181</v>
      </c>
      <c r="I2354" t="s">
        <v>243</v>
      </c>
      <c r="K2354">
        <v>2534596.4969600001</v>
      </c>
      <c r="L2354">
        <v>1154455.2718499999</v>
      </c>
      <c r="M2354">
        <v>425.4</v>
      </c>
      <c r="N2354" t="s">
        <v>5249</v>
      </c>
    </row>
    <row r="2355" spans="1:14" x14ac:dyDescent="0.25">
      <c r="A2355">
        <v>8512040</v>
      </c>
      <c r="B2355" t="s">
        <v>5250</v>
      </c>
      <c r="C2355" t="s">
        <v>242</v>
      </c>
      <c r="D2355" t="s">
        <v>86</v>
      </c>
      <c r="E2355" t="s">
        <v>87</v>
      </c>
      <c r="F2355" t="s">
        <v>5180</v>
      </c>
      <c r="G2355">
        <v>5591</v>
      </c>
      <c r="H2355" t="s">
        <v>5181</v>
      </c>
      <c r="I2355" t="s">
        <v>243</v>
      </c>
      <c r="K2355">
        <v>2535267.7005599998</v>
      </c>
      <c r="L2355">
        <v>1154072.1599300001</v>
      </c>
      <c r="M2355">
        <v>455.1</v>
      </c>
      <c r="N2355" t="s">
        <v>5251</v>
      </c>
    </row>
    <row r="2356" spans="1:14" x14ac:dyDescent="0.25">
      <c r="A2356">
        <v>8512041</v>
      </c>
      <c r="B2356" t="s">
        <v>5252</v>
      </c>
      <c r="C2356" t="s">
        <v>242</v>
      </c>
      <c r="D2356" t="s">
        <v>86</v>
      </c>
      <c r="E2356" t="s">
        <v>87</v>
      </c>
      <c r="F2356" t="s">
        <v>5180</v>
      </c>
      <c r="G2356">
        <v>5591</v>
      </c>
      <c r="H2356" t="s">
        <v>5181</v>
      </c>
      <c r="I2356" t="s">
        <v>243</v>
      </c>
      <c r="K2356">
        <v>2535367.1673499998</v>
      </c>
      <c r="L2356">
        <v>1154804.3050899999</v>
      </c>
      <c r="M2356">
        <v>479.3</v>
      </c>
      <c r="N2356" t="s">
        <v>5253</v>
      </c>
    </row>
    <row r="2357" spans="1:14" x14ac:dyDescent="0.25">
      <c r="A2357">
        <v>8512043</v>
      </c>
      <c r="B2357" t="s">
        <v>5254</v>
      </c>
      <c r="C2357" t="s">
        <v>242</v>
      </c>
      <c r="D2357" t="s">
        <v>86</v>
      </c>
      <c r="E2357" t="s">
        <v>87</v>
      </c>
      <c r="F2357" t="s">
        <v>5180</v>
      </c>
      <c r="G2357">
        <v>5591</v>
      </c>
      <c r="H2357" t="s">
        <v>5181</v>
      </c>
      <c r="I2357" t="s">
        <v>243</v>
      </c>
      <c r="K2357">
        <v>2534908.87439</v>
      </c>
      <c r="L2357">
        <v>1154893.8218</v>
      </c>
      <c r="M2357">
        <v>457.8</v>
      </c>
      <c r="N2357" t="s">
        <v>5255</v>
      </c>
    </row>
    <row r="2358" spans="1:14" x14ac:dyDescent="0.25">
      <c r="A2358">
        <v>8592217</v>
      </c>
      <c r="B2358" t="s">
        <v>5256</v>
      </c>
      <c r="C2358" t="s">
        <v>242</v>
      </c>
      <c r="D2358" t="s">
        <v>2695</v>
      </c>
      <c r="E2358" t="s">
        <v>87</v>
      </c>
      <c r="F2358" t="s">
        <v>5180</v>
      </c>
      <c r="G2358">
        <v>5591</v>
      </c>
      <c r="H2358" t="s">
        <v>5181</v>
      </c>
      <c r="I2358" t="s">
        <v>243</v>
      </c>
      <c r="K2358">
        <v>2535429.5115399999</v>
      </c>
      <c r="L2358">
        <v>1153581.1439100001</v>
      </c>
      <c r="M2358">
        <v>435.5</v>
      </c>
      <c r="N2358" t="s">
        <v>5257</v>
      </c>
    </row>
    <row r="2359" spans="1:14" x14ac:dyDescent="0.25">
      <c r="A2359">
        <v>8592204</v>
      </c>
      <c r="B2359" t="s">
        <v>5258</v>
      </c>
      <c r="C2359" t="s">
        <v>242</v>
      </c>
      <c r="D2359" t="s">
        <v>86</v>
      </c>
      <c r="E2359" t="s">
        <v>87</v>
      </c>
      <c r="F2359" t="s">
        <v>5180</v>
      </c>
      <c r="G2359">
        <v>5591</v>
      </c>
      <c r="H2359" t="s">
        <v>5181</v>
      </c>
      <c r="I2359" t="s">
        <v>243</v>
      </c>
      <c r="K2359">
        <v>2534528.3988999999</v>
      </c>
      <c r="L2359">
        <v>1155328.8575800001</v>
      </c>
      <c r="M2359">
        <v>458.9</v>
      </c>
      <c r="N2359" t="s">
        <v>5259</v>
      </c>
    </row>
    <row r="2360" spans="1:14" x14ac:dyDescent="0.25">
      <c r="A2360">
        <v>8512039</v>
      </c>
      <c r="B2360" t="s">
        <v>5260</v>
      </c>
      <c r="C2360" t="s">
        <v>242</v>
      </c>
      <c r="D2360" t="s">
        <v>86</v>
      </c>
      <c r="E2360" t="s">
        <v>87</v>
      </c>
      <c r="F2360" t="s">
        <v>5180</v>
      </c>
      <c r="G2360">
        <v>5591</v>
      </c>
      <c r="H2360" t="s">
        <v>5181</v>
      </c>
      <c r="I2360" t="s">
        <v>243</v>
      </c>
      <c r="K2360">
        <v>2535044.1971399998</v>
      </c>
      <c r="L2360">
        <v>1154218.2713200001</v>
      </c>
      <c r="M2360">
        <v>439.9</v>
      </c>
      <c r="N2360" t="s">
        <v>5261</v>
      </c>
    </row>
    <row r="2361" spans="1:14" x14ac:dyDescent="0.25">
      <c r="A2361">
        <v>8512042</v>
      </c>
      <c r="B2361" t="s">
        <v>5262</v>
      </c>
      <c r="C2361" t="s">
        <v>242</v>
      </c>
      <c r="D2361" t="s">
        <v>86</v>
      </c>
      <c r="E2361" t="s">
        <v>87</v>
      </c>
      <c r="F2361" t="s">
        <v>5180</v>
      </c>
      <c r="G2361">
        <v>5591</v>
      </c>
      <c r="H2361" t="s">
        <v>5181</v>
      </c>
      <c r="I2361" t="s">
        <v>243</v>
      </c>
      <c r="K2361">
        <v>2535208.7076900001</v>
      </c>
      <c r="L2361">
        <v>1155003.7792700001</v>
      </c>
      <c r="M2361">
        <v>480.1</v>
      </c>
      <c r="N2361" t="s">
        <v>5263</v>
      </c>
    </row>
    <row r="2362" spans="1:14" x14ac:dyDescent="0.25">
      <c r="A2362">
        <v>8570583</v>
      </c>
      <c r="B2362" t="s">
        <v>5264</v>
      </c>
      <c r="C2362" t="s">
        <v>101</v>
      </c>
      <c r="D2362" t="s">
        <v>86</v>
      </c>
      <c r="E2362" t="s">
        <v>87</v>
      </c>
      <c r="F2362" t="s">
        <v>5265</v>
      </c>
      <c r="G2362">
        <v>5412</v>
      </c>
      <c r="H2362" t="s">
        <v>5265</v>
      </c>
      <c r="I2362" t="s">
        <v>103</v>
      </c>
      <c r="K2362">
        <v>2560281</v>
      </c>
      <c r="L2362">
        <v>1137076</v>
      </c>
      <c r="M2362">
        <v>374</v>
      </c>
      <c r="N2362" t="s">
        <v>5266</v>
      </c>
    </row>
    <row r="2363" spans="1:14" x14ac:dyDescent="0.25">
      <c r="A2363">
        <v>8570585</v>
      </c>
      <c r="B2363" t="s">
        <v>5267</v>
      </c>
      <c r="C2363" t="s">
        <v>94</v>
      </c>
      <c r="D2363" t="s">
        <v>86</v>
      </c>
      <c r="E2363" t="s">
        <v>87</v>
      </c>
      <c r="F2363" t="s">
        <v>5265</v>
      </c>
      <c r="G2363">
        <v>5412</v>
      </c>
      <c r="H2363" t="s">
        <v>5265</v>
      </c>
      <c r="I2363" t="s">
        <v>96</v>
      </c>
      <c r="K2363">
        <v>2559994</v>
      </c>
      <c r="L2363">
        <v>1136344</v>
      </c>
      <c r="M2363">
        <v>378</v>
      </c>
      <c r="N2363" t="s">
        <v>5268</v>
      </c>
    </row>
    <row r="2364" spans="1:14" x14ac:dyDescent="0.25">
      <c r="A2364">
        <v>8570584</v>
      </c>
      <c r="B2364" t="s">
        <v>5269</v>
      </c>
      <c r="C2364" t="s">
        <v>94</v>
      </c>
      <c r="D2364" t="s">
        <v>86</v>
      </c>
      <c r="E2364" t="s">
        <v>87</v>
      </c>
      <c r="F2364" t="s">
        <v>5265</v>
      </c>
      <c r="G2364">
        <v>5412</v>
      </c>
      <c r="H2364" t="s">
        <v>5265</v>
      </c>
      <c r="I2364" t="s">
        <v>96</v>
      </c>
      <c r="J2364" t="s">
        <v>5270</v>
      </c>
      <c r="K2364">
        <v>2560027</v>
      </c>
      <c r="L2364">
        <v>1136572</v>
      </c>
      <c r="M2364">
        <v>378</v>
      </c>
      <c r="N2364" t="s">
        <v>5271</v>
      </c>
    </row>
    <row r="2365" spans="1:14" x14ac:dyDescent="0.25">
      <c r="A2365">
        <v>8519694</v>
      </c>
      <c r="B2365" t="s">
        <v>5272</v>
      </c>
      <c r="C2365" t="s">
        <v>132</v>
      </c>
      <c r="E2365" t="s">
        <v>87</v>
      </c>
      <c r="F2365" t="s">
        <v>5273</v>
      </c>
      <c r="G2365">
        <v>5609</v>
      </c>
      <c r="H2365" t="s">
        <v>5273</v>
      </c>
      <c r="I2365" t="s">
        <v>133</v>
      </c>
      <c r="J2365" t="s">
        <v>130</v>
      </c>
      <c r="K2365">
        <v>2549313.7544999998</v>
      </c>
      <c r="L2365">
        <v>1147214.4678</v>
      </c>
      <c r="M2365">
        <v>376.83699999999999</v>
      </c>
      <c r="N2365" t="s">
        <v>5274</v>
      </c>
    </row>
    <row r="2366" spans="1:14" x14ac:dyDescent="0.25">
      <c r="A2366">
        <v>8510136</v>
      </c>
      <c r="B2366" t="s">
        <v>5275</v>
      </c>
      <c r="C2366" t="s">
        <v>297</v>
      </c>
      <c r="D2366" t="s">
        <v>86</v>
      </c>
      <c r="E2366" t="s">
        <v>87</v>
      </c>
      <c r="F2366" t="s">
        <v>5273</v>
      </c>
      <c r="G2366">
        <v>5609</v>
      </c>
      <c r="H2366" t="s">
        <v>5273</v>
      </c>
      <c r="I2366" t="s">
        <v>298</v>
      </c>
      <c r="K2366">
        <v>2549682</v>
      </c>
      <c r="L2366">
        <v>1147190</v>
      </c>
      <c r="M2366">
        <v>384.2</v>
      </c>
      <c r="N2366" t="s">
        <v>5276</v>
      </c>
    </row>
    <row r="2367" spans="1:14" x14ac:dyDescent="0.25">
      <c r="A2367">
        <v>8501126</v>
      </c>
      <c r="B2367" t="s">
        <v>5273</v>
      </c>
      <c r="C2367" t="s">
        <v>132</v>
      </c>
      <c r="D2367" t="s">
        <v>112</v>
      </c>
      <c r="E2367" t="s">
        <v>87</v>
      </c>
      <c r="F2367" t="s">
        <v>5273</v>
      </c>
      <c r="G2367">
        <v>5609</v>
      </c>
      <c r="H2367" t="s">
        <v>5273</v>
      </c>
      <c r="I2367" t="s">
        <v>133</v>
      </c>
      <c r="K2367">
        <v>2549768.4679999999</v>
      </c>
      <c r="L2367">
        <v>1147197.172</v>
      </c>
      <c r="M2367">
        <v>377.04</v>
      </c>
      <c r="N2367" t="s">
        <v>5277</v>
      </c>
    </row>
    <row r="2368" spans="1:14" x14ac:dyDescent="0.25">
      <c r="A2368">
        <v>8501243</v>
      </c>
      <c r="B2368" t="s">
        <v>5278</v>
      </c>
      <c r="C2368" t="s">
        <v>778</v>
      </c>
      <c r="D2368" t="s">
        <v>302</v>
      </c>
      <c r="E2368" t="s">
        <v>87</v>
      </c>
      <c r="F2368" t="s">
        <v>5273</v>
      </c>
      <c r="G2368">
        <v>5609</v>
      </c>
      <c r="H2368" t="s">
        <v>5273</v>
      </c>
      <c r="I2368" t="s">
        <v>780</v>
      </c>
      <c r="K2368">
        <v>2549730.2319299998</v>
      </c>
      <c r="L2368">
        <v>1147134.3985900001</v>
      </c>
      <c r="M2368">
        <v>375</v>
      </c>
      <c r="N2368" t="s">
        <v>5279</v>
      </c>
    </row>
    <row r="2369" spans="1:14" x14ac:dyDescent="0.25">
      <c r="A2369">
        <v>8591822</v>
      </c>
      <c r="B2369" t="s">
        <v>5280</v>
      </c>
      <c r="C2369" t="s">
        <v>101</v>
      </c>
      <c r="D2369" t="s">
        <v>86</v>
      </c>
      <c r="E2369" t="s">
        <v>87</v>
      </c>
      <c r="F2369" t="s">
        <v>5281</v>
      </c>
      <c r="G2369">
        <v>5413</v>
      </c>
      <c r="H2369" t="s">
        <v>5282</v>
      </c>
      <c r="I2369" t="s">
        <v>103</v>
      </c>
      <c r="K2369">
        <v>2560992</v>
      </c>
      <c r="L2369">
        <v>1134117</v>
      </c>
      <c r="M2369">
        <v>380</v>
      </c>
      <c r="N2369" t="s">
        <v>5283</v>
      </c>
    </row>
    <row r="2370" spans="1:14" x14ac:dyDescent="0.25">
      <c r="A2370">
        <v>8501304</v>
      </c>
      <c r="B2370" t="s">
        <v>5282</v>
      </c>
      <c r="C2370" t="s">
        <v>132</v>
      </c>
      <c r="D2370" t="s">
        <v>112</v>
      </c>
      <c r="E2370" t="s">
        <v>87</v>
      </c>
      <c r="F2370" t="s">
        <v>5281</v>
      </c>
      <c r="G2370">
        <v>5413</v>
      </c>
      <c r="H2370" t="s">
        <v>5282</v>
      </c>
      <c r="I2370" t="s">
        <v>133</v>
      </c>
      <c r="K2370">
        <v>2560625.287</v>
      </c>
      <c r="L2370">
        <v>1134275.142</v>
      </c>
      <c r="M2370">
        <v>379.61700000000002</v>
      </c>
      <c r="N2370" t="s">
        <v>5284</v>
      </c>
    </row>
    <row r="2371" spans="1:14" x14ac:dyDescent="0.25">
      <c r="A2371">
        <v>8591823</v>
      </c>
      <c r="B2371" t="s">
        <v>5285</v>
      </c>
      <c r="C2371" t="s">
        <v>101</v>
      </c>
      <c r="D2371" t="s">
        <v>86</v>
      </c>
      <c r="E2371" t="s">
        <v>87</v>
      </c>
      <c r="F2371" t="s">
        <v>5281</v>
      </c>
      <c r="G2371">
        <v>5413</v>
      </c>
      <c r="H2371" t="s">
        <v>5282</v>
      </c>
      <c r="I2371" t="s">
        <v>103</v>
      </c>
      <c r="K2371">
        <v>2561080</v>
      </c>
      <c r="L2371">
        <v>1133673</v>
      </c>
      <c r="M2371">
        <v>382</v>
      </c>
      <c r="N2371" t="s">
        <v>5286</v>
      </c>
    </row>
    <row r="2372" spans="1:14" x14ac:dyDescent="0.25">
      <c r="A2372">
        <v>8591820</v>
      </c>
      <c r="B2372" t="s">
        <v>5287</v>
      </c>
      <c r="C2372" t="s">
        <v>101</v>
      </c>
      <c r="D2372" t="s">
        <v>86</v>
      </c>
      <c r="E2372" t="s">
        <v>87</v>
      </c>
      <c r="F2372" t="s">
        <v>5281</v>
      </c>
      <c r="G2372">
        <v>5413</v>
      </c>
      <c r="H2372" t="s">
        <v>5282</v>
      </c>
      <c r="I2372" t="s">
        <v>103</v>
      </c>
      <c r="K2372">
        <v>2560797</v>
      </c>
      <c r="L2372">
        <v>1134530</v>
      </c>
      <c r="M2372">
        <v>384</v>
      </c>
      <c r="N2372" t="s">
        <v>5288</v>
      </c>
    </row>
    <row r="2373" spans="1:14" x14ac:dyDescent="0.25">
      <c r="A2373">
        <v>8501320</v>
      </c>
      <c r="B2373" t="s">
        <v>5289</v>
      </c>
      <c r="C2373" t="s">
        <v>778</v>
      </c>
      <c r="D2373" t="s">
        <v>302</v>
      </c>
      <c r="E2373" t="s">
        <v>87</v>
      </c>
      <c r="F2373" t="s">
        <v>5290</v>
      </c>
      <c r="G2373">
        <v>5861</v>
      </c>
      <c r="H2373" t="s">
        <v>5290</v>
      </c>
      <c r="I2373" t="s">
        <v>780</v>
      </c>
      <c r="K2373">
        <v>2515386</v>
      </c>
      <c r="L2373">
        <v>1145446</v>
      </c>
      <c r="M2373">
        <v>373</v>
      </c>
      <c r="N2373" t="s">
        <v>5291</v>
      </c>
    </row>
    <row r="2374" spans="1:14" x14ac:dyDescent="0.25">
      <c r="A2374">
        <v>8582688</v>
      </c>
      <c r="B2374" t="s">
        <v>5292</v>
      </c>
      <c r="C2374" t="s">
        <v>94</v>
      </c>
      <c r="D2374" t="s">
        <v>86</v>
      </c>
      <c r="E2374" t="s">
        <v>87</v>
      </c>
      <c r="F2374" t="s">
        <v>5290</v>
      </c>
      <c r="G2374">
        <v>5861</v>
      </c>
      <c r="H2374" t="s">
        <v>5290</v>
      </c>
      <c r="I2374" t="s">
        <v>96</v>
      </c>
      <c r="J2374" t="s">
        <v>277</v>
      </c>
      <c r="K2374">
        <v>2515056</v>
      </c>
      <c r="L2374">
        <v>1145981</v>
      </c>
      <c r="M2374">
        <v>397</v>
      </c>
      <c r="N2374" t="s">
        <v>5293</v>
      </c>
    </row>
    <row r="2375" spans="1:14" x14ac:dyDescent="0.25">
      <c r="A2375">
        <v>8582696</v>
      </c>
      <c r="B2375" t="s">
        <v>5294</v>
      </c>
      <c r="C2375" t="s">
        <v>94</v>
      </c>
      <c r="D2375" t="s">
        <v>86</v>
      </c>
      <c r="E2375" t="s">
        <v>87</v>
      </c>
      <c r="F2375" t="s">
        <v>5290</v>
      </c>
      <c r="G2375">
        <v>5861</v>
      </c>
      <c r="H2375" t="s">
        <v>5290</v>
      </c>
      <c r="I2375" t="s">
        <v>96</v>
      </c>
      <c r="K2375">
        <v>2515867</v>
      </c>
      <c r="L2375">
        <v>1146284</v>
      </c>
      <c r="M2375">
        <v>378</v>
      </c>
      <c r="N2375" t="s">
        <v>5295</v>
      </c>
    </row>
    <row r="2376" spans="1:14" x14ac:dyDescent="0.25">
      <c r="A2376">
        <v>8583530</v>
      </c>
      <c r="B2376" t="s">
        <v>5296</v>
      </c>
      <c r="C2376" t="s">
        <v>94</v>
      </c>
      <c r="D2376" t="s">
        <v>86</v>
      </c>
      <c r="E2376" t="s">
        <v>87</v>
      </c>
      <c r="F2376" t="s">
        <v>5290</v>
      </c>
      <c r="G2376">
        <v>5861</v>
      </c>
      <c r="H2376" t="s">
        <v>5290</v>
      </c>
      <c r="I2376" t="s">
        <v>96</v>
      </c>
      <c r="K2376">
        <v>2514487</v>
      </c>
      <c r="L2376">
        <v>1146364</v>
      </c>
      <c r="M2376">
        <v>424</v>
      </c>
      <c r="N2376" t="s">
        <v>5297</v>
      </c>
    </row>
    <row r="2377" spans="1:14" x14ac:dyDescent="0.25">
      <c r="A2377">
        <v>8570035</v>
      </c>
      <c r="B2377" t="s">
        <v>5298</v>
      </c>
      <c r="C2377" t="s">
        <v>94</v>
      </c>
      <c r="D2377" t="s">
        <v>86</v>
      </c>
      <c r="E2377" t="s">
        <v>87</v>
      </c>
      <c r="F2377" t="s">
        <v>5290</v>
      </c>
      <c r="G2377">
        <v>5861</v>
      </c>
      <c r="H2377" t="s">
        <v>5290</v>
      </c>
      <c r="I2377" t="s">
        <v>96</v>
      </c>
      <c r="K2377">
        <v>2515641</v>
      </c>
      <c r="L2377">
        <v>1146025</v>
      </c>
      <c r="M2377">
        <v>379</v>
      </c>
      <c r="N2377" t="s">
        <v>5299</v>
      </c>
    </row>
    <row r="2378" spans="1:14" x14ac:dyDescent="0.25">
      <c r="A2378">
        <v>8501033</v>
      </c>
      <c r="B2378" t="s">
        <v>5290</v>
      </c>
      <c r="C2378" t="s">
        <v>132</v>
      </c>
      <c r="D2378" t="s">
        <v>112</v>
      </c>
      <c r="E2378" t="s">
        <v>87</v>
      </c>
      <c r="F2378" t="s">
        <v>5290</v>
      </c>
      <c r="G2378">
        <v>5861</v>
      </c>
      <c r="H2378" t="s">
        <v>5290</v>
      </c>
      <c r="I2378" t="s">
        <v>133</v>
      </c>
      <c r="K2378">
        <v>2515330.7200000002</v>
      </c>
      <c r="L2378">
        <v>1146309.0789999999</v>
      </c>
      <c r="M2378">
        <v>402.34899999999999</v>
      </c>
      <c r="N2378" t="s">
        <v>5300</v>
      </c>
    </row>
    <row r="2379" spans="1:14" x14ac:dyDescent="0.25">
      <c r="A2379">
        <v>8570034</v>
      </c>
      <c r="B2379" t="s">
        <v>5301</v>
      </c>
      <c r="C2379" t="s">
        <v>94</v>
      </c>
      <c r="D2379" t="s">
        <v>86</v>
      </c>
      <c r="E2379" t="s">
        <v>87</v>
      </c>
      <c r="F2379" t="s">
        <v>5290</v>
      </c>
      <c r="G2379">
        <v>5861</v>
      </c>
      <c r="H2379" t="s">
        <v>5290</v>
      </c>
      <c r="I2379" t="s">
        <v>96</v>
      </c>
      <c r="K2379">
        <v>2515356</v>
      </c>
      <c r="L2379">
        <v>1146348</v>
      </c>
      <c r="M2379">
        <v>400</v>
      </c>
      <c r="N2379" t="s">
        <v>5302</v>
      </c>
    </row>
    <row r="2380" spans="1:14" x14ac:dyDescent="0.25">
      <c r="A2380">
        <v>8570037</v>
      </c>
      <c r="B2380" t="s">
        <v>5303</v>
      </c>
      <c r="C2380" t="s">
        <v>94</v>
      </c>
      <c r="D2380" t="s">
        <v>86</v>
      </c>
      <c r="E2380" t="s">
        <v>87</v>
      </c>
      <c r="F2380" t="s">
        <v>5290</v>
      </c>
      <c r="G2380">
        <v>5861</v>
      </c>
      <c r="H2380" t="s">
        <v>5290</v>
      </c>
      <c r="I2380" t="s">
        <v>96</v>
      </c>
      <c r="K2380">
        <v>2516132</v>
      </c>
      <c r="L2380">
        <v>1146290</v>
      </c>
      <c r="M2380">
        <v>384</v>
      </c>
      <c r="N2380" t="s">
        <v>5304</v>
      </c>
    </row>
    <row r="2381" spans="1:14" x14ac:dyDescent="0.25">
      <c r="A2381">
        <v>8582690</v>
      </c>
      <c r="B2381" t="s">
        <v>5305</v>
      </c>
      <c r="C2381" t="s">
        <v>94</v>
      </c>
      <c r="D2381" t="s">
        <v>86</v>
      </c>
      <c r="E2381" t="s">
        <v>87</v>
      </c>
      <c r="F2381" t="s">
        <v>5290</v>
      </c>
      <c r="G2381">
        <v>5861</v>
      </c>
      <c r="H2381" t="s">
        <v>5290</v>
      </c>
      <c r="I2381" t="s">
        <v>96</v>
      </c>
      <c r="K2381">
        <v>2514332</v>
      </c>
      <c r="L2381">
        <v>1145751</v>
      </c>
      <c r="M2381">
        <v>421</v>
      </c>
      <c r="N2381" t="s">
        <v>5306</v>
      </c>
    </row>
    <row r="2382" spans="1:14" x14ac:dyDescent="0.25">
      <c r="A2382">
        <v>8582691</v>
      </c>
      <c r="B2382" t="s">
        <v>5307</v>
      </c>
      <c r="C2382" t="s">
        <v>94</v>
      </c>
      <c r="D2382" t="s">
        <v>86</v>
      </c>
      <c r="E2382" t="s">
        <v>87</v>
      </c>
      <c r="F2382" t="s">
        <v>5290</v>
      </c>
      <c r="G2382">
        <v>5861</v>
      </c>
      <c r="H2382" t="s">
        <v>5290</v>
      </c>
      <c r="I2382" t="s">
        <v>96</v>
      </c>
      <c r="K2382">
        <v>2514705</v>
      </c>
      <c r="L2382">
        <v>1145436</v>
      </c>
      <c r="M2382">
        <v>401</v>
      </c>
      <c r="N2382" t="s">
        <v>5308</v>
      </c>
    </row>
    <row r="2383" spans="1:14" x14ac:dyDescent="0.25">
      <c r="A2383">
        <v>8582692</v>
      </c>
      <c r="B2383" t="s">
        <v>5309</v>
      </c>
      <c r="C2383" t="s">
        <v>94</v>
      </c>
      <c r="D2383" t="s">
        <v>86</v>
      </c>
      <c r="E2383" t="s">
        <v>87</v>
      </c>
      <c r="F2383" t="s">
        <v>5290</v>
      </c>
      <c r="G2383">
        <v>5861</v>
      </c>
      <c r="H2383" t="s">
        <v>5290</v>
      </c>
      <c r="I2383" t="s">
        <v>96</v>
      </c>
      <c r="K2383">
        <v>2514905</v>
      </c>
      <c r="L2383">
        <v>1145172</v>
      </c>
      <c r="M2383">
        <v>391</v>
      </c>
      <c r="N2383" t="s">
        <v>5310</v>
      </c>
    </row>
    <row r="2384" spans="1:14" x14ac:dyDescent="0.25">
      <c r="A2384">
        <v>8583501</v>
      </c>
      <c r="B2384" t="s">
        <v>5311</v>
      </c>
      <c r="C2384" t="s">
        <v>94</v>
      </c>
      <c r="D2384" t="s">
        <v>86</v>
      </c>
      <c r="E2384" t="s">
        <v>87</v>
      </c>
      <c r="F2384" t="s">
        <v>5290</v>
      </c>
      <c r="G2384">
        <v>5861</v>
      </c>
      <c r="H2384" t="s">
        <v>5290</v>
      </c>
      <c r="I2384" t="s">
        <v>96</v>
      </c>
      <c r="J2384" t="s">
        <v>1531</v>
      </c>
      <c r="K2384">
        <v>2515352</v>
      </c>
      <c r="L2384">
        <v>1146285</v>
      </c>
      <c r="M2384">
        <v>395</v>
      </c>
      <c r="N2384" t="s">
        <v>5312</v>
      </c>
    </row>
    <row r="2385" spans="1:14" x14ac:dyDescent="0.25">
      <c r="A2385">
        <v>8583464</v>
      </c>
      <c r="B2385" t="s">
        <v>5313</v>
      </c>
      <c r="C2385" t="s">
        <v>94</v>
      </c>
      <c r="D2385" t="s">
        <v>86</v>
      </c>
      <c r="E2385" t="s">
        <v>87</v>
      </c>
      <c r="F2385" t="s">
        <v>5290</v>
      </c>
      <c r="G2385">
        <v>5861</v>
      </c>
      <c r="H2385" t="s">
        <v>5290</v>
      </c>
      <c r="I2385" t="s">
        <v>96</v>
      </c>
      <c r="K2385">
        <v>2515172</v>
      </c>
      <c r="L2385">
        <v>1145918</v>
      </c>
      <c r="M2385">
        <v>391</v>
      </c>
      <c r="N2385" t="s">
        <v>5314</v>
      </c>
    </row>
    <row r="2386" spans="1:14" x14ac:dyDescent="0.25">
      <c r="A2386">
        <v>8583465</v>
      </c>
      <c r="B2386" t="s">
        <v>5315</v>
      </c>
      <c r="C2386" t="s">
        <v>94</v>
      </c>
      <c r="D2386" t="s">
        <v>86</v>
      </c>
      <c r="E2386" t="s">
        <v>87</v>
      </c>
      <c r="F2386" t="s">
        <v>5290</v>
      </c>
      <c r="G2386">
        <v>5861</v>
      </c>
      <c r="H2386" t="s">
        <v>5290</v>
      </c>
      <c r="I2386" t="s">
        <v>96</v>
      </c>
      <c r="K2386">
        <v>2514950</v>
      </c>
      <c r="L2386">
        <v>1145766</v>
      </c>
      <c r="M2386">
        <v>396</v>
      </c>
      <c r="N2386" t="s">
        <v>5316</v>
      </c>
    </row>
    <row r="2387" spans="1:14" x14ac:dyDescent="0.25">
      <c r="A2387">
        <v>8583682</v>
      </c>
      <c r="B2387" t="s">
        <v>5317</v>
      </c>
      <c r="C2387" t="s">
        <v>94</v>
      </c>
      <c r="D2387" t="s">
        <v>86</v>
      </c>
      <c r="E2387" t="s">
        <v>87</v>
      </c>
      <c r="F2387" t="s">
        <v>5290</v>
      </c>
      <c r="G2387">
        <v>5861</v>
      </c>
      <c r="H2387" t="s">
        <v>5290</v>
      </c>
      <c r="I2387" t="s">
        <v>96</v>
      </c>
      <c r="K2387">
        <v>2515456</v>
      </c>
      <c r="L2387">
        <v>1146153</v>
      </c>
      <c r="M2387">
        <v>390</v>
      </c>
      <c r="N2387" t="s">
        <v>5318</v>
      </c>
    </row>
    <row r="2388" spans="1:14" x14ac:dyDescent="0.25">
      <c r="A2388">
        <v>8570055</v>
      </c>
      <c r="B2388" t="s">
        <v>5319</v>
      </c>
      <c r="C2388" t="s">
        <v>94</v>
      </c>
      <c r="D2388" t="s">
        <v>86</v>
      </c>
      <c r="E2388" t="s">
        <v>87</v>
      </c>
      <c r="F2388" t="s">
        <v>5290</v>
      </c>
      <c r="G2388">
        <v>5861</v>
      </c>
      <c r="H2388" t="s">
        <v>5290</v>
      </c>
      <c r="I2388" t="s">
        <v>96</v>
      </c>
      <c r="K2388">
        <v>2514265</v>
      </c>
      <c r="L2388">
        <v>1146137</v>
      </c>
      <c r="M2388">
        <v>436</v>
      </c>
      <c r="N2388" t="s">
        <v>5320</v>
      </c>
    </row>
    <row r="2389" spans="1:14" x14ac:dyDescent="0.25">
      <c r="A2389">
        <v>8583821</v>
      </c>
      <c r="B2389" t="s">
        <v>5321</v>
      </c>
      <c r="C2389" t="s">
        <v>94</v>
      </c>
      <c r="D2389" t="s">
        <v>86</v>
      </c>
      <c r="E2389" t="s">
        <v>87</v>
      </c>
      <c r="F2389" t="s">
        <v>5290</v>
      </c>
      <c r="G2389">
        <v>5861</v>
      </c>
      <c r="H2389" t="s">
        <v>5290</v>
      </c>
      <c r="I2389" t="s">
        <v>96</v>
      </c>
      <c r="K2389">
        <v>2515467</v>
      </c>
      <c r="L2389">
        <v>1145750</v>
      </c>
      <c r="M2389">
        <v>376</v>
      </c>
      <c r="N2389" t="s">
        <v>5322</v>
      </c>
    </row>
    <row r="2390" spans="1:14" x14ac:dyDescent="0.25">
      <c r="A2390">
        <v>8570148</v>
      </c>
      <c r="B2390" t="s">
        <v>5323</v>
      </c>
      <c r="C2390" t="s">
        <v>94</v>
      </c>
      <c r="D2390" t="s">
        <v>86</v>
      </c>
      <c r="E2390" t="s">
        <v>87</v>
      </c>
      <c r="F2390" t="s">
        <v>5324</v>
      </c>
      <c r="G2390">
        <v>5761</v>
      </c>
      <c r="H2390" t="s">
        <v>5325</v>
      </c>
      <c r="I2390" t="s">
        <v>96</v>
      </c>
      <c r="K2390">
        <v>2526509.94233</v>
      </c>
      <c r="L2390">
        <v>1172166.6211099999</v>
      </c>
      <c r="M2390">
        <v>642</v>
      </c>
      <c r="N2390" t="s">
        <v>5326</v>
      </c>
    </row>
    <row r="2391" spans="1:14" x14ac:dyDescent="0.25">
      <c r="A2391">
        <v>8570225</v>
      </c>
      <c r="B2391" t="s">
        <v>5327</v>
      </c>
      <c r="C2391" t="s">
        <v>94</v>
      </c>
      <c r="D2391" t="s">
        <v>86</v>
      </c>
      <c r="E2391" t="s">
        <v>87</v>
      </c>
      <c r="F2391" t="s">
        <v>5324</v>
      </c>
      <c r="G2391">
        <v>5761</v>
      </c>
      <c r="H2391" t="s">
        <v>5325</v>
      </c>
      <c r="I2391" t="s">
        <v>96</v>
      </c>
      <c r="K2391">
        <v>2525375</v>
      </c>
      <c r="L2391">
        <v>1171850</v>
      </c>
      <c r="M2391">
        <v>675</v>
      </c>
      <c r="N2391" t="s">
        <v>5328</v>
      </c>
    </row>
    <row r="2392" spans="1:14" x14ac:dyDescent="0.25">
      <c r="A2392">
        <v>8570149</v>
      </c>
      <c r="B2392" t="s">
        <v>5329</v>
      </c>
      <c r="C2392" t="s">
        <v>94</v>
      </c>
      <c r="D2392" t="s">
        <v>86</v>
      </c>
      <c r="E2392" t="s">
        <v>87</v>
      </c>
      <c r="F2392" t="s">
        <v>5324</v>
      </c>
      <c r="G2392">
        <v>5761</v>
      </c>
      <c r="H2392" t="s">
        <v>5325</v>
      </c>
      <c r="I2392" t="s">
        <v>96</v>
      </c>
      <c r="K2392">
        <v>2525180</v>
      </c>
      <c r="L2392">
        <v>1171830</v>
      </c>
      <c r="M2392">
        <v>663</v>
      </c>
      <c r="N2392" t="s">
        <v>5330</v>
      </c>
    </row>
    <row r="2393" spans="1:14" x14ac:dyDescent="0.25">
      <c r="A2393">
        <v>8570226</v>
      </c>
      <c r="B2393" t="s">
        <v>5331</v>
      </c>
      <c r="C2393" t="s">
        <v>94</v>
      </c>
      <c r="D2393" t="s">
        <v>86</v>
      </c>
      <c r="E2393" t="s">
        <v>87</v>
      </c>
      <c r="F2393" t="s">
        <v>5324</v>
      </c>
      <c r="G2393">
        <v>5761</v>
      </c>
      <c r="H2393" t="s">
        <v>5325</v>
      </c>
      <c r="I2393" t="s">
        <v>96</v>
      </c>
      <c r="K2393">
        <v>2524923</v>
      </c>
      <c r="L2393">
        <v>1172115</v>
      </c>
      <c r="M2393">
        <v>697</v>
      </c>
      <c r="N2393" t="s">
        <v>5332</v>
      </c>
    </row>
    <row r="2394" spans="1:14" x14ac:dyDescent="0.25">
      <c r="A2394">
        <v>8501106</v>
      </c>
      <c r="B2394" t="s">
        <v>5333</v>
      </c>
      <c r="C2394" t="s">
        <v>132</v>
      </c>
      <c r="D2394" t="s">
        <v>112</v>
      </c>
      <c r="E2394" t="s">
        <v>87</v>
      </c>
      <c r="F2394" t="s">
        <v>5324</v>
      </c>
      <c r="G2394">
        <v>5761</v>
      </c>
      <c r="H2394" t="s">
        <v>5325</v>
      </c>
      <c r="I2394" t="s">
        <v>133</v>
      </c>
      <c r="K2394">
        <v>2526534.8369999998</v>
      </c>
      <c r="L2394">
        <v>1172172.885</v>
      </c>
      <c r="M2394">
        <v>641.76</v>
      </c>
      <c r="N2394" t="s">
        <v>5334</v>
      </c>
    </row>
    <row r="2395" spans="1:14" x14ac:dyDescent="0.25">
      <c r="A2395">
        <v>8504657</v>
      </c>
      <c r="B2395" t="s">
        <v>5335</v>
      </c>
      <c r="C2395" t="s">
        <v>94</v>
      </c>
      <c r="D2395" t="s">
        <v>86</v>
      </c>
      <c r="E2395" t="s">
        <v>87</v>
      </c>
      <c r="F2395" t="s">
        <v>5324</v>
      </c>
      <c r="G2395">
        <v>5761</v>
      </c>
      <c r="H2395" t="s">
        <v>5325</v>
      </c>
      <c r="I2395" t="s">
        <v>96</v>
      </c>
      <c r="K2395">
        <v>2525195</v>
      </c>
      <c r="L2395">
        <v>1171946</v>
      </c>
      <c r="M2395">
        <v>684</v>
      </c>
      <c r="N2395" t="s">
        <v>5336</v>
      </c>
    </row>
    <row r="2396" spans="1:14" x14ac:dyDescent="0.25">
      <c r="A2396">
        <v>8501166</v>
      </c>
      <c r="B2396" t="s">
        <v>2592</v>
      </c>
      <c r="C2396" t="s">
        <v>238</v>
      </c>
      <c r="D2396" t="s">
        <v>112</v>
      </c>
      <c r="E2396" t="s">
        <v>87</v>
      </c>
      <c r="F2396" t="s">
        <v>2592</v>
      </c>
      <c r="G2396">
        <v>5592</v>
      </c>
      <c r="H2396" t="s">
        <v>2592</v>
      </c>
      <c r="I2396" t="s">
        <v>239</v>
      </c>
      <c r="K2396">
        <v>2535939.9479999999</v>
      </c>
      <c r="L2396">
        <v>1157140.855</v>
      </c>
      <c r="M2396">
        <v>588.29999999999995</v>
      </c>
      <c r="N2396" t="s">
        <v>5337</v>
      </c>
    </row>
    <row r="2397" spans="1:14" x14ac:dyDescent="0.25">
      <c r="A2397">
        <v>8507628</v>
      </c>
      <c r="B2397" t="s">
        <v>5338</v>
      </c>
      <c r="C2397" t="s">
        <v>242</v>
      </c>
      <c r="D2397" t="s">
        <v>86</v>
      </c>
      <c r="E2397" t="s">
        <v>87</v>
      </c>
      <c r="F2397" t="s">
        <v>2592</v>
      </c>
      <c r="G2397">
        <v>5592</v>
      </c>
      <c r="H2397" t="s">
        <v>2592</v>
      </c>
      <c r="I2397" t="s">
        <v>243</v>
      </c>
      <c r="K2397">
        <v>2535990</v>
      </c>
      <c r="L2397">
        <v>1157166</v>
      </c>
      <c r="M2397">
        <v>591.9</v>
      </c>
      <c r="N2397" t="s">
        <v>5339</v>
      </c>
    </row>
    <row r="2398" spans="1:14" x14ac:dyDescent="0.25">
      <c r="A2398">
        <v>8506417</v>
      </c>
      <c r="B2398" t="s">
        <v>5340</v>
      </c>
      <c r="C2398" t="s">
        <v>85</v>
      </c>
      <c r="D2398" t="s">
        <v>86</v>
      </c>
      <c r="E2398" t="s">
        <v>87</v>
      </c>
      <c r="F2398" t="s">
        <v>5341</v>
      </c>
      <c r="G2398">
        <v>5645</v>
      </c>
      <c r="H2398" t="s">
        <v>5341</v>
      </c>
      <c r="I2398" t="s">
        <v>89</v>
      </c>
      <c r="K2398">
        <v>2529703.32987</v>
      </c>
      <c r="L2398">
        <v>1157213.8019699999</v>
      </c>
      <c r="M2398">
        <v>417.6</v>
      </c>
      <c r="N2398" t="s">
        <v>5342</v>
      </c>
    </row>
    <row r="2399" spans="1:14" x14ac:dyDescent="0.25">
      <c r="A2399">
        <v>8581054</v>
      </c>
      <c r="B2399" t="s">
        <v>5343</v>
      </c>
      <c r="C2399" t="s">
        <v>85</v>
      </c>
      <c r="D2399" t="s">
        <v>86</v>
      </c>
      <c r="E2399" t="s">
        <v>87</v>
      </c>
      <c r="F2399" t="s">
        <v>5341</v>
      </c>
      <c r="G2399">
        <v>5645</v>
      </c>
      <c r="H2399" t="s">
        <v>5341</v>
      </c>
      <c r="I2399" t="s">
        <v>89</v>
      </c>
      <c r="K2399">
        <v>2528955.2927700002</v>
      </c>
      <c r="L2399">
        <v>1155959.18658</v>
      </c>
      <c r="M2399">
        <v>436.1</v>
      </c>
      <c r="N2399" t="s">
        <v>5344</v>
      </c>
    </row>
    <row r="2400" spans="1:14" x14ac:dyDescent="0.25">
      <c r="A2400">
        <v>8504656</v>
      </c>
      <c r="B2400" t="s">
        <v>5345</v>
      </c>
      <c r="C2400" t="s">
        <v>85</v>
      </c>
      <c r="D2400" t="s">
        <v>86</v>
      </c>
      <c r="E2400" t="s">
        <v>87</v>
      </c>
      <c r="F2400" t="s">
        <v>5341</v>
      </c>
      <c r="G2400">
        <v>5645</v>
      </c>
      <c r="H2400" t="s">
        <v>5341</v>
      </c>
      <c r="I2400" t="s">
        <v>89</v>
      </c>
      <c r="K2400">
        <v>2528866.2729600002</v>
      </c>
      <c r="L2400">
        <v>1156463.6047499999</v>
      </c>
      <c r="M2400">
        <v>452.9</v>
      </c>
      <c r="N2400" t="s">
        <v>5346</v>
      </c>
    </row>
    <row r="2401" spans="1:14" x14ac:dyDescent="0.25">
      <c r="A2401">
        <v>8592224</v>
      </c>
      <c r="B2401" t="s">
        <v>5347</v>
      </c>
      <c r="C2401" t="s">
        <v>94</v>
      </c>
      <c r="D2401" t="s">
        <v>86</v>
      </c>
      <c r="E2401" t="s">
        <v>87</v>
      </c>
      <c r="F2401" t="s">
        <v>5348</v>
      </c>
      <c r="G2401">
        <v>5798</v>
      </c>
      <c r="H2401" t="s">
        <v>5348</v>
      </c>
      <c r="I2401" t="s">
        <v>96</v>
      </c>
      <c r="K2401">
        <v>2546855</v>
      </c>
      <c r="L2401">
        <v>1160216</v>
      </c>
      <c r="M2401">
        <v>783</v>
      </c>
      <c r="N2401" t="s">
        <v>5349</v>
      </c>
    </row>
    <row r="2402" spans="1:14" x14ac:dyDescent="0.25">
      <c r="A2402">
        <v>8591905</v>
      </c>
      <c r="B2402" t="s">
        <v>5350</v>
      </c>
      <c r="C2402" t="s">
        <v>94</v>
      </c>
      <c r="D2402" t="s">
        <v>86</v>
      </c>
      <c r="E2402" t="s">
        <v>87</v>
      </c>
      <c r="F2402" t="s">
        <v>5348</v>
      </c>
      <c r="G2402">
        <v>5798</v>
      </c>
      <c r="H2402" t="s">
        <v>5348</v>
      </c>
      <c r="I2402" t="s">
        <v>96</v>
      </c>
      <c r="K2402">
        <v>2547629</v>
      </c>
      <c r="L2402">
        <v>1161327</v>
      </c>
      <c r="M2402">
        <v>721</v>
      </c>
      <c r="N2402" t="s">
        <v>5351</v>
      </c>
    </row>
    <row r="2403" spans="1:14" x14ac:dyDescent="0.25">
      <c r="A2403">
        <v>8570433</v>
      </c>
      <c r="B2403" t="s">
        <v>5352</v>
      </c>
      <c r="C2403" t="s">
        <v>94</v>
      </c>
      <c r="D2403" t="s">
        <v>86</v>
      </c>
      <c r="E2403" t="s">
        <v>87</v>
      </c>
      <c r="F2403" t="s">
        <v>5348</v>
      </c>
      <c r="G2403">
        <v>5798</v>
      </c>
      <c r="H2403" t="s">
        <v>5348</v>
      </c>
      <c r="I2403" t="s">
        <v>96</v>
      </c>
      <c r="K2403">
        <v>2547359</v>
      </c>
      <c r="L2403">
        <v>1162886</v>
      </c>
      <c r="M2403">
        <v>745</v>
      </c>
      <c r="N2403" t="s">
        <v>5353</v>
      </c>
    </row>
    <row r="2404" spans="1:14" x14ac:dyDescent="0.25">
      <c r="A2404">
        <v>8592225</v>
      </c>
      <c r="B2404" t="s">
        <v>5354</v>
      </c>
      <c r="C2404" t="s">
        <v>94</v>
      </c>
      <c r="D2404" t="s">
        <v>86</v>
      </c>
      <c r="E2404" t="s">
        <v>87</v>
      </c>
      <c r="F2404" t="s">
        <v>5348</v>
      </c>
      <c r="G2404">
        <v>5798</v>
      </c>
      <c r="H2404" t="s">
        <v>5348</v>
      </c>
      <c r="I2404" t="s">
        <v>96</v>
      </c>
      <c r="K2404">
        <v>2547305</v>
      </c>
      <c r="L2404">
        <v>1160740</v>
      </c>
      <c r="M2404">
        <v>741</v>
      </c>
      <c r="N2404" t="s">
        <v>5355</v>
      </c>
    </row>
    <row r="2405" spans="1:14" x14ac:dyDescent="0.25">
      <c r="A2405">
        <v>8570343</v>
      </c>
      <c r="B2405" t="s">
        <v>5356</v>
      </c>
      <c r="C2405" t="s">
        <v>94</v>
      </c>
      <c r="D2405" t="s">
        <v>86</v>
      </c>
      <c r="E2405" t="s">
        <v>87</v>
      </c>
      <c r="F2405" t="s">
        <v>5357</v>
      </c>
      <c r="G2405">
        <v>5684</v>
      </c>
      <c r="H2405" t="s">
        <v>5357</v>
      </c>
      <c r="I2405" t="s">
        <v>96</v>
      </c>
      <c r="K2405">
        <v>2549285</v>
      </c>
      <c r="L2405">
        <v>1166980</v>
      </c>
      <c r="M2405">
        <v>663</v>
      </c>
      <c r="N2405" t="s">
        <v>5358</v>
      </c>
    </row>
    <row r="2406" spans="1:14" x14ac:dyDescent="0.25">
      <c r="A2406">
        <v>8501391</v>
      </c>
      <c r="B2406" t="s">
        <v>5359</v>
      </c>
      <c r="C2406" t="s">
        <v>1028</v>
      </c>
      <c r="D2406" t="s">
        <v>112</v>
      </c>
      <c r="E2406" t="s">
        <v>87</v>
      </c>
      <c r="F2406" t="s">
        <v>5360</v>
      </c>
      <c r="G2406">
        <v>5842</v>
      </c>
      <c r="H2406" t="s">
        <v>5359</v>
      </c>
      <c r="I2406" t="s">
        <v>1029</v>
      </c>
      <c r="K2406">
        <v>2569884.3289999999</v>
      </c>
      <c r="L2406">
        <v>1146280.3559999999</v>
      </c>
      <c r="M2406">
        <v>849.7</v>
      </c>
      <c r="N2406" t="s">
        <v>5361</v>
      </c>
    </row>
    <row r="2407" spans="1:14" x14ac:dyDescent="0.25">
      <c r="A2407">
        <v>8501392</v>
      </c>
      <c r="B2407" t="s">
        <v>5360</v>
      </c>
      <c r="C2407" t="s">
        <v>1028</v>
      </c>
      <c r="D2407" t="s">
        <v>112</v>
      </c>
      <c r="E2407" t="s">
        <v>87</v>
      </c>
      <c r="F2407" t="s">
        <v>5360</v>
      </c>
      <c r="G2407">
        <v>5842</v>
      </c>
      <c r="H2407" t="s">
        <v>5360</v>
      </c>
      <c r="I2407" t="s">
        <v>1029</v>
      </c>
      <c r="K2407">
        <v>2572699.8050000002</v>
      </c>
      <c r="L2407">
        <v>1146004.548</v>
      </c>
      <c r="M2407">
        <v>891.3</v>
      </c>
      <c r="N2407" t="s">
        <v>5362</v>
      </c>
    </row>
    <row r="2408" spans="1:14" x14ac:dyDescent="0.25">
      <c r="A2408">
        <v>8511811</v>
      </c>
      <c r="B2408" t="s">
        <v>5363</v>
      </c>
      <c r="C2408" t="s">
        <v>1028</v>
      </c>
      <c r="D2408" t="s">
        <v>86</v>
      </c>
      <c r="E2408" t="s">
        <v>87</v>
      </c>
      <c r="F2408" t="s">
        <v>5360</v>
      </c>
      <c r="G2408">
        <v>5842</v>
      </c>
      <c r="H2408" t="s">
        <v>5360</v>
      </c>
      <c r="I2408" t="s">
        <v>1029</v>
      </c>
      <c r="K2408">
        <v>2572593</v>
      </c>
      <c r="L2408">
        <v>1146285</v>
      </c>
      <c r="M2408">
        <v>920</v>
      </c>
      <c r="N2408" t="s">
        <v>5364</v>
      </c>
    </row>
    <row r="2409" spans="1:14" x14ac:dyDescent="0.25">
      <c r="A2409">
        <v>8501393</v>
      </c>
      <c r="B2409" t="s">
        <v>5365</v>
      </c>
      <c r="C2409" t="s">
        <v>1028</v>
      </c>
      <c r="D2409" t="s">
        <v>112</v>
      </c>
      <c r="E2409" t="s">
        <v>87</v>
      </c>
      <c r="F2409" t="s">
        <v>5360</v>
      </c>
      <c r="G2409">
        <v>5842</v>
      </c>
      <c r="H2409" t="s">
        <v>5360</v>
      </c>
      <c r="I2409" t="s">
        <v>1029</v>
      </c>
      <c r="K2409">
        <v>2573737</v>
      </c>
      <c r="L2409">
        <v>1146138</v>
      </c>
      <c r="M2409">
        <v>887</v>
      </c>
      <c r="N2409" t="s">
        <v>5366</v>
      </c>
    </row>
    <row r="2410" spans="1:14" x14ac:dyDescent="0.25">
      <c r="A2410">
        <v>8511810</v>
      </c>
      <c r="B2410" t="s">
        <v>5367</v>
      </c>
      <c r="C2410" t="s">
        <v>1028</v>
      </c>
      <c r="D2410" t="s">
        <v>86</v>
      </c>
      <c r="E2410" t="s">
        <v>87</v>
      </c>
      <c r="F2410" t="s">
        <v>5360</v>
      </c>
      <c r="G2410">
        <v>5842</v>
      </c>
      <c r="H2410" t="s">
        <v>5359</v>
      </c>
      <c r="I2410" t="s">
        <v>1029</v>
      </c>
      <c r="K2410">
        <v>2570330</v>
      </c>
      <c r="L2410">
        <v>1146576</v>
      </c>
      <c r="M2410">
        <v>865.3</v>
      </c>
      <c r="N2410" t="s">
        <v>5368</v>
      </c>
    </row>
    <row r="2411" spans="1:14" x14ac:dyDescent="0.25">
      <c r="A2411">
        <v>8511812</v>
      </c>
      <c r="B2411" t="s">
        <v>5369</v>
      </c>
      <c r="C2411" t="s">
        <v>1028</v>
      </c>
      <c r="D2411" t="s">
        <v>86</v>
      </c>
      <c r="E2411" t="s">
        <v>87</v>
      </c>
      <c r="F2411" t="s">
        <v>5360</v>
      </c>
      <c r="G2411">
        <v>5842</v>
      </c>
      <c r="H2411" t="s">
        <v>5360</v>
      </c>
      <c r="I2411" t="s">
        <v>1029</v>
      </c>
      <c r="K2411">
        <v>2573738</v>
      </c>
      <c r="L2411">
        <v>1146128</v>
      </c>
      <c r="M2411">
        <v>886.3</v>
      </c>
      <c r="N2411" t="s">
        <v>5370</v>
      </c>
    </row>
    <row r="2412" spans="1:14" x14ac:dyDescent="0.25">
      <c r="A2412">
        <v>8500820</v>
      </c>
      <c r="B2412" t="s">
        <v>5371</v>
      </c>
      <c r="C2412" t="s">
        <v>5372</v>
      </c>
      <c r="E2412" t="s">
        <v>87</v>
      </c>
      <c r="F2412" t="s">
        <v>5373</v>
      </c>
      <c r="G2412">
        <v>5843</v>
      </c>
      <c r="H2412" t="s">
        <v>5373</v>
      </c>
      <c r="I2412" t="s">
        <v>5374</v>
      </c>
      <c r="J2412" t="s">
        <v>5375</v>
      </c>
      <c r="K2412">
        <v>2582183</v>
      </c>
      <c r="L2412">
        <v>1145171</v>
      </c>
      <c r="M2412">
        <v>2007</v>
      </c>
      <c r="N2412" t="s">
        <v>5376</v>
      </c>
    </row>
    <row r="2413" spans="1:14" x14ac:dyDescent="0.25">
      <c r="A2413">
        <v>8501396</v>
      </c>
      <c r="B2413" t="s">
        <v>1053</v>
      </c>
      <c r="C2413" t="s">
        <v>1028</v>
      </c>
      <c r="D2413" t="s">
        <v>112</v>
      </c>
      <c r="E2413" t="s">
        <v>87</v>
      </c>
      <c r="F2413" t="s">
        <v>5373</v>
      </c>
      <c r="G2413">
        <v>5843</v>
      </c>
      <c r="H2413" t="s">
        <v>1053</v>
      </c>
      <c r="I2413" t="s">
        <v>1029</v>
      </c>
      <c r="K2413">
        <v>2580604.8909999998</v>
      </c>
      <c r="L2413">
        <v>1147894.753</v>
      </c>
      <c r="M2413">
        <v>978.6</v>
      </c>
      <c r="N2413" t="s">
        <v>5377</v>
      </c>
    </row>
    <row r="2414" spans="1:14" x14ac:dyDescent="0.25">
      <c r="A2414">
        <v>8501358</v>
      </c>
      <c r="B2414" t="s">
        <v>5378</v>
      </c>
      <c r="C2414" t="s">
        <v>5372</v>
      </c>
      <c r="D2414" t="s">
        <v>1036</v>
      </c>
      <c r="E2414" t="s">
        <v>87</v>
      </c>
      <c r="F2414" t="s">
        <v>5373</v>
      </c>
      <c r="G2414">
        <v>5843</v>
      </c>
      <c r="H2414" t="s">
        <v>5373</v>
      </c>
      <c r="I2414" t="s">
        <v>5374</v>
      </c>
      <c r="J2414" t="s">
        <v>5379</v>
      </c>
      <c r="K2414">
        <v>2582031</v>
      </c>
      <c r="L2414">
        <v>1145432</v>
      </c>
      <c r="M2414">
        <v>2158</v>
      </c>
      <c r="N2414" t="s">
        <v>5380</v>
      </c>
    </row>
    <row r="2415" spans="1:14" x14ac:dyDescent="0.25">
      <c r="A2415">
        <v>8530033</v>
      </c>
      <c r="B2415" t="s">
        <v>5381</v>
      </c>
      <c r="C2415" t="s">
        <v>5372</v>
      </c>
      <c r="D2415" t="s">
        <v>692</v>
      </c>
      <c r="E2415" t="s">
        <v>87</v>
      </c>
      <c r="F2415" t="s">
        <v>5373</v>
      </c>
      <c r="G2415">
        <v>5843</v>
      </c>
      <c r="H2415" t="s">
        <v>5373</v>
      </c>
      <c r="I2415" t="s">
        <v>5374</v>
      </c>
      <c r="J2415" t="s">
        <v>5382</v>
      </c>
      <c r="K2415">
        <v>2582168</v>
      </c>
      <c r="L2415">
        <v>1145117</v>
      </c>
      <c r="M2415">
        <v>2010</v>
      </c>
      <c r="N2415" t="s">
        <v>5383</v>
      </c>
    </row>
    <row r="2416" spans="1:14" x14ac:dyDescent="0.25">
      <c r="A2416">
        <v>8512473</v>
      </c>
      <c r="B2416" t="s">
        <v>5384</v>
      </c>
      <c r="C2416" t="s">
        <v>5385</v>
      </c>
      <c r="D2416" t="s">
        <v>86</v>
      </c>
      <c r="E2416" t="s">
        <v>87</v>
      </c>
      <c r="F2416" t="s">
        <v>5373</v>
      </c>
      <c r="G2416">
        <v>5843</v>
      </c>
      <c r="H2416" t="s">
        <v>5373</v>
      </c>
      <c r="I2416" t="s">
        <v>5386</v>
      </c>
      <c r="K2416">
        <v>2581941.6007500002</v>
      </c>
      <c r="L2416">
        <v>1148595.1625000001</v>
      </c>
      <c r="M2416">
        <v>994.7</v>
      </c>
      <c r="N2416" t="s">
        <v>5387</v>
      </c>
    </row>
    <row r="2417" spans="1:14" x14ac:dyDescent="0.25">
      <c r="A2417">
        <v>8512491</v>
      </c>
      <c r="B2417" t="s">
        <v>5388</v>
      </c>
      <c r="C2417" t="s">
        <v>5385</v>
      </c>
      <c r="D2417" t="s">
        <v>86</v>
      </c>
      <c r="E2417" t="s">
        <v>87</v>
      </c>
      <c r="F2417" t="s">
        <v>5373</v>
      </c>
      <c r="G2417">
        <v>5843</v>
      </c>
      <c r="H2417" t="s">
        <v>5373</v>
      </c>
      <c r="I2417" t="s">
        <v>5386</v>
      </c>
      <c r="K2417">
        <v>2582842.98318</v>
      </c>
      <c r="L2417">
        <v>1148756.6311999999</v>
      </c>
      <c r="M2417">
        <v>1008.8</v>
      </c>
      <c r="N2417" t="s">
        <v>5389</v>
      </c>
    </row>
    <row r="2418" spans="1:14" x14ac:dyDescent="0.25">
      <c r="A2418">
        <v>8510909</v>
      </c>
      <c r="B2418" t="s">
        <v>5390</v>
      </c>
      <c r="C2418" t="s">
        <v>94</v>
      </c>
      <c r="D2418" t="s">
        <v>86</v>
      </c>
      <c r="E2418" t="s">
        <v>87</v>
      </c>
      <c r="F2418" t="s">
        <v>5373</v>
      </c>
      <c r="G2418">
        <v>5843</v>
      </c>
      <c r="H2418" t="s">
        <v>5373</v>
      </c>
      <c r="I2418" t="s">
        <v>96</v>
      </c>
      <c r="K2418">
        <v>2585103</v>
      </c>
      <c r="L2418">
        <v>1153470</v>
      </c>
      <c r="M2418">
        <v>1325</v>
      </c>
      <c r="N2418" t="s">
        <v>5391</v>
      </c>
    </row>
    <row r="2419" spans="1:14" x14ac:dyDescent="0.25">
      <c r="A2419">
        <v>8511916</v>
      </c>
      <c r="B2419" t="s">
        <v>5392</v>
      </c>
      <c r="C2419" t="s">
        <v>1028</v>
      </c>
      <c r="D2419" t="s">
        <v>86</v>
      </c>
      <c r="E2419" t="s">
        <v>87</v>
      </c>
      <c r="F2419" t="s">
        <v>5373</v>
      </c>
      <c r="G2419">
        <v>5843</v>
      </c>
      <c r="H2419" t="s">
        <v>1053</v>
      </c>
      <c r="I2419" t="s">
        <v>1029</v>
      </c>
      <c r="K2419">
        <v>2580643</v>
      </c>
      <c r="L2419">
        <v>1147934</v>
      </c>
      <c r="M2419">
        <v>980.4</v>
      </c>
      <c r="N2419" t="s">
        <v>5393</v>
      </c>
    </row>
    <row r="2420" spans="1:14" x14ac:dyDescent="0.25">
      <c r="A2420">
        <v>8511917</v>
      </c>
      <c r="B2420" t="s">
        <v>5394</v>
      </c>
      <c r="C2420" t="s">
        <v>1028</v>
      </c>
      <c r="D2420" t="s">
        <v>86</v>
      </c>
      <c r="E2420" t="s">
        <v>87</v>
      </c>
      <c r="F2420" t="s">
        <v>5373</v>
      </c>
      <c r="G2420">
        <v>5843</v>
      </c>
      <c r="H2420" t="s">
        <v>5373</v>
      </c>
      <c r="I2420" t="s">
        <v>1029</v>
      </c>
      <c r="K2420">
        <v>2582353</v>
      </c>
      <c r="L2420">
        <v>1148613</v>
      </c>
      <c r="M2420">
        <v>992.3</v>
      </c>
      <c r="N2420" t="s">
        <v>5395</v>
      </c>
    </row>
    <row r="2421" spans="1:14" x14ac:dyDescent="0.25">
      <c r="A2421">
        <v>8512478</v>
      </c>
      <c r="B2421" t="s">
        <v>5396</v>
      </c>
      <c r="C2421" t="s">
        <v>5385</v>
      </c>
      <c r="D2421" t="s">
        <v>86</v>
      </c>
      <c r="E2421" t="s">
        <v>87</v>
      </c>
      <c r="F2421" t="s">
        <v>5373</v>
      </c>
      <c r="G2421">
        <v>5843</v>
      </c>
      <c r="H2421" t="s">
        <v>5373</v>
      </c>
      <c r="I2421" t="s">
        <v>5386</v>
      </c>
      <c r="K2421">
        <v>2582346.5288300002</v>
      </c>
      <c r="L2421">
        <v>1148314.7599899999</v>
      </c>
      <c r="M2421">
        <v>967.4</v>
      </c>
      <c r="N2421" t="s">
        <v>5397</v>
      </c>
    </row>
    <row r="2422" spans="1:14" x14ac:dyDescent="0.25">
      <c r="A2422">
        <v>8530032</v>
      </c>
      <c r="B2422" t="s">
        <v>5398</v>
      </c>
      <c r="C2422" t="s">
        <v>5372</v>
      </c>
      <c r="D2422" t="s">
        <v>1036</v>
      </c>
      <c r="E2422" t="s">
        <v>87</v>
      </c>
      <c r="F2422" t="s">
        <v>5373</v>
      </c>
      <c r="G2422">
        <v>5843</v>
      </c>
      <c r="H2422" t="s">
        <v>5373</v>
      </c>
      <c r="I2422" t="s">
        <v>5374</v>
      </c>
      <c r="J2422" t="s">
        <v>5399</v>
      </c>
      <c r="K2422">
        <v>2582328</v>
      </c>
      <c r="L2422">
        <v>1148291</v>
      </c>
      <c r="M2422">
        <v>971</v>
      </c>
      <c r="N2422" t="s">
        <v>5400</v>
      </c>
    </row>
    <row r="2423" spans="1:14" x14ac:dyDescent="0.25">
      <c r="A2423">
        <v>8500841</v>
      </c>
      <c r="B2423" t="s">
        <v>5401</v>
      </c>
      <c r="C2423" t="s">
        <v>5372</v>
      </c>
      <c r="E2423" t="s">
        <v>87</v>
      </c>
      <c r="F2423" t="s">
        <v>5373</v>
      </c>
      <c r="G2423">
        <v>5843</v>
      </c>
      <c r="H2423" t="s">
        <v>5373</v>
      </c>
      <c r="I2423" t="s">
        <v>5374</v>
      </c>
      <c r="J2423" t="s">
        <v>5402</v>
      </c>
      <c r="K2423">
        <v>2582020</v>
      </c>
      <c r="L2423">
        <v>1145402</v>
      </c>
      <c r="M2423">
        <v>2155</v>
      </c>
      <c r="N2423" t="s">
        <v>5403</v>
      </c>
    </row>
    <row r="2424" spans="1:14" x14ac:dyDescent="0.25">
      <c r="A2424">
        <v>8501397</v>
      </c>
      <c r="B2424" t="s">
        <v>5373</v>
      </c>
      <c r="C2424" t="s">
        <v>1028</v>
      </c>
      <c r="D2424" t="s">
        <v>112</v>
      </c>
      <c r="E2424" t="s">
        <v>87</v>
      </c>
      <c r="F2424" t="s">
        <v>5373</v>
      </c>
      <c r="G2424">
        <v>5843</v>
      </c>
      <c r="H2424" t="s">
        <v>5373</v>
      </c>
      <c r="I2424" t="s">
        <v>1029</v>
      </c>
      <c r="K2424">
        <v>2582364.7629999998</v>
      </c>
      <c r="L2424">
        <v>1148615.233</v>
      </c>
      <c r="M2424">
        <v>992.2</v>
      </c>
      <c r="N2424" t="s">
        <v>5404</v>
      </c>
    </row>
    <row r="2425" spans="1:14" x14ac:dyDescent="0.25">
      <c r="A2425">
        <v>8512472</v>
      </c>
      <c r="B2425" t="s">
        <v>5405</v>
      </c>
      <c r="C2425" t="s">
        <v>5385</v>
      </c>
      <c r="D2425" t="s">
        <v>86</v>
      </c>
      <c r="E2425" t="s">
        <v>87</v>
      </c>
      <c r="F2425" t="s">
        <v>5373</v>
      </c>
      <c r="G2425">
        <v>5843</v>
      </c>
      <c r="H2425" t="s">
        <v>5373</v>
      </c>
      <c r="I2425" t="s">
        <v>5386</v>
      </c>
      <c r="K2425">
        <v>2583260.1442100001</v>
      </c>
      <c r="L2425">
        <v>1148777.0211199999</v>
      </c>
      <c r="M2425">
        <v>1009</v>
      </c>
      <c r="N2425" t="s">
        <v>5406</v>
      </c>
    </row>
    <row r="2426" spans="1:14" x14ac:dyDescent="0.25">
      <c r="A2426">
        <v>8512474</v>
      </c>
      <c r="B2426" t="s">
        <v>5407</v>
      </c>
      <c r="C2426" t="s">
        <v>5385</v>
      </c>
      <c r="D2426" t="s">
        <v>86</v>
      </c>
      <c r="E2426" t="s">
        <v>87</v>
      </c>
      <c r="F2426" t="s">
        <v>5373</v>
      </c>
      <c r="G2426">
        <v>5843</v>
      </c>
      <c r="H2426" t="s">
        <v>1053</v>
      </c>
      <c r="I2426" t="s">
        <v>5386</v>
      </c>
      <c r="K2426">
        <v>2581122.3207399999</v>
      </c>
      <c r="L2426">
        <v>1148333.7311499999</v>
      </c>
      <c r="M2426">
        <v>1033.8</v>
      </c>
      <c r="N2426" t="s">
        <v>5408</v>
      </c>
    </row>
    <row r="2427" spans="1:14" x14ac:dyDescent="0.25">
      <c r="A2427">
        <v>8512477</v>
      </c>
      <c r="B2427" t="s">
        <v>5409</v>
      </c>
      <c r="C2427" t="s">
        <v>5385</v>
      </c>
      <c r="D2427" t="s">
        <v>86</v>
      </c>
      <c r="E2427" t="s">
        <v>87</v>
      </c>
      <c r="F2427" t="s">
        <v>5373</v>
      </c>
      <c r="G2427">
        <v>5843</v>
      </c>
      <c r="H2427" t="s">
        <v>5373</v>
      </c>
      <c r="I2427" t="s">
        <v>5386</v>
      </c>
      <c r="K2427">
        <v>2582490.3754599998</v>
      </c>
      <c r="L2427">
        <v>1148746.97053</v>
      </c>
      <c r="M2427">
        <v>1007.4</v>
      </c>
      <c r="N2427" t="s">
        <v>5410</v>
      </c>
    </row>
    <row r="2428" spans="1:14" x14ac:dyDescent="0.25">
      <c r="A2428">
        <v>8512475</v>
      </c>
      <c r="B2428" t="s">
        <v>5411</v>
      </c>
      <c r="C2428" t="s">
        <v>5385</v>
      </c>
      <c r="D2428" t="s">
        <v>86</v>
      </c>
      <c r="E2428" t="s">
        <v>87</v>
      </c>
      <c r="F2428" t="s">
        <v>5373</v>
      </c>
      <c r="G2428">
        <v>5843</v>
      </c>
      <c r="H2428" t="s">
        <v>1053</v>
      </c>
      <c r="I2428" t="s">
        <v>5386</v>
      </c>
      <c r="K2428">
        <v>2580436.7590200002</v>
      </c>
      <c r="L2428">
        <v>1147932.86576</v>
      </c>
      <c r="M2428">
        <v>983.2</v>
      </c>
      <c r="N2428" t="s">
        <v>5412</v>
      </c>
    </row>
    <row r="2429" spans="1:14" x14ac:dyDescent="0.25">
      <c r="A2429">
        <v>8507651</v>
      </c>
      <c r="B2429" t="s">
        <v>5413</v>
      </c>
      <c r="C2429" t="s">
        <v>94</v>
      </c>
      <c r="D2429" t="s">
        <v>86</v>
      </c>
      <c r="E2429" t="s">
        <v>87</v>
      </c>
      <c r="F2429" t="s">
        <v>5414</v>
      </c>
      <c r="G2429">
        <v>5928</v>
      </c>
      <c r="H2429" t="s">
        <v>5414</v>
      </c>
      <c r="I2429" t="s">
        <v>96</v>
      </c>
      <c r="K2429">
        <v>2549699</v>
      </c>
      <c r="L2429">
        <v>1183266</v>
      </c>
      <c r="M2429">
        <v>641</v>
      </c>
      <c r="N2429" t="s">
        <v>5415</v>
      </c>
    </row>
    <row r="2430" spans="1:14" x14ac:dyDescent="0.25">
      <c r="A2430">
        <v>8570387</v>
      </c>
      <c r="B2430" t="s">
        <v>5416</v>
      </c>
      <c r="C2430" t="s">
        <v>94</v>
      </c>
      <c r="D2430" t="s">
        <v>86</v>
      </c>
      <c r="E2430" t="s">
        <v>87</v>
      </c>
      <c r="F2430" t="s">
        <v>5414</v>
      </c>
      <c r="G2430">
        <v>5928</v>
      </c>
      <c r="H2430" t="s">
        <v>5414</v>
      </c>
      <c r="I2430" t="s">
        <v>96</v>
      </c>
      <c r="K2430">
        <v>2548547</v>
      </c>
      <c r="L2430">
        <v>1181716</v>
      </c>
      <c r="M2430">
        <v>646</v>
      </c>
      <c r="N2430" t="s">
        <v>5417</v>
      </c>
    </row>
    <row r="2431" spans="1:14" x14ac:dyDescent="0.25">
      <c r="A2431">
        <v>8570306</v>
      </c>
      <c r="B2431" t="s">
        <v>5418</v>
      </c>
      <c r="C2431" t="s">
        <v>94</v>
      </c>
      <c r="D2431" t="s">
        <v>86</v>
      </c>
      <c r="E2431" t="s">
        <v>87</v>
      </c>
      <c r="F2431" t="s">
        <v>5419</v>
      </c>
      <c r="G2431">
        <v>5534</v>
      </c>
      <c r="H2431" t="s">
        <v>5419</v>
      </c>
      <c r="I2431" t="s">
        <v>96</v>
      </c>
      <c r="K2431">
        <v>2543203</v>
      </c>
      <c r="L2431">
        <v>1171529</v>
      </c>
      <c r="M2431">
        <v>610</v>
      </c>
      <c r="N2431" t="s">
        <v>5420</v>
      </c>
    </row>
    <row r="2432" spans="1:14" x14ac:dyDescent="0.25">
      <c r="A2432">
        <v>8507959</v>
      </c>
      <c r="B2432" t="s">
        <v>5421</v>
      </c>
      <c r="C2432" t="s">
        <v>94</v>
      </c>
      <c r="D2432" t="s">
        <v>86</v>
      </c>
      <c r="E2432" t="s">
        <v>87</v>
      </c>
      <c r="F2432" t="s">
        <v>5419</v>
      </c>
      <c r="G2432">
        <v>5534</v>
      </c>
      <c r="H2432" t="s">
        <v>5419</v>
      </c>
      <c r="I2432" t="s">
        <v>96</v>
      </c>
      <c r="K2432">
        <v>2542975</v>
      </c>
      <c r="L2432">
        <v>1171642</v>
      </c>
      <c r="M2432">
        <v>619</v>
      </c>
      <c r="N2432" t="s">
        <v>5422</v>
      </c>
    </row>
    <row r="2433" spans="1:14" x14ac:dyDescent="0.25">
      <c r="A2433">
        <v>8570182</v>
      </c>
      <c r="B2433" t="s">
        <v>5423</v>
      </c>
      <c r="C2433" t="s">
        <v>94</v>
      </c>
      <c r="D2433" t="s">
        <v>86</v>
      </c>
      <c r="E2433" t="s">
        <v>87</v>
      </c>
      <c r="F2433" t="s">
        <v>5424</v>
      </c>
      <c r="G2433">
        <v>5535</v>
      </c>
      <c r="H2433" t="s">
        <v>5425</v>
      </c>
      <c r="I2433" t="s">
        <v>96</v>
      </c>
      <c r="K2433">
        <v>2536361</v>
      </c>
      <c r="L2433">
        <v>1165217</v>
      </c>
      <c r="M2433">
        <v>596</v>
      </c>
      <c r="N2433" t="s">
        <v>5426</v>
      </c>
    </row>
    <row r="2434" spans="1:14" x14ac:dyDescent="0.25">
      <c r="A2434">
        <v>8570184</v>
      </c>
      <c r="B2434" t="s">
        <v>5427</v>
      </c>
      <c r="C2434" t="s">
        <v>94</v>
      </c>
      <c r="D2434" t="s">
        <v>86</v>
      </c>
      <c r="E2434" t="s">
        <v>87</v>
      </c>
      <c r="F2434" t="s">
        <v>5424</v>
      </c>
      <c r="G2434">
        <v>5535</v>
      </c>
      <c r="H2434" t="s">
        <v>5425</v>
      </c>
      <c r="I2434" t="s">
        <v>96</v>
      </c>
      <c r="K2434">
        <v>2535496</v>
      </c>
      <c r="L2434">
        <v>1165206</v>
      </c>
      <c r="M2434">
        <v>585</v>
      </c>
      <c r="N2434" t="s">
        <v>5428</v>
      </c>
    </row>
    <row r="2435" spans="1:14" x14ac:dyDescent="0.25">
      <c r="A2435">
        <v>8570183</v>
      </c>
      <c r="B2435" t="s">
        <v>5429</v>
      </c>
      <c r="C2435" t="s">
        <v>94</v>
      </c>
      <c r="D2435" t="s">
        <v>86</v>
      </c>
      <c r="E2435" t="s">
        <v>87</v>
      </c>
      <c r="F2435" t="s">
        <v>5424</v>
      </c>
      <c r="G2435">
        <v>5535</v>
      </c>
      <c r="H2435" t="s">
        <v>5425</v>
      </c>
      <c r="I2435" t="s">
        <v>96</v>
      </c>
      <c r="K2435">
        <v>2535889</v>
      </c>
      <c r="L2435">
        <v>1165298</v>
      </c>
      <c r="M2435">
        <v>586</v>
      </c>
      <c r="N2435" t="s">
        <v>5430</v>
      </c>
    </row>
    <row r="2436" spans="1:14" x14ac:dyDescent="0.25">
      <c r="A2436">
        <v>8501061</v>
      </c>
      <c r="B2436" t="s">
        <v>5431</v>
      </c>
      <c r="C2436" t="s">
        <v>227</v>
      </c>
      <c r="D2436" t="s">
        <v>112</v>
      </c>
      <c r="E2436" t="s">
        <v>87</v>
      </c>
      <c r="F2436" t="s">
        <v>5432</v>
      </c>
      <c r="G2436">
        <v>5727</v>
      </c>
      <c r="H2436" t="s">
        <v>5433</v>
      </c>
      <c r="I2436" t="s">
        <v>228</v>
      </c>
      <c r="K2436">
        <v>2498036.1189999999</v>
      </c>
      <c r="L2436">
        <v>1145671.618</v>
      </c>
      <c r="M2436">
        <v>1209</v>
      </c>
      <c r="N2436" t="s">
        <v>5434</v>
      </c>
    </row>
    <row r="2437" spans="1:14" x14ac:dyDescent="0.25">
      <c r="A2437">
        <v>8510719</v>
      </c>
      <c r="B2437" t="s">
        <v>5435</v>
      </c>
      <c r="C2437" t="s">
        <v>223</v>
      </c>
      <c r="D2437" t="s">
        <v>86</v>
      </c>
      <c r="E2437" t="s">
        <v>87</v>
      </c>
      <c r="F2437" t="s">
        <v>5432</v>
      </c>
      <c r="G2437">
        <v>5727</v>
      </c>
      <c r="H2437" t="s">
        <v>5433</v>
      </c>
      <c r="I2437" t="s">
        <v>224</v>
      </c>
      <c r="K2437">
        <v>2500758.1710999999</v>
      </c>
      <c r="L2437">
        <v>1144663.19567</v>
      </c>
      <c r="M2437">
        <v>1091.2</v>
      </c>
      <c r="N2437" t="s">
        <v>5436</v>
      </c>
    </row>
    <row r="2438" spans="1:14" x14ac:dyDescent="0.25">
      <c r="A2438">
        <v>8519077</v>
      </c>
      <c r="B2438" t="s">
        <v>5437</v>
      </c>
      <c r="C2438" t="s">
        <v>227</v>
      </c>
      <c r="D2438" t="s">
        <v>112</v>
      </c>
      <c r="E2438" t="s">
        <v>87</v>
      </c>
      <c r="F2438" t="s">
        <v>5432</v>
      </c>
      <c r="G2438">
        <v>5727</v>
      </c>
      <c r="H2438" t="s">
        <v>5433</v>
      </c>
      <c r="I2438" t="s">
        <v>228</v>
      </c>
      <c r="K2438">
        <v>2500775.1719999998</v>
      </c>
      <c r="L2438">
        <v>1144767.527</v>
      </c>
      <c r="M2438">
        <v>1101.7</v>
      </c>
      <c r="N2438" t="s">
        <v>5438</v>
      </c>
    </row>
    <row r="2439" spans="1:14" x14ac:dyDescent="0.25">
      <c r="A2439">
        <v>8510722</v>
      </c>
      <c r="B2439" t="s">
        <v>5439</v>
      </c>
      <c r="C2439" t="s">
        <v>223</v>
      </c>
      <c r="D2439" t="s">
        <v>86</v>
      </c>
      <c r="E2439" t="s">
        <v>87</v>
      </c>
      <c r="F2439" t="s">
        <v>5432</v>
      </c>
      <c r="G2439">
        <v>5727</v>
      </c>
      <c r="H2439" t="s">
        <v>5433</v>
      </c>
      <c r="I2439" t="s">
        <v>224</v>
      </c>
      <c r="K2439">
        <v>2502803.96208</v>
      </c>
      <c r="L2439">
        <v>1145217.50223</v>
      </c>
      <c r="M2439">
        <v>1061.3</v>
      </c>
      <c r="N2439" t="s">
        <v>5440</v>
      </c>
    </row>
    <row r="2440" spans="1:14" x14ac:dyDescent="0.25">
      <c r="A2440">
        <v>8510717</v>
      </c>
      <c r="B2440" t="s">
        <v>5441</v>
      </c>
      <c r="C2440" t="s">
        <v>223</v>
      </c>
      <c r="D2440" t="s">
        <v>86</v>
      </c>
      <c r="E2440" t="s">
        <v>87</v>
      </c>
      <c r="F2440" t="s">
        <v>5432</v>
      </c>
      <c r="G2440">
        <v>5727</v>
      </c>
      <c r="H2440" t="s">
        <v>5433</v>
      </c>
      <c r="I2440" t="s">
        <v>224</v>
      </c>
      <c r="K2440">
        <v>2498099.3835800001</v>
      </c>
      <c r="L2440">
        <v>1145651.7078799999</v>
      </c>
      <c r="M2440">
        <v>1207</v>
      </c>
      <c r="N2440" t="s">
        <v>5442</v>
      </c>
    </row>
    <row r="2441" spans="1:14" x14ac:dyDescent="0.25">
      <c r="A2441">
        <v>8510720</v>
      </c>
      <c r="B2441" t="s">
        <v>5443</v>
      </c>
      <c r="C2441" t="s">
        <v>223</v>
      </c>
      <c r="D2441" t="s">
        <v>86</v>
      </c>
      <c r="E2441" t="s">
        <v>87</v>
      </c>
      <c r="F2441" t="s">
        <v>5432</v>
      </c>
      <c r="G2441">
        <v>5727</v>
      </c>
      <c r="H2441" t="s">
        <v>5433</v>
      </c>
      <c r="I2441" t="s">
        <v>224</v>
      </c>
      <c r="K2441">
        <v>2501734.5897599999</v>
      </c>
      <c r="L2441">
        <v>1144932.9857999999</v>
      </c>
      <c r="M2441">
        <v>1044.2</v>
      </c>
      <c r="N2441" t="s">
        <v>5444</v>
      </c>
    </row>
    <row r="2442" spans="1:14" x14ac:dyDescent="0.25">
      <c r="A2442">
        <v>8501060</v>
      </c>
      <c r="B2442" t="s">
        <v>5445</v>
      </c>
      <c r="C2442" t="s">
        <v>227</v>
      </c>
      <c r="D2442" t="s">
        <v>112</v>
      </c>
      <c r="E2442" t="s">
        <v>87</v>
      </c>
      <c r="F2442" t="s">
        <v>5432</v>
      </c>
      <c r="G2442">
        <v>5727</v>
      </c>
      <c r="H2442" t="s">
        <v>5445</v>
      </c>
      <c r="I2442" t="s">
        <v>228</v>
      </c>
      <c r="K2442">
        <v>2495147.4339999999</v>
      </c>
      <c r="L2442">
        <v>1146894.22</v>
      </c>
      <c r="M2442">
        <v>1154.3</v>
      </c>
      <c r="N2442" t="s">
        <v>5446</v>
      </c>
    </row>
    <row r="2443" spans="1:14" x14ac:dyDescent="0.25">
      <c r="A2443">
        <v>8510718</v>
      </c>
      <c r="B2443" t="s">
        <v>5447</v>
      </c>
      <c r="C2443" t="s">
        <v>223</v>
      </c>
      <c r="D2443" t="s">
        <v>86</v>
      </c>
      <c r="E2443" t="s">
        <v>87</v>
      </c>
      <c r="F2443" t="s">
        <v>5432</v>
      </c>
      <c r="G2443">
        <v>5727</v>
      </c>
      <c r="H2443" t="s">
        <v>5433</v>
      </c>
      <c r="I2443" t="s">
        <v>224</v>
      </c>
      <c r="K2443">
        <v>2499208.4065700001</v>
      </c>
      <c r="L2443">
        <v>1145251.6976399999</v>
      </c>
      <c r="M2443">
        <v>1175</v>
      </c>
      <c r="N2443" t="s">
        <v>5448</v>
      </c>
    </row>
    <row r="2444" spans="1:14" x14ac:dyDescent="0.25">
      <c r="A2444">
        <v>8501062</v>
      </c>
      <c r="B2444" t="s">
        <v>5433</v>
      </c>
      <c r="C2444" t="s">
        <v>227</v>
      </c>
      <c r="D2444" t="s">
        <v>112</v>
      </c>
      <c r="E2444" t="s">
        <v>87</v>
      </c>
      <c r="F2444" t="s">
        <v>5432</v>
      </c>
      <c r="G2444">
        <v>5727</v>
      </c>
      <c r="H2444" t="s">
        <v>5433</v>
      </c>
      <c r="I2444" t="s">
        <v>228</v>
      </c>
      <c r="K2444">
        <v>2501783.253</v>
      </c>
      <c r="L2444">
        <v>1144943.335</v>
      </c>
      <c r="M2444">
        <v>1044.2</v>
      </c>
      <c r="N2444" t="s">
        <v>5449</v>
      </c>
    </row>
    <row r="2445" spans="1:14" x14ac:dyDescent="0.25">
      <c r="A2445">
        <v>8501055</v>
      </c>
      <c r="B2445" t="s">
        <v>5450</v>
      </c>
      <c r="C2445" t="s">
        <v>227</v>
      </c>
      <c r="D2445" t="s">
        <v>112</v>
      </c>
      <c r="E2445" t="s">
        <v>87</v>
      </c>
      <c r="F2445" t="s">
        <v>5432</v>
      </c>
      <c r="G2445">
        <v>5727</v>
      </c>
      <c r="H2445" t="s">
        <v>5433</v>
      </c>
      <c r="I2445" t="s">
        <v>228</v>
      </c>
      <c r="K2445">
        <v>2499215.071</v>
      </c>
      <c r="L2445">
        <v>1145271.523</v>
      </c>
      <c r="M2445">
        <v>1178.2</v>
      </c>
      <c r="N2445" t="s">
        <v>5451</v>
      </c>
    </row>
    <row r="2446" spans="1:14" x14ac:dyDescent="0.25">
      <c r="A2446">
        <v>8510716</v>
      </c>
      <c r="B2446" t="s">
        <v>5452</v>
      </c>
      <c r="C2446" t="s">
        <v>223</v>
      </c>
      <c r="D2446" t="s">
        <v>86</v>
      </c>
      <c r="E2446" t="s">
        <v>87</v>
      </c>
      <c r="F2446" t="s">
        <v>5432</v>
      </c>
      <c r="G2446">
        <v>5727</v>
      </c>
      <c r="H2446" t="s">
        <v>5445</v>
      </c>
      <c r="I2446" t="s">
        <v>224</v>
      </c>
      <c r="K2446">
        <v>2495131</v>
      </c>
      <c r="L2446">
        <v>1146889</v>
      </c>
      <c r="M2446">
        <v>1154</v>
      </c>
      <c r="N2446" t="s">
        <v>5453</v>
      </c>
    </row>
    <row r="2447" spans="1:14" x14ac:dyDescent="0.25">
      <c r="A2447">
        <v>8579282</v>
      </c>
      <c r="B2447" t="s">
        <v>5454</v>
      </c>
      <c r="C2447" t="s">
        <v>338</v>
      </c>
      <c r="D2447" t="s">
        <v>86</v>
      </c>
      <c r="E2447" t="s">
        <v>87</v>
      </c>
      <c r="F2447" t="s">
        <v>62</v>
      </c>
      <c r="G2447">
        <v>5568</v>
      </c>
      <c r="H2447" t="s">
        <v>5455</v>
      </c>
      <c r="I2447" t="s">
        <v>340</v>
      </c>
      <c r="K2447">
        <v>2528637</v>
      </c>
      <c r="L2447">
        <v>1186024</v>
      </c>
      <c r="M2447">
        <v>1081</v>
      </c>
      <c r="N2447" t="s">
        <v>5456</v>
      </c>
    </row>
    <row r="2448" spans="1:14" x14ac:dyDescent="0.25">
      <c r="A2448">
        <v>8571783</v>
      </c>
      <c r="B2448" t="s">
        <v>5457</v>
      </c>
      <c r="C2448" t="s">
        <v>338</v>
      </c>
      <c r="D2448" t="s">
        <v>86</v>
      </c>
      <c r="E2448" t="s">
        <v>87</v>
      </c>
      <c r="F2448" t="s">
        <v>62</v>
      </c>
      <c r="G2448">
        <v>5568</v>
      </c>
      <c r="H2448" t="s">
        <v>5458</v>
      </c>
      <c r="I2448" t="s">
        <v>340</v>
      </c>
      <c r="K2448">
        <v>2526788.4805000001</v>
      </c>
      <c r="L2448">
        <v>1187132.51507</v>
      </c>
      <c r="M2448">
        <v>1087</v>
      </c>
      <c r="N2448" t="s">
        <v>5459</v>
      </c>
    </row>
    <row r="2449" spans="1:14" x14ac:dyDescent="0.25">
      <c r="A2449">
        <v>8571780</v>
      </c>
      <c r="B2449" t="s">
        <v>5460</v>
      </c>
      <c r="C2449" t="s">
        <v>94</v>
      </c>
      <c r="D2449" t="s">
        <v>86</v>
      </c>
      <c r="E2449" t="s">
        <v>87</v>
      </c>
      <c r="F2449" t="s">
        <v>62</v>
      </c>
      <c r="G2449">
        <v>5568</v>
      </c>
      <c r="H2449" t="s">
        <v>5461</v>
      </c>
      <c r="I2449" t="s">
        <v>96</v>
      </c>
      <c r="K2449">
        <v>2526181</v>
      </c>
      <c r="L2449">
        <v>1188680</v>
      </c>
      <c r="M2449">
        <v>1123</v>
      </c>
      <c r="N2449" t="s">
        <v>5462</v>
      </c>
    </row>
    <row r="2450" spans="1:14" x14ac:dyDescent="0.25">
      <c r="A2450">
        <v>8571782</v>
      </c>
      <c r="B2450" t="s">
        <v>5463</v>
      </c>
      <c r="C2450" t="s">
        <v>94</v>
      </c>
      <c r="D2450" t="s">
        <v>86</v>
      </c>
      <c r="E2450" t="s">
        <v>87</v>
      </c>
      <c r="F2450" t="s">
        <v>62</v>
      </c>
      <c r="G2450">
        <v>5568</v>
      </c>
      <c r="H2450" t="s">
        <v>5461</v>
      </c>
      <c r="I2450" t="s">
        <v>96</v>
      </c>
      <c r="K2450">
        <v>2527669</v>
      </c>
      <c r="L2450">
        <v>1187579</v>
      </c>
      <c r="M2450">
        <v>1028</v>
      </c>
      <c r="N2450" t="s">
        <v>5464</v>
      </c>
    </row>
    <row r="2451" spans="1:14" x14ac:dyDescent="0.25">
      <c r="A2451">
        <v>8571788</v>
      </c>
      <c r="B2451" t="s">
        <v>5465</v>
      </c>
      <c r="C2451" t="s">
        <v>94</v>
      </c>
      <c r="D2451" t="s">
        <v>86</v>
      </c>
      <c r="E2451" t="s">
        <v>87</v>
      </c>
      <c r="F2451" t="s">
        <v>62</v>
      </c>
      <c r="G2451">
        <v>5568</v>
      </c>
      <c r="H2451" t="s">
        <v>5455</v>
      </c>
      <c r="I2451" t="s">
        <v>96</v>
      </c>
      <c r="K2451">
        <v>2528437</v>
      </c>
      <c r="L2451">
        <v>1185816</v>
      </c>
      <c r="M2451">
        <v>1070</v>
      </c>
      <c r="N2451" t="s">
        <v>5466</v>
      </c>
    </row>
    <row r="2452" spans="1:14" x14ac:dyDescent="0.25">
      <c r="A2452">
        <v>8571787</v>
      </c>
      <c r="B2452" t="s">
        <v>5467</v>
      </c>
      <c r="C2452" t="s">
        <v>94</v>
      </c>
      <c r="D2452" t="s">
        <v>86</v>
      </c>
      <c r="E2452" t="s">
        <v>87</v>
      </c>
      <c r="F2452" t="s">
        <v>62</v>
      </c>
      <c r="G2452">
        <v>5568</v>
      </c>
      <c r="H2452" t="s">
        <v>5455</v>
      </c>
      <c r="I2452" t="s">
        <v>96</v>
      </c>
      <c r="K2452">
        <v>2528478</v>
      </c>
      <c r="L2452">
        <v>1186120</v>
      </c>
      <c r="M2452">
        <v>1080</v>
      </c>
      <c r="N2452" t="s">
        <v>5468</v>
      </c>
    </row>
    <row r="2453" spans="1:14" x14ac:dyDescent="0.25">
      <c r="A2453">
        <v>8587594</v>
      </c>
      <c r="B2453" t="s">
        <v>5469</v>
      </c>
      <c r="C2453" t="s">
        <v>338</v>
      </c>
      <c r="D2453" t="s">
        <v>86</v>
      </c>
      <c r="E2453" t="s">
        <v>87</v>
      </c>
      <c r="F2453" t="s">
        <v>62</v>
      </c>
      <c r="G2453">
        <v>5568</v>
      </c>
      <c r="H2453" t="s">
        <v>5458</v>
      </c>
      <c r="I2453" t="s">
        <v>340</v>
      </c>
      <c r="K2453">
        <v>2525029</v>
      </c>
      <c r="L2453">
        <v>1185671.0009999999</v>
      </c>
      <c r="M2453">
        <v>1106</v>
      </c>
      <c r="N2453" t="s">
        <v>5470</v>
      </c>
    </row>
    <row r="2454" spans="1:14" x14ac:dyDescent="0.25">
      <c r="A2454">
        <v>8587789</v>
      </c>
      <c r="B2454" t="s">
        <v>5471</v>
      </c>
      <c r="C2454" t="s">
        <v>338</v>
      </c>
      <c r="D2454" t="s">
        <v>86</v>
      </c>
      <c r="E2454" t="s">
        <v>87</v>
      </c>
      <c r="F2454" t="s">
        <v>62</v>
      </c>
      <c r="G2454">
        <v>5568</v>
      </c>
      <c r="H2454" t="s">
        <v>5455</v>
      </c>
      <c r="I2454" t="s">
        <v>340</v>
      </c>
      <c r="J2454" t="s">
        <v>5472</v>
      </c>
      <c r="K2454">
        <v>2529422.7560299998</v>
      </c>
      <c r="L2454">
        <v>1185871.4933499999</v>
      </c>
      <c r="M2454">
        <v>1042</v>
      </c>
      <c r="N2454" t="s">
        <v>5473</v>
      </c>
    </row>
    <row r="2455" spans="1:14" x14ac:dyDescent="0.25">
      <c r="A2455">
        <v>8579078</v>
      </c>
      <c r="B2455" t="s">
        <v>5474</v>
      </c>
      <c r="C2455" t="s">
        <v>338</v>
      </c>
      <c r="D2455" t="s">
        <v>86</v>
      </c>
      <c r="E2455" t="s">
        <v>87</v>
      </c>
      <c r="F2455" t="s">
        <v>62</v>
      </c>
      <c r="G2455">
        <v>5568</v>
      </c>
      <c r="H2455" t="s">
        <v>5458</v>
      </c>
      <c r="I2455" t="s">
        <v>340</v>
      </c>
      <c r="K2455">
        <v>2523812</v>
      </c>
      <c r="L2455">
        <v>1186304</v>
      </c>
      <c r="M2455">
        <v>1096</v>
      </c>
      <c r="N2455" t="s">
        <v>5475</v>
      </c>
    </row>
    <row r="2456" spans="1:14" x14ac:dyDescent="0.25">
      <c r="A2456">
        <v>8579077</v>
      </c>
      <c r="B2456" t="s">
        <v>5476</v>
      </c>
      <c r="C2456" t="s">
        <v>338</v>
      </c>
      <c r="D2456" t="s">
        <v>86</v>
      </c>
      <c r="E2456" t="s">
        <v>87</v>
      </c>
      <c r="F2456" t="s">
        <v>62</v>
      </c>
      <c r="G2456">
        <v>5568</v>
      </c>
      <c r="H2456" t="s">
        <v>5458</v>
      </c>
      <c r="I2456" t="s">
        <v>340</v>
      </c>
      <c r="K2456">
        <v>2525593.1338200001</v>
      </c>
      <c r="L2456">
        <v>1185649.35503</v>
      </c>
      <c r="M2456">
        <v>1100</v>
      </c>
      <c r="N2456" t="s">
        <v>5477</v>
      </c>
    </row>
    <row r="2457" spans="1:14" x14ac:dyDescent="0.25">
      <c r="A2457">
        <v>8504290</v>
      </c>
      <c r="B2457" t="s">
        <v>5478</v>
      </c>
      <c r="C2457" t="s">
        <v>338</v>
      </c>
      <c r="D2457" t="s">
        <v>86</v>
      </c>
      <c r="E2457" t="s">
        <v>87</v>
      </c>
      <c r="F2457" t="s">
        <v>62</v>
      </c>
      <c r="G2457">
        <v>5568</v>
      </c>
      <c r="H2457" t="s">
        <v>5455</v>
      </c>
      <c r="I2457" t="s">
        <v>340</v>
      </c>
      <c r="K2457">
        <v>2529943.9855599999</v>
      </c>
      <c r="L2457">
        <v>1186297.9428099999</v>
      </c>
      <c r="M2457">
        <v>1146</v>
      </c>
      <c r="N2457" t="s">
        <v>5479</v>
      </c>
    </row>
    <row r="2458" spans="1:14" x14ac:dyDescent="0.25">
      <c r="A2458">
        <v>8593788</v>
      </c>
      <c r="B2458" t="s">
        <v>5480</v>
      </c>
      <c r="C2458" t="s">
        <v>338</v>
      </c>
      <c r="D2458" t="s">
        <v>86</v>
      </c>
      <c r="E2458" t="s">
        <v>87</v>
      </c>
      <c r="F2458" t="s">
        <v>62</v>
      </c>
      <c r="G2458">
        <v>5568</v>
      </c>
      <c r="H2458" t="s">
        <v>5481</v>
      </c>
      <c r="I2458" t="s">
        <v>340</v>
      </c>
      <c r="J2458" t="s">
        <v>5472</v>
      </c>
      <c r="K2458">
        <v>2529877.56764</v>
      </c>
      <c r="L2458">
        <v>1185895.5263</v>
      </c>
      <c r="M2458">
        <v>1024</v>
      </c>
      <c r="N2458" t="s">
        <v>5482</v>
      </c>
    </row>
    <row r="2459" spans="1:14" x14ac:dyDescent="0.25">
      <c r="A2459">
        <v>8593786</v>
      </c>
      <c r="B2459" t="s">
        <v>5483</v>
      </c>
      <c r="C2459" t="s">
        <v>338</v>
      </c>
      <c r="D2459" t="s">
        <v>86</v>
      </c>
      <c r="E2459" t="s">
        <v>87</v>
      </c>
      <c r="F2459" t="s">
        <v>62</v>
      </c>
      <c r="G2459">
        <v>5568</v>
      </c>
      <c r="H2459" t="s">
        <v>5455</v>
      </c>
      <c r="I2459" t="s">
        <v>340</v>
      </c>
      <c r="K2459">
        <v>2528165.2504799999</v>
      </c>
      <c r="L2459">
        <v>1186256.1891300001</v>
      </c>
      <c r="M2459">
        <v>1108</v>
      </c>
      <c r="N2459" t="s">
        <v>5484</v>
      </c>
    </row>
    <row r="2460" spans="1:14" x14ac:dyDescent="0.25">
      <c r="A2460">
        <v>8504298</v>
      </c>
      <c r="B2460" t="s">
        <v>5455</v>
      </c>
      <c r="C2460" t="s">
        <v>338</v>
      </c>
      <c r="D2460" t="s">
        <v>112</v>
      </c>
      <c r="E2460" t="s">
        <v>87</v>
      </c>
      <c r="F2460" t="s">
        <v>62</v>
      </c>
      <c r="G2460">
        <v>5568</v>
      </c>
      <c r="H2460" t="s">
        <v>5455</v>
      </c>
      <c r="I2460" t="s">
        <v>372</v>
      </c>
      <c r="K2460">
        <v>2528425.8021999998</v>
      </c>
      <c r="L2460">
        <v>1185793.7655</v>
      </c>
      <c r="M2460">
        <v>1065.8</v>
      </c>
      <c r="N2460" t="s">
        <v>5485</v>
      </c>
    </row>
    <row r="2461" spans="1:14" x14ac:dyDescent="0.25">
      <c r="A2461">
        <v>8593784</v>
      </c>
      <c r="B2461" t="s">
        <v>5486</v>
      </c>
      <c r="C2461" t="s">
        <v>338</v>
      </c>
      <c r="D2461" t="s">
        <v>86</v>
      </c>
      <c r="E2461" t="s">
        <v>87</v>
      </c>
      <c r="F2461" t="s">
        <v>62</v>
      </c>
      <c r="G2461">
        <v>5568</v>
      </c>
      <c r="H2461" t="s">
        <v>5458</v>
      </c>
      <c r="I2461" t="s">
        <v>340</v>
      </c>
      <c r="K2461">
        <v>2525937.0759700001</v>
      </c>
      <c r="L2461">
        <v>1185796.8060600001</v>
      </c>
      <c r="M2461">
        <v>1101</v>
      </c>
      <c r="N2461" t="s">
        <v>5487</v>
      </c>
    </row>
    <row r="2462" spans="1:14" x14ac:dyDescent="0.25">
      <c r="A2462">
        <v>8579071</v>
      </c>
      <c r="B2462" t="s">
        <v>5488</v>
      </c>
      <c r="C2462" t="s">
        <v>338</v>
      </c>
      <c r="D2462" t="s">
        <v>86</v>
      </c>
      <c r="E2462" t="s">
        <v>87</v>
      </c>
      <c r="F2462" t="s">
        <v>62</v>
      </c>
      <c r="G2462">
        <v>5568</v>
      </c>
      <c r="H2462" t="s">
        <v>5458</v>
      </c>
      <c r="I2462" t="s">
        <v>340</v>
      </c>
      <c r="K2462">
        <v>2527527</v>
      </c>
      <c r="L2462">
        <v>1186749</v>
      </c>
      <c r="M2462">
        <v>1114</v>
      </c>
      <c r="N2462" t="s">
        <v>5489</v>
      </c>
    </row>
    <row r="2463" spans="1:14" x14ac:dyDescent="0.25">
      <c r="A2463">
        <v>8579284</v>
      </c>
      <c r="B2463" t="s">
        <v>5490</v>
      </c>
      <c r="C2463" t="s">
        <v>338</v>
      </c>
      <c r="D2463" t="s">
        <v>86</v>
      </c>
      <c r="E2463" t="s">
        <v>87</v>
      </c>
      <c r="F2463" t="s">
        <v>62</v>
      </c>
      <c r="G2463">
        <v>5568</v>
      </c>
      <c r="H2463" t="s">
        <v>5455</v>
      </c>
      <c r="I2463" t="s">
        <v>340</v>
      </c>
      <c r="K2463">
        <v>2528462</v>
      </c>
      <c r="L2463">
        <v>1186315</v>
      </c>
      <c r="M2463">
        <v>1085</v>
      </c>
      <c r="N2463" t="s">
        <v>5491</v>
      </c>
    </row>
    <row r="2464" spans="1:14" x14ac:dyDescent="0.25">
      <c r="A2464">
        <v>8579286</v>
      </c>
      <c r="B2464" t="s">
        <v>5492</v>
      </c>
      <c r="C2464" t="s">
        <v>338</v>
      </c>
      <c r="D2464" t="s">
        <v>86</v>
      </c>
      <c r="E2464" t="s">
        <v>87</v>
      </c>
      <c r="F2464" t="s">
        <v>62</v>
      </c>
      <c r="G2464">
        <v>5568</v>
      </c>
      <c r="H2464" t="s">
        <v>5455</v>
      </c>
      <c r="I2464" t="s">
        <v>340</v>
      </c>
      <c r="K2464">
        <v>2528893</v>
      </c>
      <c r="L2464">
        <v>1186211</v>
      </c>
      <c r="M2464">
        <v>1088</v>
      </c>
      <c r="N2464" t="s">
        <v>5493</v>
      </c>
    </row>
    <row r="2465" spans="1:14" x14ac:dyDescent="0.25">
      <c r="A2465">
        <v>8579285</v>
      </c>
      <c r="B2465" t="s">
        <v>5494</v>
      </c>
      <c r="C2465" t="s">
        <v>338</v>
      </c>
      <c r="D2465" t="s">
        <v>86</v>
      </c>
      <c r="E2465" t="s">
        <v>87</v>
      </c>
      <c r="F2465" t="s">
        <v>62</v>
      </c>
      <c r="G2465">
        <v>5568</v>
      </c>
      <c r="H2465" t="s">
        <v>5455</v>
      </c>
      <c r="I2465" t="s">
        <v>340</v>
      </c>
      <c r="J2465" t="s">
        <v>5472</v>
      </c>
      <c r="K2465">
        <v>2527953.8982799998</v>
      </c>
      <c r="L2465">
        <v>1185783.77308</v>
      </c>
      <c r="M2465">
        <v>1086</v>
      </c>
      <c r="N2465" t="s">
        <v>5495</v>
      </c>
    </row>
    <row r="2466" spans="1:14" x14ac:dyDescent="0.25">
      <c r="A2466">
        <v>8579719</v>
      </c>
      <c r="B2466" t="s">
        <v>5496</v>
      </c>
      <c r="C2466" t="s">
        <v>94</v>
      </c>
      <c r="D2466" t="s">
        <v>86</v>
      </c>
      <c r="E2466" t="s">
        <v>87</v>
      </c>
      <c r="F2466" t="s">
        <v>62</v>
      </c>
      <c r="G2466">
        <v>5568</v>
      </c>
      <c r="H2466" t="s">
        <v>5455</v>
      </c>
      <c r="I2466" t="s">
        <v>96</v>
      </c>
      <c r="K2466">
        <v>2528127</v>
      </c>
      <c r="L2466">
        <v>1186534</v>
      </c>
      <c r="M2466">
        <v>1122</v>
      </c>
      <c r="N2466" t="s">
        <v>5497</v>
      </c>
    </row>
    <row r="2467" spans="1:14" x14ac:dyDescent="0.25">
      <c r="A2467">
        <v>8587930</v>
      </c>
      <c r="B2467" t="s">
        <v>5498</v>
      </c>
      <c r="C2467" t="s">
        <v>338</v>
      </c>
      <c r="D2467" t="s">
        <v>86</v>
      </c>
      <c r="E2467" t="s">
        <v>87</v>
      </c>
      <c r="F2467" t="s">
        <v>62</v>
      </c>
      <c r="G2467">
        <v>5568</v>
      </c>
      <c r="H2467" t="s">
        <v>5455</v>
      </c>
      <c r="I2467" t="s">
        <v>340</v>
      </c>
      <c r="J2467" t="s">
        <v>5472</v>
      </c>
      <c r="K2467">
        <v>2528822.4780199998</v>
      </c>
      <c r="L2467">
        <v>1185952.4199000001</v>
      </c>
      <c r="M2467">
        <v>1070</v>
      </c>
      <c r="N2467" t="s">
        <v>5499</v>
      </c>
    </row>
    <row r="2468" spans="1:14" x14ac:dyDescent="0.25">
      <c r="A2468">
        <v>8571781</v>
      </c>
      <c r="B2468" t="s">
        <v>5500</v>
      </c>
      <c r="C2468" t="s">
        <v>94</v>
      </c>
      <c r="D2468" t="s">
        <v>86</v>
      </c>
      <c r="E2468" t="s">
        <v>87</v>
      </c>
      <c r="F2468" t="s">
        <v>62</v>
      </c>
      <c r="G2468">
        <v>5568</v>
      </c>
      <c r="H2468" t="s">
        <v>5461</v>
      </c>
      <c r="I2468" t="s">
        <v>96</v>
      </c>
      <c r="K2468">
        <v>2526984</v>
      </c>
      <c r="L2468">
        <v>1188405</v>
      </c>
      <c r="M2468">
        <v>1109</v>
      </c>
      <c r="N2468" t="s">
        <v>5501</v>
      </c>
    </row>
    <row r="2469" spans="1:14" x14ac:dyDescent="0.25">
      <c r="A2469">
        <v>8571786</v>
      </c>
      <c r="B2469" t="s">
        <v>5502</v>
      </c>
      <c r="C2469" t="s">
        <v>94</v>
      </c>
      <c r="D2469" t="s">
        <v>86</v>
      </c>
      <c r="E2469" t="s">
        <v>87</v>
      </c>
      <c r="F2469" t="s">
        <v>62</v>
      </c>
      <c r="G2469">
        <v>5568</v>
      </c>
      <c r="H2469" t="s">
        <v>5455</v>
      </c>
      <c r="I2469" t="s">
        <v>96</v>
      </c>
      <c r="K2469">
        <v>2528002</v>
      </c>
      <c r="L2469">
        <v>1186960</v>
      </c>
      <c r="M2469">
        <v>1153</v>
      </c>
      <c r="N2469" t="s">
        <v>5503</v>
      </c>
    </row>
    <row r="2470" spans="1:14" x14ac:dyDescent="0.25">
      <c r="A2470">
        <v>8571784</v>
      </c>
      <c r="B2470" t="s">
        <v>5504</v>
      </c>
      <c r="C2470" t="s">
        <v>338</v>
      </c>
      <c r="D2470" t="s">
        <v>86</v>
      </c>
      <c r="E2470" t="s">
        <v>87</v>
      </c>
      <c r="F2470" t="s">
        <v>62</v>
      </c>
      <c r="G2470">
        <v>5568</v>
      </c>
      <c r="H2470" t="s">
        <v>5458</v>
      </c>
      <c r="I2470" t="s">
        <v>340</v>
      </c>
      <c r="K2470">
        <v>2526840.5356399999</v>
      </c>
      <c r="L2470">
        <v>1186625.5509200001</v>
      </c>
      <c r="M2470">
        <v>1091</v>
      </c>
      <c r="N2470" t="s">
        <v>5505</v>
      </c>
    </row>
    <row r="2471" spans="1:14" x14ac:dyDescent="0.25">
      <c r="A2471">
        <v>8593783</v>
      </c>
      <c r="B2471" t="s">
        <v>5506</v>
      </c>
      <c r="C2471" t="s">
        <v>338</v>
      </c>
      <c r="D2471" t="s">
        <v>86</v>
      </c>
      <c r="E2471" t="s">
        <v>87</v>
      </c>
      <c r="F2471" t="s">
        <v>62</v>
      </c>
      <c r="G2471">
        <v>5568</v>
      </c>
      <c r="H2471" t="s">
        <v>5458</v>
      </c>
      <c r="I2471" t="s">
        <v>340</v>
      </c>
      <c r="K2471">
        <v>2525763</v>
      </c>
      <c r="L2471">
        <v>1185698.0009999999</v>
      </c>
      <c r="M2471">
        <v>1100</v>
      </c>
      <c r="N2471" t="s">
        <v>5507</v>
      </c>
    </row>
    <row r="2472" spans="1:14" x14ac:dyDescent="0.25">
      <c r="A2472">
        <v>8593787</v>
      </c>
      <c r="B2472" t="s">
        <v>5508</v>
      </c>
      <c r="C2472" t="s">
        <v>338</v>
      </c>
      <c r="D2472" t="s">
        <v>86</v>
      </c>
      <c r="E2472" t="s">
        <v>87</v>
      </c>
      <c r="F2472" t="s">
        <v>62</v>
      </c>
      <c r="G2472">
        <v>5568</v>
      </c>
      <c r="H2472" t="s">
        <v>5481</v>
      </c>
      <c r="I2472" t="s">
        <v>340</v>
      </c>
      <c r="J2472" t="s">
        <v>5472</v>
      </c>
      <c r="K2472">
        <v>2530969.3320399998</v>
      </c>
      <c r="L2472">
        <v>1185629.26825</v>
      </c>
      <c r="M2472">
        <v>995</v>
      </c>
      <c r="N2472" t="s">
        <v>5509</v>
      </c>
    </row>
    <row r="2473" spans="1:14" x14ac:dyDescent="0.25">
      <c r="A2473">
        <v>8593785</v>
      </c>
      <c r="B2473" t="s">
        <v>5510</v>
      </c>
      <c r="C2473" t="s">
        <v>338</v>
      </c>
      <c r="D2473" t="s">
        <v>86</v>
      </c>
      <c r="E2473" t="s">
        <v>87</v>
      </c>
      <c r="F2473" t="s">
        <v>62</v>
      </c>
      <c r="G2473">
        <v>5568</v>
      </c>
      <c r="H2473" t="s">
        <v>5458</v>
      </c>
      <c r="I2473" t="s">
        <v>340</v>
      </c>
      <c r="K2473">
        <v>2525303</v>
      </c>
      <c r="L2473">
        <v>1185648.0009999999</v>
      </c>
      <c r="M2473">
        <v>1102</v>
      </c>
      <c r="N2473" t="s">
        <v>5511</v>
      </c>
    </row>
    <row r="2474" spans="1:14" x14ac:dyDescent="0.25">
      <c r="A2474">
        <v>8504270</v>
      </c>
      <c r="B2474" t="s">
        <v>5512</v>
      </c>
      <c r="C2474" t="s">
        <v>338</v>
      </c>
      <c r="D2474" t="s">
        <v>86</v>
      </c>
      <c r="E2474" t="s">
        <v>87</v>
      </c>
      <c r="F2474" t="s">
        <v>62</v>
      </c>
      <c r="G2474">
        <v>5568</v>
      </c>
      <c r="H2474" t="s">
        <v>859</v>
      </c>
      <c r="I2474" t="s">
        <v>340</v>
      </c>
      <c r="K2474">
        <v>2530464.0451500001</v>
      </c>
      <c r="L2474">
        <v>1186571.3561</v>
      </c>
      <c r="M2474">
        <v>1164</v>
      </c>
      <c r="N2474" t="s">
        <v>5513</v>
      </c>
    </row>
    <row r="2475" spans="1:14" x14ac:dyDescent="0.25">
      <c r="A2475">
        <v>8579075</v>
      </c>
      <c r="B2475" t="s">
        <v>5514</v>
      </c>
      <c r="C2475" t="s">
        <v>338</v>
      </c>
      <c r="D2475" t="s">
        <v>86</v>
      </c>
      <c r="E2475" t="s">
        <v>87</v>
      </c>
      <c r="F2475" t="s">
        <v>62</v>
      </c>
      <c r="G2475">
        <v>5568</v>
      </c>
      <c r="H2475" t="s">
        <v>5458</v>
      </c>
      <c r="I2475" t="s">
        <v>340</v>
      </c>
      <c r="K2475">
        <v>2526102.1822500001</v>
      </c>
      <c r="L2475">
        <v>1185842.6021400001</v>
      </c>
      <c r="M2475">
        <v>1102</v>
      </c>
      <c r="N2475" t="s">
        <v>5515</v>
      </c>
    </row>
    <row r="2476" spans="1:14" x14ac:dyDescent="0.25">
      <c r="A2476">
        <v>8504271</v>
      </c>
      <c r="B2476" t="s">
        <v>5516</v>
      </c>
      <c r="C2476" t="s">
        <v>338</v>
      </c>
      <c r="D2476" t="s">
        <v>86</v>
      </c>
      <c r="E2476" t="s">
        <v>87</v>
      </c>
      <c r="F2476" t="s">
        <v>62</v>
      </c>
      <c r="G2476">
        <v>5568</v>
      </c>
      <c r="H2476" t="s">
        <v>859</v>
      </c>
      <c r="I2476" t="s">
        <v>340</v>
      </c>
      <c r="K2476">
        <v>2530845</v>
      </c>
      <c r="L2476">
        <v>1186663</v>
      </c>
      <c r="M2476">
        <v>1173</v>
      </c>
      <c r="N2476" t="s">
        <v>5517</v>
      </c>
    </row>
    <row r="2477" spans="1:14" x14ac:dyDescent="0.25">
      <c r="A2477">
        <v>8501855</v>
      </c>
      <c r="B2477" t="s">
        <v>5518</v>
      </c>
      <c r="C2477" t="s">
        <v>94</v>
      </c>
      <c r="D2477" t="s">
        <v>86</v>
      </c>
      <c r="E2477" t="s">
        <v>87</v>
      </c>
      <c r="F2477" t="s">
        <v>5519</v>
      </c>
      <c r="G2477">
        <v>5434</v>
      </c>
      <c r="H2477" t="s">
        <v>5520</v>
      </c>
      <c r="I2477" t="s">
        <v>96</v>
      </c>
      <c r="K2477">
        <v>2509606</v>
      </c>
      <c r="L2477">
        <v>1152079</v>
      </c>
      <c r="M2477">
        <v>931</v>
      </c>
      <c r="N2477" t="s">
        <v>5521</v>
      </c>
    </row>
    <row r="2478" spans="1:14" x14ac:dyDescent="0.25">
      <c r="A2478">
        <v>8583861</v>
      </c>
      <c r="B2478" t="s">
        <v>5522</v>
      </c>
      <c r="C2478" t="s">
        <v>94</v>
      </c>
      <c r="D2478" t="s">
        <v>86</v>
      </c>
      <c r="E2478" t="s">
        <v>87</v>
      </c>
      <c r="F2478" t="s">
        <v>5519</v>
      </c>
      <c r="G2478">
        <v>5434</v>
      </c>
      <c r="H2478" t="s">
        <v>5520</v>
      </c>
      <c r="I2478" t="s">
        <v>96</v>
      </c>
      <c r="K2478">
        <v>2510211</v>
      </c>
      <c r="L2478">
        <v>1154232</v>
      </c>
      <c r="M2478">
        <v>1086</v>
      </c>
      <c r="N2478" t="s">
        <v>5523</v>
      </c>
    </row>
    <row r="2479" spans="1:14" x14ac:dyDescent="0.25">
      <c r="A2479">
        <v>8570018</v>
      </c>
      <c r="B2479" t="s">
        <v>5524</v>
      </c>
      <c r="C2479" t="s">
        <v>94</v>
      </c>
      <c r="D2479" t="s">
        <v>86</v>
      </c>
      <c r="E2479" t="s">
        <v>87</v>
      </c>
      <c r="F2479" t="s">
        <v>5519</v>
      </c>
      <c r="G2479">
        <v>5434</v>
      </c>
      <c r="H2479" t="s">
        <v>5520</v>
      </c>
      <c r="I2479" t="s">
        <v>96</v>
      </c>
      <c r="K2479">
        <v>2510316</v>
      </c>
      <c r="L2479">
        <v>1152027</v>
      </c>
      <c r="M2479">
        <v>892</v>
      </c>
      <c r="N2479" t="s">
        <v>5525</v>
      </c>
    </row>
    <row r="2480" spans="1:14" x14ac:dyDescent="0.25">
      <c r="A2480">
        <v>8570017</v>
      </c>
      <c r="B2480" t="s">
        <v>5526</v>
      </c>
      <c r="C2480" t="s">
        <v>94</v>
      </c>
      <c r="D2480" t="s">
        <v>86</v>
      </c>
      <c r="E2480" t="s">
        <v>87</v>
      </c>
      <c r="F2480" t="s">
        <v>5519</v>
      </c>
      <c r="G2480">
        <v>5434</v>
      </c>
      <c r="H2480" t="s">
        <v>5520</v>
      </c>
      <c r="I2480" t="s">
        <v>96</v>
      </c>
      <c r="K2480">
        <v>2509368</v>
      </c>
      <c r="L2480">
        <v>1151436</v>
      </c>
      <c r="M2480">
        <v>930</v>
      </c>
      <c r="N2480" t="s">
        <v>5527</v>
      </c>
    </row>
    <row r="2481" spans="1:14" x14ac:dyDescent="0.25">
      <c r="A2481">
        <v>8570051</v>
      </c>
      <c r="B2481" t="s">
        <v>5528</v>
      </c>
      <c r="C2481" t="s">
        <v>94</v>
      </c>
      <c r="D2481" t="s">
        <v>86</v>
      </c>
      <c r="E2481" t="s">
        <v>87</v>
      </c>
      <c r="F2481" t="s">
        <v>5529</v>
      </c>
      <c r="G2481">
        <v>5435</v>
      </c>
      <c r="H2481" t="s">
        <v>5530</v>
      </c>
      <c r="I2481" t="s">
        <v>96</v>
      </c>
      <c r="K2481">
        <v>2519290</v>
      </c>
      <c r="L2481">
        <v>1151216</v>
      </c>
      <c r="M2481">
        <v>601</v>
      </c>
      <c r="N2481" t="s">
        <v>5531</v>
      </c>
    </row>
    <row r="2482" spans="1:14" x14ac:dyDescent="0.25">
      <c r="A2482">
        <v>8570049</v>
      </c>
      <c r="B2482" t="s">
        <v>5532</v>
      </c>
      <c r="C2482" t="s">
        <v>94</v>
      </c>
      <c r="D2482" t="s">
        <v>86</v>
      </c>
      <c r="E2482" t="s">
        <v>87</v>
      </c>
      <c r="F2482" t="s">
        <v>5529</v>
      </c>
      <c r="G2482">
        <v>5435</v>
      </c>
      <c r="H2482" t="s">
        <v>5530</v>
      </c>
      <c r="I2482" t="s">
        <v>96</v>
      </c>
      <c r="K2482">
        <v>2519556</v>
      </c>
      <c r="L2482">
        <v>1150344</v>
      </c>
      <c r="M2482">
        <v>461</v>
      </c>
      <c r="N2482" t="s">
        <v>5533</v>
      </c>
    </row>
    <row r="2483" spans="1:14" x14ac:dyDescent="0.25">
      <c r="A2483">
        <v>8583710</v>
      </c>
      <c r="B2483" t="s">
        <v>5534</v>
      </c>
      <c r="C2483" t="s">
        <v>94</v>
      </c>
      <c r="D2483" t="s">
        <v>86</v>
      </c>
      <c r="E2483" t="s">
        <v>87</v>
      </c>
      <c r="F2483" t="s">
        <v>5529</v>
      </c>
      <c r="G2483">
        <v>5435</v>
      </c>
      <c r="H2483" t="s">
        <v>5530</v>
      </c>
      <c r="I2483" t="s">
        <v>96</v>
      </c>
      <c r="K2483">
        <v>2519532</v>
      </c>
      <c r="L2483">
        <v>1151409</v>
      </c>
      <c r="M2483">
        <v>608</v>
      </c>
      <c r="N2483" t="s">
        <v>5535</v>
      </c>
    </row>
    <row r="2484" spans="1:14" x14ac:dyDescent="0.25">
      <c r="A2484">
        <v>8501863</v>
      </c>
      <c r="B2484" t="s">
        <v>5536</v>
      </c>
      <c r="C2484" t="s">
        <v>94</v>
      </c>
      <c r="D2484" t="s">
        <v>86</v>
      </c>
      <c r="E2484" t="s">
        <v>87</v>
      </c>
      <c r="F2484" t="s">
        <v>5537</v>
      </c>
      <c r="G2484">
        <v>5436</v>
      </c>
      <c r="H2484" t="s">
        <v>5538</v>
      </c>
      <c r="I2484" t="s">
        <v>96</v>
      </c>
      <c r="K2484">
        <v>2513309</v>
      </c>
      <c r="L2484">
        <v>1150321</v>
      </c>
      <c r="M2484">
        <v>730</v>
      </c>
      <c r="N2484" t="s">
        <v>5539</v>
      </c>
    </row>
    <row r="2485" spans="1:14" x14ac:dyDescent="0.25">
      <c r="A2485">
        <v>8589253</v>
      </c>
      <c r="B2485" t="s">
        <v>5540</v>
      </c>
      <c r="C2485" t="s">
        <v>85</v>
      </c>
      <c r="D2485" t="s">
        <v>86</v>
      </c>
      <c r="E2485" t="s">
        <v>87</v>
      </c>
      <c r="F2485" t="s">
        <v>5541</v>
      </c>
      <c r="G2485">
        <v>5646</v>
      </c>
      <c r="H2485" t="s">
        <v>5542</v>
      </c>
      <c r="I2485" t="s">
        <v>89</v>
      </c>
      <c r="K2485">
        <v>2524482.1645</v>
      </c>
      <c r="L2485">
        <v>1148438.37888</v>
      </c>
      <c r="M2485">
        <v>395.3</v>
      </c>
      <c r="N2485" t="s">
        <v>5543</v>
      </c>
    </row>
    <row r="2486" spans="1:14" x14ac:dyDescent="0.25">
      <c r="A2486">
        <v>8589252</v>
      </c>
      <c r="B2486" t="s">
        <v>5544</v>
      </c>
      <c r="C2486" t="s">
        <v>85</v>
      </c>
      <c r="D2486" t="s">
        <v>86</v>
      </c>
      <c r="E2486" t="s">
        <v>87</v>
      </c>
      <c r="F2486" t="s">
        <v>5541</v>
      </c>
      <c r="G2486">
        <v>5646</v>
      </c>
      <c r="H2486" t="s">
        <v>5542</v>
      </c>
      <c r="I2486" t="s">
        <v>89</v>
      </c>
      <c r="K2486">
        <v>2524685.3466599998</v>
      </c>
      <c r="L2486">
        <v>1148510.7502299999</v>
      </c>
      <c r="M2486">
        <v>386.8</v>
      </c>
      <c r="N2486" t="s">
        <v>5545</v>
      </c>
    </row>
    <row r="2487" spans="1:14" x14ac:dyDescent="0.25">
      <c r="A2487">
        <v>8589262</v>
      </c>
      <c r="B2487" t="s">
        <v>5546</v>
      </c>
      <c r="C2487" t="s">
        <v>85</v>
      </c>
      <c r="D2487" t="s">
        <v>86</v>
      </c>
      <c r="E2487" t="s">
        <v>87</v>
      </c>
      <c r="F2487" t="s">
        <v>5541</v>
      </c>
      <c r="G2487">
        <v>5646</v>
      </c>
      <c r="H2487" t="s">
        <v>5542</v>
      </c>
      <c r="I2487" t="s">
        <v>89</v>
      </c>
      <c r="K2487">
        <v>2524958</v>
      </c>
      <c r="L2487">
        <v>1148755</v>
      </c>
      <c r="M2487">
        <v>382</v>
      </c>
      <c r="N2487" t="s">
        <v>5547</v>
      </c>
    </row>
    <row r="2488" spans="1:14" x14ac:dyDescent="0.25">
      <c r="A2488">
        <v>8511342</v>
      </c>
      <c r="B2488" t="s">
        <v>5548</v>
      </c>
      <c r="C2488" t="s">
        <v>382</v>
      </c>
      <c r="D2488" t="s">
        <v>86</v>
      </c>
      <c r="E2488" t="s">
        <v>87</v>
      </c>
      <c r="F2488" t="s">
        <v>5541</v>
      </c>
      <c r="G2488">
        <v>5646</v>
      </c>
      <c r="H2488" t="s">
        <v>5542</v>
      </c>
      <c r="I2488" t="s">
        <v>384</v>
      </c>
      <c r="K2488">
        <v>2524626.2647600002</v>
      </c>
      <c r="L2488">
        <v>1148270.0499799999</v>
      </c>
      <c r="M2488">
        <v>393</v>
      </c>
      <c r="N2488" t="s">
        <v>5549</v>
      </c>
    </row>
    <row r="2489" spans="1:14" x14ac:dyDescent="0.25">
      <c r="A2489">
        <v>8506410</v>
      </c>
      <c r="B2489" t="s">
        <v>5550</v>
      </c>
      <c r="C2489" t="s">
        <v>85</v>
      </c>
      <c r="D2489" t="s">
        <v>86</v>
      </c>
      <c r="E2489" t="s">
        <v>87</v>
      </c>
      <c r="F2489" t="s">
        <v>5541</v>
      </c>
      <c r="G2489">
        <v>5646</v>
      </c>
      <c r="H2489" t="s">
        <v>5542</v>
      </c>
      <c r="I2489" t="s">
        <v>89</v>
      </c>
      <c r="K2489">
        <v>2524171.7727700002</v>
      </c>
      <c r="L2489">
        <v>1148031.4285899999</v>
      </c>
      <c r="M2489">
        <v>398.4</v>
      </c>
      <c r="N2489" t="s">
        <v>5551</v>
      </c>
    </row>
    <row r="2490" spans="1:14" x14ac:dyDescent="0.25">
      <c r="A2490">
        <v>8589251</v>
      </c>
      <c r="B2490" t="s">
        <v>5552</v>
      </c>
      <c r="C2490" t="s">
        <v>85</v>
      </c>
      <c r="D2490" t="s">
        <v>86</v>
      </c>
      <c r="E2490" t="s">
        <v>87</v>
      </c>
      <c r="F2490" t="s">
        <v>5541</v>
      </c>
      <c r="G2490">
        <v>5646</v>
      </c>
      <c r="H2490" t="s">
        <v>5542</v>
      </c>
      <c r="I2490" t="s">
        <v>89</v>
      </c>
      <c r="K2490">
        <v>2524890.75269</v>
      </c>
      <c r="L2490">
        <v>1148207.90992</v>
      </c>
      <c r="M2490">
        <v>375</v>
      </c>
      <c r="N2490" t="s">
        <v>5553</v>
      </c>
    </row>
    <row r="2491" spans="1:14" x14ac:dyDescent="0.25">
      <c r="A2491">
        <v>8589257</v>
      </c>
      <c r="B2491" t="s">
        <v>5554</v>
      </c>
      <c r="C2491" t="s">
        <v>85</v>
      </c>
      <c r="D2491" t="s">
        <v>86</v>
      </c>
      <c r="E2491" t="s">
        <v>87</v>
      </c>
      <c r="F2491" t="s">
        <v>5541</v>
      </c>
      <c r="G2491">
        <v>5646</v>
      </c>
      <c r="H2491" t="s">
        <v>5542</v>
      </c>
      <c r="I2491" t="s">
        <v>89</v>
      </c>
      <c r="K2491">
        <v>2523618</v>
      </c>
      <c r="L2491">
        <v>1147805</v>
      </c>
      <c r="M2491">
        <v>402</v>
      </c>
      <c r="N2491" t="s">
        <v>5555</v>
      </c>
    </row>
    <row r="2492" spans="1:14" x14ac:dyDescent="0.25">
      <c r="A2492">
        <v>8501036</v>
      </c>
      <c r="B2492" t="s">
        <v>5542</v>
      </c>
      <c r="C2492" t="s">
        <v>132</v>
      </c>
      <c r="D2492" t="s">
        <v>112</v>
      </c>
      <c r="E2492" t="s">
        <v>87</v>
      </c>
      <c r="F2492" t="s">
        <v>5541</v>
      </c>
      <c r="G2492">
        <v>5646</v>
      </c>
      <c r="H2492" t="s">
        <v>5542</v>
      </c>
      <c r="I2492" t="s">
        <v>133</v>
      </c>
      <c r="K2492">
        <v>2524537.165</v>
      </c>
      <c r="L2492">
        <v>1148362.3640000001</v>
      </c>
      <c r="M2492">
        <v>395.19</v>
      </c>
      <c r="N2492" t="s">
        <v>5556</v>
      </c>
    </row>
    <row r="2493" spans="1:14" x14ac:dyDescent="0.25">
      <c r="A2493">
        <v>8501321</v>
      </c>
      <c r="B2493" t="s">
        <v>5557</v>
      </c>
      <c r="C2493" t="s">
        <v>778</v>
      </c>
      <c r="D2493" t="s">
        <v>302</v>
      </c>
      <c r="E2493" t="s">
        <v>87</v>
      </c>
      <c r="F2493" t="s">
        <v>5541</v>
      </c>
      <c r="G2493">
        <v>5646</v>
      </c>
      <c r="H2493" t="s">
        <v>5542</v>
      </c>
      <c r="I2493" t="s">
        <v>780</v>
      </c>
      <c r="K2493">
        <v>2524993</v>
      </c>
      <c r="L2493">
        <v>1147960</v>
      </c>
      <c r="M2493">
        <v>373</v>
      </c>
      <c r="N2493" t="s">
        <v>5558</v>
      </c>
    </row>
    <row r="2494" spans="1:14" x14ac:dyDescent="0.25">
      <c r="A2494">
        <v>8595646</v>
      </c>
      <c r="B2494" t="s">
        <v>5559</v>
      </c>
      <c r="C2494" t="s">
        <v>85</v>
      </c>
      <c r="D2494" t="s">
        <v>86</v>
      </c>
      <c r="E2494" t="s">
        <v>87</v>
      </c>
      <c r="F2494" t="s">
        <v>5541</v>
      </c>
      <c r="G2494">
        <v>5646</v>
      </c>
      <c r="H2494" t="s">
        <v>5542</v>
      </c>
      <c r="I2494" t="s">
        <v>89</v>
      </c>
      <c r="K2494">
        <v>2524348.2974100001</v>
      </c>
      <c r="L2494">
        <v>1148661.85671</v>
      </c>
      <c r="M2494">
        <v>396.9</v>
      </c>
      <c r="N2494" t="s">
        <v>5560</v>
      </c>
    </row>
    <row r="2495" spans="1:14" x14ac:dyDescent="0.25">
      <c r="A2495">
        <v>8501127</v>
      </c>
      <c r="B2495" t="s">
        <v>5561</v>
      </c>
      <c r="C2495" t="s">
        <v>132</v>
      </c>
      <c r="D2495" t="s">
        <v>112</v>
      </c>
      <c r="E2495" t="s">
        <v>87</v>
      </c>
      <c r="F2495" t="s">
        <v>5562</v>
      </c>
      <c r="G2495">
        <v>5610</v>
      </c>
      <c r="H2495" t="s">
        <v>5563</v>
      </c>
      <c r="I2495" t="s">
        <v>133</v>
      </c>
      <c r="K2495">
        <v>2550722.284</v>
      </c>
      <c r="L2495">
        <v>1147009.8489999999</v>
      </c>
      <c r="M2495">
        <v>376.93</v>
      </c>
      <c r="N2495" t="s">
        <v>5564</v>
      </c>
    </row>
    <row r="2496" spans="1:14" x14ac:dyDescent="0.25">
      <c r="A2496">
        <v>8510135</v>
      </c>
      <c r="B2496" t="s">
        <v>5565</v>
      </c>
      <c r="C2496" t="s">
        <v>297</v>
      </c>
      <c r="D2496" t="s">
        <v>86</v>
      </c>
      <c r="E2496" t="s">
        <v>87</v>
      </c>
      <c r="F2496" t="s">
        <v>5562</v>
      </c>
      <c r="G2496">
        <v>5610</v>
      </c>
      <c r="H2496" t="s">
        <v>5563</v>
      </c>
      <c r="I2496" t="s">
        <v>298</v>
      </c>
      <c r="K2496">
        <v>2550804.5711500002</v>
      </c>
      <c r="L2496">
        <v>1147020.46808</v>
      </c>
      <c r="M2496">
        <v>385.1</v>
      </c>
      <c r="N2496" t="s">
        <v>5566</v>
      </c>
    </row>
    <row r="2497" spans="1:14" x14ac:dyDescent="0.25">
      <c r="A2497">
        <v>8588156</v>
      </c>
      <c r="B2497" t="s">
        <v>5567</v>
      </c>
      <c r="C2497" t="s">
        <v>242</v>
      </c>
      <c r="D2497" t="s">
        <v>86</v>
      </c>
      <c r="E2497" t="s">
        <v>87</v>
      </c>
      <c r="F2497" t="s">
        <v>5568</v>
      </c>
      <c r="G2497">
        <v>5648</v>
      </c>
      <c r="H2497" t="s">
        <v>1836</v>
      </c>
      <c r="I2497" t="s">
        <v>243</v>
      </c>
      <c r="K2497">
        <v>2531846</v>
      </c>
      <c r="L2497">
        <v>1151495</v>
      </c>
      <c r="M2497">
        <v>397</v>
      </c>
      <c r="N2497" t="s">
        <v>5569</v>
      </c>
    </row>
    <row r="2498" spans="1:14" x14ac:dyDescent="0.25">
      <c r="A2498">
        <v>8579231</v>
      </c>
      <c r="B2498" t="s">
        <v>5570</v>
      </c>
      <c r="C2498" t="s">
        <v>242</v>
      </c>
      <c r="D2498" t="s">
        <v>86</v>
      </c>
      <c r="E2498" t="s">
        <v>87</v>
      </c>
      <c r="F2498" t="s">
        <v>5568</v>
      </c>
      <c r="G2498">
        <v>5648</v>
      </c>
      <c r="H2498" t="s">
        <v>1836</v>
      </c>
      <c r="I2498" t="s">
        <v>243</v>
      </c>
      <c r="K2498">
        <v>2531519</v>
      </c>
      <c r="L2498">
        <v>1151671</v>
      </c>
      <c r="M2498">
        <v>397</v>
      </c>
      <c r="N2498" t="s">
        <v>5571</v>
      </c>
    </row>
    <row r="2499" spans="1:14" x14ac:dyDescent="0.25">
      <c r="A2499">
        <v>8510527</v>
      </c>
      <c r="B2499" t="s">
        <v>5572</v>
      </c>
      <c r="C2499" t="s">
        <v>85</v>
      </c>
      <c r="D2499" t="s">
        <v>86</v>
      </c>
      <c r="E2499" t="s">
        <v>87</v>
      </c>
      <c r="F2499" t="s">
        <v>5568</v>
      </c>
      <c r="G2499">
        <v>5648</v>
      </c>
      <c r="H2499" t="s">
        <v>1836</v>
      </c>
      <c r="I2499" t="s">
        <v>89</v>
      </c>
      <c r="K2499">
        <v>2532295.7123799999</v>
      </c>
      <c r="L2499">
        <v>1151769.50184</v>
      </c>
      <c r="M2499">
        <v>405</v>
      </c>
      <c r="N2499" t="s">
        <v>5573</v>
      </c>
    </row>
    <row r="2500" spans="1:14" x14ac:dyDescent="0.25">
      <c r="A2500">
        <v>8510526</v>
      </c>
      <c r="B2500" t="s">
        <v>5574</v>
      </c>
      <c r="C2500" t="s">
        <v>85</v>
      </c>
      <c r="D2500" t="s">
        <v>86</v>
      </c>
      <c r="E2500" t="s">
        <v>87</v>
      </c>
      <c r="F2500" t="s">
        <v>5568</v>
      </c>
      <c r="G2500">
        <v>5648</v>
      </c>
      <c r="H2500" t="s">
        <v>1836</v>
      </c>
      <c r="I2500" t="s">
        <v>89</v>
      </c>
      <c r="K2500">
        <v>2531784.04427</v>
      </c>
      <c r="L2500">
        <v>1151773.36619</v>
      </c>
      <c r="M2500">
        <v>398.8</v>
      </c>
      <c r="N2500" t="s">
        <v>5575</v>
      </c>
    </row>
    <row r="2501" spans="1:14" x14ac:dyDescent="0.25">
      <c r="A2501">
        <v>8592226</v>
      </c>
      <c r="B2501" t="s">
        <v>5576</v>
      </c>
      <c r="C2501" t="s">
        <v>242</v>
      </c>
      <c r="D2501" t="s">
        <v>86</v>
      </c>
      <c r="E2501" t="s">
        <v>87</v>
      </c>
      <c r="F2501" t="s">
        <v>5568</v>
      </c>
      <c r="G2501">
        <v>5648</v>
      </c>
      <c r="H2501" t="s">
        <v>1836</v>
      </c>
      <c r="I2501" t="s">
        <v>243</v>
      </c>
      <c r="K2501">
        <v>2532871</v>
      </c>
      <c r="L2501">
        <v>1151912</v>
      </c>
      <c r="M2501">
        <v>387</v>
      </c>
      <c r="N2501" t="s">
        <v>5577</v>
      </c>
    </row>
    <row r="2502" spans="1:14" x14ac:dyDescent="0.25">
      <c r="A2502">
        <v>8595223</v>
      </c>
      <c r="B2502" t="s">
        <v>5578</v>
      </c>
      <c r="C2502" t="s">
        <v>85</v>
      </c>
      <c r="D2502" t="s">
        <v>86</v>
      </c>
      <c r="E2502" t="s">
        <v>87</v>
      </c>
      <c r="F2502" t="s">
        <v>5568</v>
      </c>
      <c r="G2502">
        <v>5648</v>
      </c>
      <c r="H2502" t="s">
        <v>1836</v>
      </c>
      <c r="I2502" t="s">
        <v>89</v>
      </c>
      <c r="K2502">
        <v>2532863</v>
      </c>
      <c r="L2502">
        <v>1152073</v>
      </c>
      <c r="M2502">
        <v>394</v>
      </c>
      <c r="N2502" t="s">
        <v>5579</v>
      </c>
    </row>
    <row r="2503" spans="1:14" x14ac:dyDescent="0.25">
      <c r="A2503">
        <v>8588158</v>
      </c>
      <c r="B2503" t="s">
        <v>5580</v>
      </c>
      <c r="C2503" t="s">
        <v>242</v>
      </c>
      <c r="D2503" t="s">
        <v>86</v>
      </c>
      <c r="E2503" t="s">
        <v>87</v>
      </c>
      <c r="F2503" t="s">
        <v>5568</v>
      </c>
      <c r="G2503">
        <v>5648</v>
      </c>
      <c r="H2503" t="s">
        <v>1836</v>
      </c>
      <c r="I2503" t="s">
        <v>243</v>
      </c>
      <c r="K2503">
        <v>2532419</v>
      </c>
      <c r="L2503">
        <v>1151355</v>
      </c>
      <c r="M2503">
        <v>397</v>
      </c>
      <c r="N2503" t="s">
        <v>5581</v>
      </c>
    </row>
    <row r="2504" spans="1:14" x14ac:dyDescent="0.25">
      <c r="A2504">
        <v>8588157</v>
      </c>
      <c r="B2504" t="s">
        <v>5582</v>
      </c>
      <c r="C2504" t="s">
        <v>242</v>
      </c>
      <c r="D2504" t="s">
        <v>86</v>
      </c>
      <c r="E2504" t="s">
        <v>87</v>
      </c>
      <c r="F2504" t="s">
        <v>5568</v>
      </c>
      <c r="G2504">
        <v>5648</v>
      </c>
      <c r="H2504" t="s">
        <v>1836</v>
      </c>
      <c r="I2504" t="s">
        <v>243</v>
      </c>
      <c r="K2504">
        <v>2532528</v>
      </c>
      <c r="L2504">
        <v>1151716</v>
      </c>
      <c r="M2504">
        <v>397</v>
      </c>
      <c r="N2504" t="s">
        <v>5583</v>
      </c>
    </row>
    <row r="2505" spans="1:14" x14ac:dyDescent="0.25">
      <c r="A2505">
        <v>8588155</v>
      </c>
      <c r="B2505" t="s">
        <v>5584</v>
      </c>
      <c r="C2505" t="s">
        <v>242</v>
      </c>
      <c r="D2505" t="s">
        <v>86</v>
      </c>
      <c r="E2505" t="s">
        <v>87</v>
      </c>
      <c r="F2505" t="s">
        <v>5568</v>
      </c>
      <c r="G2505">
        <v>5648</v>
      </c>
      <c r="H2505" t="s">
        <v>1836</v>
      </c>
      <c r="I2505" t="s">
        <v>243</v>
      </c>
      <c r="K2505">
        <v>2532069</v>
      </c>
      <c r="L2505">
        <v>1151404</v>
      </c>
      <c r="M2505">
        <v>397</v>
      </c>
      <c r="N2505" t="s">
        <v>5585</v>
      </c>
    </row>
    <row r="2506" spans="1:14" x14ac:dyDescent="0.25">
      <c r="A2506">
        <v>8510525</v>
      </c>
      <c r="B2506" t="s">
        <v>5586</v>
      </c>
      <c r="C2506" t="s">
        <v>85</v>
      </c>
      <c r="D2506" t="s">
        <v>86</v>
      </c>
      <c r="E2506" t="s">
        <v>87</v>
      </c>
      <c r="F2506" t="s">
        <v>5568</v>
      </c>
      <c r="G2506">
        <v>5648</v>
      </c>
      <c r="H2506" t="s">
        <v>1836</v>
      </c>
      <c r="I2506" t="s">
        <v>89</v>
      </c>
      <c r="K2506">
        <v>2531524.5194899999</v>
      </c>
      <c r="L2506">
        <v>1151737.00211</v>
      </c>
      <c r="M2506">
        <v>395</v>
      </c>
      <c r="N2506" t="s">
        <v>5587</v>
      </c>
    </row>
    <row r="2507" spans="1:14" x14ac:dyDescent="0.25">
      <c r="A2507">
        <v>8594988</v>
      </c>
      <c r="B2507" t="s">
        <v>5588</v>
      </c>
      <c r="C2507" t="s">
        <v>242</v>
      </c>
      <c r="D2507" t="s">
        <v>86</v>
      </c>
      <c r="E2507" t="s">
        <v>87</v>
      </c>
      <c r="F2507" t="s">
        <v>5568</v>
      </c>
      <c r="G2507">
        <v>5648</v>
      </c>
      <c r="H2507" t="s">
        <v>1836</v>
      </c>
      <c r="I2507" t="s">
        <v>243</v>
      </c>
      <c r="K2507">
        <v>2531466</v>
      </c>
      <c r="L2507">
        <v>1151782</v>
      </c>
      <c r="M2507">
        <v>394</v>
      </c>
      <c r="N2507" t="s">
        <v>5589</v>
      </c>
    </row>
    <row r="2508" spans="1:14" x14ac:dyDescent="0.25">
      <c r="A2508">
        <v>8501245</v>
      </c>
      <c r="B2508" t="s">
        <v>5590</v>
      </c>
      <c r="C2508" t="s">
        <v>778</v>
      </c>
      <c r="D2508" t="s">
        <v>302</v>
      </c>
      <c r="E2508" t="s">
        <v>87</v>
      </c>
      <c r="F2508" t="s">
        <v>5568</v>
      </c>
      <c r="G2508">
        <v>5648</v>
      </c>
      <c r="H2508" t="s">
        <v>1836</v>
      </c>
      <c r="I2508" t="s">
        <v>780</v>
      </c>
      <c r="K2508">
        <v>2532656.66</v>
      </c>
      <c r="L2508">
        <v>1151186.0498299999</v>
      </c>
      <c r="M2508">
        <v>374</v>
      </c>
      <c r="N2508" t="s">
        <v>5591</v>
      </c>
    </row>
    <row r="2509" spans="1:14" x14ac:dyDescent="0.25">
      <c r="A2509">
        <v>8592227</v>
      </c>
      <c r="B2509" t="s">
        <v>5592</v>
      </c>
      <c r="C2509" t="s">
        <v>242</v>
      </c>
      <c r="D2509" t="s">
        <v>86</v>
      </c>
      <c r="E2509" t="s">
        <v>87</v>
      </c>
      <c r="F2509" t="s">
        <v>5568</v>
      </c>
      <c r="G2509">
        <v>5648</v>
      </c>
      <c r="H2509" t="s">
        <v>1836</v>
      </c>
      <c r="I2509" t="s">
        <v>243</v>
      </c>
      <c r="K2509">
        <v>2533389.0391000002</v>
      </c>
      <c r="L2509">
        <v>1152057.10831</v>
      </c>
      <c r="M2509">
        <v>390.6</v>
      </c>
      <c r="N2509" t="s">
        <v>5593</v>
      </c>
    </row>
    <row r="2510" spans="1:14" x14ac:dyDescent="0.25">
      <c r="A2510">
        <v>8570125</v>
      </c>
      <c r="B2510" t="s">
        <v>5594</v>
      </c>
      <c r="C2510" t="s">
        <v>94</v>
      </c>
      <c r="D2510" t="s">
        <v>86</v>
      </c>
      <c r="E2510" t="s">
        <v>87</v>
      </c>
      <c r="F2510" t="s">
        <v>5595</v>
      </c>
      <c r="G2510">
        <v>5437</v>
      </c>
      <c r="H2510" t="s">
        <v>5595</v>
      </c>
      <c r="I2510" t="s">
        <v>96</v>
      </c>
      <c r="K2510">
        <v>2514923</v>
      </c>
      <c r="L2510">
        <v>1151997</v>
      </c>
      <c r="M2510">
        <v>685</v>
      </c>
      <c r="N2510" t="s">
        <v>5596</v>
      </c>
    </row>
    <row r="2511" spans="1:14" x14ac:dyDescent="0.25">
      <c r="A2511">
        <v>8504172</v>
      </c>
      <c r="B2511" t="s">
        <v>5597</v>
      </c>
      <c r="C2511" t="s">
        <v>94</v>
      </c>
      <c r="D2511" t="s">
        <v>86</v>
      </c>
      <c r="E2511" t="s">
        <v>87</v>
      </c>
      <c r="F2511" t="s">
        <v>64</v>
      </c>
      <c r="G2511">
        <v>5611</v>
      </c>
      <c r="H2511" t="s">
        <v>64</v>
      </c>
      <c r="I2511" t="s">
        <v>96</v>
      </c>
      <c r="K2511">
        <v>2543655</v>
      </c>
      <c r="L2511">
        <v>1154636</v>
      </c>
      <c r="M2511">
        <v>803</v>
      </c>
      <c r="N2511" t="s">
        <v>5598</v>
      </c>
    </row>
    <row r="2512" spans="1:14" x14ac:dyDescent="0.25">
      <c r="A2512">
        <v>8579250</v>
      </c>
      <c r="B2512" t="s">
        <v>5599</v>
      </c>
      <c r="C2512" t="s">
        <v>94</v>
      </c>
      <c r="D2512" t="s">
        <v>86</v>
      </c>
      <c r="E2512" t="s">
        <v>87</v>
      </c>
      <c r="F2512" t="s">
        <v>64</v>
      </c>
      <c r="G2512">
        <v>5611</v>
      </c>
      <c r="H2512" t="s">
        <v>5600</v>
      </c>
      <c r="I2512" t="s">
        <v>96</v>
      </c>
      <c r="K2512">
        <v>2547236</v>
      </c>
      <c r="L2512">
        <v>1156368</v>
      </c>
      <c r="M2512">
        <v>831</v>
      </c>
      <c r="N2512" t="s">
        <v>5601</v>
      </c>
    </row>
    <row r="2513" spans="1:14" x14ac:dyDescent="0.25">
      <c r="A2513">
        <v>8592228</v>
      </c>
      <c r="B2513" t="s">
        <v>5602</v>
      </c>
      <c r="C2513" t="s">
        <v>94</v>
      </c>
      <c r="D2513" t="s">
        <v>86</v>
      </c>
      <c r="E2513" t="s">
        <v>87</v>
      </c>
      <c r="F2513" t="s">
        <v>64</v>
      </c>
      <c r="G2513">
        <v>5611</v>
      </c>
      <c r="H2513" t="s">
        <v>64</v>
      </c>
      <c r="I2513" t="s">
        <v>96</v>
      </c>
      <c r="K2513">
        <v>2545242</v>
      </c>
      <c r="L2513">
        <v>1154537</v>
      </c>
      <c r="M2513">
        <v>823</v>
      </c>
      <c r="N2513" t="s">
        <v>5603</v>
      </c>
    </row>
    <row r="2514" spans="1:14" x14ac:dyDescent="0.25">
      <c r="A2514">
        <v>8592229</v>
      </c>
      <c r="B2514" t="s">
        <v>5604</v>
      </c>
      <c r="C2514" t="s">
        <v>94</v>
      </c>
      <c r="D2514" t="s">
        <v>86</v>
      </c>
      <c r="E2514" t="s">
        <v>87</v>
      </c>
      <c r="F2514" t="s">
        <v>64</v>
      </c>
      <c r="G2514">
        <v>5611</v>
      </c>
      <c r="H2514" t="s">
        <v>5600</v>
      </c>
      <c r="I2514" t="s">
        <v>96</v>
      </c>
      <c r="K2514">
        <v>2546955</v>
      </c>
      <c r="L2514">
        <v>1155673</v>
      </c>
      <c r="M2514">
        <v>820</v>
      </c>
      <c r="N2514" t="s">
        <v>5605</v>
      </c>
    </row>
    <row r="2515" spans="1:14" x14ac:dyDescent="0.25">
      <c r="A2515">
        <v>8592234</v>
      </c>
      <c r="B2515" t="s">
        <v>5606</v>
      </c>
      <c r="C2515" t="s">
        <v>94</v>
      </c>
      <c r="D2515" t="s">
        <v>86</v>
      </c>
      <c r="E2515" t="s">
        <v>87</v>
      </c>
      <c r="F2515" t="s">
        <v>64</v>
      </c>
      <c r="G2515">
        <v>5611</v>
      </c>
      <c r="H2515" t="s">
        <v>5600</v>
      </c>
      <c r="I2515" t="s">
        <v>96</v>
      </c>
      <c r="K2515">
        <v>2546849</v>
      </c>
      <c r="L2515">
        <v>1155407</v>
      </c>
      <c r="M2515">
        <v>809</v>
      </c>
      <c r="N2515" t="s">
        <v>5607</v>
      </c>
    </row>
    <row r="2516" spans="1:14" x14ac:dyDescent="0.25">
      <c r="A2516">
        <v>8592233</v>
      </c>
      <c r="B2516" t="s">
        <v>5608</v>
      </c>
      <c r="C2516" t="s">
        <v>94</v>
      </c>
      <c r="D2516" t="s">
        <v>86</v>
      </c>
      <c r="E2516" t="s">
        <v>87</v>
      </c>
      <c r="F2516" t="s">
        <v>64</v>
      </c>
      <c r="G2516">
        <v>5611</v>
      </c>
      <c r="H2516" t="s">
        <v>64</v>
      </c>
      <c r="I2516" t="s">
        <v>96</v>
      </c>
      <c r="K2516">
        <v>2544546</v>
      </c>
      <c r="L2516">
        <v>1154761</v>
      </c>
      <c r="M2516">
        <v>818</v>
      </c>
      <c r="N2516" t="s">
        <v>5609</v>
      </c>
    </row>
    <row r="2517" spans="1:14" x14ac:dyDescent="0.25">
      <c r="A2517">
        <v>8592232</v>
      </c>
      <c r="B2517" t="s">
        <v>5610</v>
      </c>
      <c r="C2517" t="s">
        <v>94</v>
      </c>
      <c r="D2517" t="s">
        <v>86</v>
      </c>
      <c r="E2517" t="s">
        <v>87</v>
      </c>
      <c r="F2517" t="s">
        <v>64</v>
      </c>
      <c r="G2517">
        <v>5611</v>
      </c>
      <c r="H2517" t="s">
        <v>64</v>
      </c>
      <c r="I2517" t="s">
        <v>96</v>
      </c>
      <c r="K2517">
        <v>2546033</v>
      </c>
      <c r="L2517">
        <v>1154707</v>
      </c>
      <c r="M2517">
        <v>815</v>
      </c>
      <c r="N2517" t="s">
        <v>5611</v>
      </c>
    </row>
    <row r="2518" spans="1:14" x14ac:dyDescent="0.25">
      <c r="A2518">
        <v>8592231</v>
      </c>
      <c r="B2518" t="s">
        <v>5612</v>
      </c>
      <c r="C2518" t="s">
        <v>94</v>
      </c>
      <c r="D2518" t="s">
        <v>86</v>
      </c>
      <c r="E2518" t="s">
        <v>87</v>
      </c>
      <c r="F2518" t="s">
        <v>64</v>
      </c>
      <c r="G2518">
        <v>5611</v>
      </c>
      <c r="H2518" t="s">
        <v>5600</v>
      </c>
      <c r="I2518" t="s">
        <v>96</v>
      </c>
      <c r="K2518">
        <v>2547048</v>
      </c>
      <c r="L2518">
        <v>1155895</v>
      </c>
      <c r="M2518">
        <v>825</v>
      </c>
      <c r="N2518" t="s">
        <v>5613</v>
      </c>
    </row>
    <row r="2519" spans="1:14" x14ac:dyDescent="0.25">
      <c r="A2519">
        <v>8592230</v>
      </c>
      <c r="B2519" t="s">
        <v>5614</v>
      </c>
      <c r="C2519" t="s">
        <v>94</v>
      </c>
      <c r="D2519" t="s">
        <v>86</v>
      </c>
      <c r="E2519" t="s">
        <v>87</v>
      </c>
      <c r="F2519" t="s">
        <v>64</v>
      </c>
      <c r="G2519">
        <v>5611</v>
      </c>
      <c r="H2519" t="s">
        <v>64</v>
      </c>
      <c r="I2519" t="s">
        <v>96</v>
      </c>
      <c r="K2519">
        <v>2546326</v>
      </c>
      <c r="L2519">
        <v>1154921</v>
      </c>
      <c r="M2519">
        <v>809</v>
      </c>
      <c r="N2519" t="s">
        <v>5615</v>
      </c>
    </row>
    <row r="2520" spans="1:14" x14ac:dyDescent="0.25">
      <c r="A2520">
        <v>8504173</v>
      </c>
      <c r="B2520" t="s">
        <v>5616</v>
      </c>
      <c r="C2520" t="s">
        <v>94</v>
      </c>
      <c r="D2520" t="s">
        <v>86</v>
      </c>
      <c r="E2520" t="s">
        <v>87</v>
      </c>
      <c r="F2520" t="s">
        <v>64</v>
      </c>
      <c r="G2520">
        <v>5611</v>
      </c>
      <c r="H2520" t="s">
        <v>64</v>
      </c>
      <c r="I2520" t="s">
        <v>96</v>
      </c>
      <c r="K2520">
        <v>2545711</v>
      </c>
      <c r="L2520">
        <v>1154384</v>
      </c>
      <c r="M2520">
        <v>799</v>
      </c>
      <c r="N2520" t="s">
        <v>5617</v>
      </c>
    </row>
    <row r="2521" spans="1:14" x14ac:dyDescent="0.25">
      <c r="A2521">
        <v>8570108</v>
      </c>
      <c r="B2521" t="s">
        <v>5618</v>
      </c>
      <c r="C2521" t="s">
        <v>85</v>
      </c>
      <c r="D2521" t="s">
        <v>86</v>
      </c>
      <c r="E2521" t="s">
        <v>87</v>
      </c>
      <c r="F2521" t="s">
        <v>5619</v>
      </c>
      <c r="G2521">
        <v>5499</v>
      </c>
      <c r="H2521" t="s">
        <v>5619</v>
      </c>
      <c r="I2521" t="s">
        <v>89</v>
      </c>
      <c r="K2521">
        <v>2527066.34039</v>
      </c>
      <c r="L2521">
        <v>1161460.5688</v>
      </c>
      <c r="M2521">
        <v>582.5</v>
      </c>
      <c r="N2521" t="s">
        <v>5620</v>
      </c>
    </row>
    <row r="2522" spans="1:14" x14ac:dyDescent="0.25">
      <c r="A2522">
        <v>8579102</v>
      </c>
      <c r="B2522" t="s">
        <v>5621</v>
      </c>
      <c r="C2522" t="s">
        <v>338</v>
      </c>
      <c r="D2522" t="s">
        <v>86</v>
      </c>
      <c r="E2522" t="s">
        <v>87</v>
      </c>
      <c r="F2522" t="s">
        <v>5621</v>
      </c>
      <c r="G2522">
        <v>5762</v>
      </c>
      <c r="H2522" t="s">
        <v>5621</v>
      </c>
      <c r="I2522" t="s">
        <v>340</v>
      </c>
      <c r="K2522">
        <v>2528259</v>
      </c>
      <c r="L2522">
        <v>1178151.0009999999</v>
      </c>
      <c r="M2522">
        <v>612</v>
      </c>
      <c r="N2522" t="s">
        <v>5622</v>
      </c>
    </row>
    <row r="2523" spans="1:14" x14ac:dyDescent="0.25">
      <c r="A2523">
        <v>8505530</v>
      </c>
      <c r="B2523" t="s">
        <v>5623</v>
      </c>
      <c r="C2523" t="s">
        <v>94</v>
      </c>
      <c r="D2523" t="s">
        <v>86</v>
      </c>
      <c r="E2523" t="s">
        <v>87</v>
      </c>
      <c r="F2523" t="s">
        <v>5624</v>
      </c>
      <c r="G2523">
        <v>5799</v>
      </c>
      <c r="H2523" t="s">
        <v>5624</v>
      </c>
      <c r="I2523" t="s">
        <v>96</v>
      </c>
      <c r="K2523">
        <v>2549710</v>
      </c>
      <c r="L2523">
        <v>1157685</v>
      </c>
      <c r="M2523">
        <v>742</v>
      </c>
      <c r="N2523" t="s">
        <v>5625</v>
      </c>
    </row>
    <row r="2524" spans="1:14" x14ac:dyDescent="0.25">
      <c r="A2524">
        <v>8581429</v>
      </c>
      <c r="B2524" t="s">
        <v>5626</v>
      </c>
      <c r="C2524" t="s">
        <v>94</v>
      </c>
      <c r="D2524" t="s">
        <v>86</v>
      </c>
      <c r="E2524" t="s">
        <v>87</v>
      </c>
      <c r="F2524" t="s">
        <v>5624</v>
      </c>
      <c r="G2524">
        <v>5799</v>
      </c>
      <c r="H2524" t="s">
        <v>5624</v>
      </c>
      <c r="I2524" t="s">
        <v>96</v>
      </c>
      <c r="K2524">
        <v>2549434</v>
      </c>
      <c r="L2524">
        <v>1157989</v>
      </c>
      <c r="M2524">
        <v>736</v>
      </c>
      <c r="N2524" t="s">
        <v>5627</v>
      </c>
    </row>
    <row r="2525" spans="1:14" x14ac:dyDescent="0.25">
      <c r="A2525">
        <v>8557026</v>
      </c>
      <c r="B2525" t="s">
        <v>5628</v>
      </c>
      <c r="C2525" t="s">
        <v>94</v>
      </c>
      <c r="D2525" t="s">
        <v>86</v>
      </c>
      <c r="E2525" t="s">
        <v>87</v>
      </c>
      <c r="F2525" t="s">
        <v>5624</v>
      </c>
      <c r="G2525">
        <v>5799</v>
      </c>
      <c r="H2525" t="s">
        <v>5624</v>
      </c>
      <c r="I2525" t="s">
        <v>96</v>
      </c>
      <c r="K2525">
        <v>2549798</v>
      </c>
      <c r="L2525">
        <v>1158482</v>
      </c>
      <c r="M2525">
        <v>752</v>
      </c>
      <c r="N2525" t="s">
        <v>5629</v>
      </c>
    </row>
    <row r="2526" spans="1:14" x14ac:dyDescent="0.25">
      <c r="A2526">
        <v>8504997</v>
      </c>
      <c r="B2526" t="s">
        <v>5630</v>
      </c>
      <c r="C2526" t="s">
        <v>94</v>
      </c>
      <c r="D2526" t="s">
        <v>86</v>
      </c>
      <c r="E2526" t="s">
        <v>87</v>
      </c>
      <c r="F2526" t="s">
        <v>5624</v>
      </c>
      <c r="G2526">
        <v>5799</v>
      </c>
      <c r="H2526" t="s">
        <v>5624</v>
      </c>
      <c r="I2526" t="s">
        <v>96</v>
      </c>
      <c r="K2526">
        <v>2548897</v>
      </c>
      <c r="L2526">
        <v>1157422</v>
      </c>
      <c r="M2526">
        <v>764</v>
      </c>
      <c r="N2526" t="s">
        <v>5631</v>
      </c>
    </row>
    <row r="2527" spans="1:14" x14ac:dyDescent="0.25">
      <c r="A2527">
        <v>8570462</v>
      </c>
      <c r="B2527" t="s">
        <v>5632</v>
      </c>
      <c r="C2527" t="s">
        <v>94</v>
      </c>
      <c r="D2527" t="s">
        <v>86</v>
      </c>
      <c r="E2527" t="s">
        <v>87</v>
      </c>
      <c r="F2527" t="s">
        <v>5624</v>
      </c>
      <c r="G2527">
        <v>5799</v>
      </c>
      <c r="H2527" t="s">
        <v>5624</v>
      </c>
      <c r="I2527" t="s">
        <v>96</v>
      </c>
      <c r="K2527">
        <v>2549668</v>
      </c>
      <c r="L2527">
        <v>1157654</v>
      </c>
      <c r="M2527">
        <v>744</v>
      </c>
      <c r="N2527" t="s">
        <v>5633</v>
      </c>
    </row>
    <row r="2528" spans="1:14" x14ac:dyDescent="0.25">
      <c r="A2528">
        <v>8570421</v>
      </c>
      <c r="B2528" t="s">
        <v>5634</v>
      </c>
      <c r="C2528" t="s">
        <v>94</v>
      </c>
      <c r="D2528" t="s">
        <v>86</v>
      </c>
      <c r="E2528" t="s">
        <v>87</v>
      </c>
      <c r="F2528" t="s">
        <v>5624</v>
      </c>
      <c r="G2528">
        <v>5799</v>
      </c>
      <c r="H2528" t="s">
        <v>5624</v>
      </c>
      <c r="I2528" t="s">
        <v>96</v>
      </c>
      <c r="K2528">
        <v>2549780</v>
      </c>
      <c r="L2528">
        <v>1159293</v>
      </c>
      <c r="M2528">
        <v>768</v>
      </c>
      <c r="N2528" t="s">
        <v>5635</v>
      </c>
    </row>
    <row r="2529" spans="1:14" x14ac:dyDescent="0.25">
      <c r="A2529">
        <v>8570420</v>
      </c>
      <c r="B2529" t="s">
        <v>5636</v>
      </c>
      <c r="C2529" t="s">
        <v>94</v>
      </c>
      <c r="D2529" t="s">
        <v>86</v>
      </c>
      <c r="E2529" t="s">
        <v>87</v>
      </c>
      <c r="F2529" t="s">
        <v>5624</v>
      </c>
      <c r="G2529">
        <v>5799</v>
      </c>
      <c r="H2529" t="s">
        <v>5624</v>
      </c>
      <c r="I2529" t="s">
        <v>96</v>
      </c>
      <c r="K2529">
        <v>2549588</v>
      </c>
      <c r="L2529">
        <v>1158205</v>
      </c>
      <c r="M2529">
        <v>739</v>
      </c>
      <c r="N2529" t="s">
        <v>5637</v>
      </c>
    </row>
    <row r="2530" spans="1:14" x14ac:dyDescent="0.25">
      <c r="A2530">
        <v>8570419</v>
      </c>
      <c r="B2530" t="s">
        <v>5638</v>
      </c>
      <c r="C2530" t="s">
        <v>94</v>
      </c>
      <c r="D2530" t="s">
        <v>86</v>
      </c>
      <c r="E2530" t="s">
        <v>87</v>
      </c>
      <c r="F2530" t="s">
        <v>5624</v>
      </c>
      <c r="G2530">
        <v>5799</v>
      </c>
      <c r="H2530" t="s">
        <v>5639</v>
      </c>
      <c r="I2530" t="s">
        <v>96</v>
      </c>
      <c r="K2530">
        <v>2547875</v>
      </c>
      <c r="L2530">
        <v>1157310</v>
      </c>
      <c r="M2530">
        <v>801</v>
      </c>
      <c r="N2530" t="s">
        <v>5640</v>
      </c>
    </row>
    <row r="2531" spans="1:14" x14ac:dyDescent="0.25">
      <c r="A2531">
        <v>8504169</v>
      </c>
      <c r="B2531" t="s">
        <v>5641</v>
      </c>
      <c r="C2531" t="s">
        <v>94</v>
      </c>
      <c r="D2531" t="s">
        <v>86</v>
      </c>
      <c r="E2531" t="s">
        <v>87</v>
      </c>
      <c r="F2531" t="s">
        <v>5624</v>
      </c>
      <c r="G2531">
        <v>5799</v>
      </c>
      <c r="H2531" t="s">
        <v>5639</v>
      </c>
      <c r="I2531" t="s">
        <v>96</v>
      </c>
      <c r="K2531">
        <v>2547399</v>
      </c>
      <c r="L2531">
        <v>1158191</v>
      </c>
      <c r="M2531">
        <v>836</v>
      </c>
      <c r="N2531" t="s">
        <v>5642</v>
      </c>
    </row>
    <row r="2532" spans="1:14" x14ac:dyDescent="0.25">
      <c r="A2532">
        <v>8570005</v>
      </c>
      <c r="B2532" t="s">
        <v>5643</v>
      </c>
      <c r="C2532" t="s">
        <v>206</v>
      </c>
      <c r="D2532" t="s">
        <v>86</v>
      </c>
      <c r="E2532" t="s">
        <v>87</v>
      </c>
      <c r="F2532" t="s">
        <v>5644</v>
      </c>
      <c r="G2532">
        <v>5728</v>
      </c>
      <c r="H2532" t="s">
        <v>5645</v>
      </c>
      <c r="I2532" t="s">
        <v>208</v>
      </c>
      <c r="K2532">
        <v>2505155.8956599999</v>
      </c>
      <c r="L2532">
        <v>1139248.5304700001</v>
      </c>
      <c r="M2532">
        <v>479.2</v>
      </c>
      <c r="N2532" t="s">
        <v>5646</v>
      </c>
    </row>
    <row r="2533" spans="1:14" x14ac:dyDescent="0.25">
      <c r="A2533">
        <v>8501969</v>
      </c>
      <c r="B2533" t="s">
        <v>5647</v>
      </c>
      <c r="C2533" t="s">
        <v>206</v>
      </c>
      <c r="D2533" t="s">
        <v>86</v>
      </c>
      <c r="E2533" t="s">
        <v>87</v>
      </c>
      <c r="F2533" t="s">
        <v>5644</v>
      </c>
      <c r="G2533">
        <v>5728</v>
      </c>
      <c r="H2533" t="s">
        <v>5645</v>
      </c>
      <c r="I2533" t="s">
        <v>208</v>
      </c>
      <c r="K2533">
        <v>2504550</v>
      </c>
      <c r="L2533">
        <v>1138350</v>
      </c>
      <c r="M2533">
        <v>470</v>
      </c>
      <c r="N2533" t="s">
        <v>5648</v>
      </c>
    </row>
    <row r="2534" spans="1:14" x14ac:dyDescent="0.25">
      <c r="A2534">
        <v>8501970</v>
      </c>
      <c r="B2534" t="s">
        <v>5649</v>
      </c>
      <c r="C2534" t="s">
        <v>206</v>
      </c>
      <c r="D2534" t="s">
        <v>86</v>
      </c>
      <c r="E2534" t="s">
        <v>87</v>
      </c>
      <c r="F2534" t="s">
        <v>5644</v>
      </c>
      <c r="G2534">
        <v>5728</v>
      </c>
      <c r="H2534" t="s">
        <v>5645</v>
      </c>
      <c r="I2534" t="s">
        <v>208</v>
      </c>
      <c r="K2534">
        <v>2504907</v>
      </c>
      <c r="L2534">
        <v>1138440</v>
      </c>
      <c r="M2534">
        <v>470</v>
      </c>
      <c r="N2534" t="s">
        <v>5650</v>
      </c>
    </row>
    <row r="2535" spans="1:14" x14ac:dyDescent="0.25">
      <c r="A2535">
        <v>8579734</v>
      </c>
      <c r="B2535" t="s">
        <v>5651</v>
      </c>
      <c r="C2535" t="s">
        <v>94</v>
      </c>
      <c r="D2535" t="s">
        <v>86</v>
      </c>
      <c r="E2535" t="s">
        <v>87</v>
      </c>
      <c r="F2535" t="s">
        <v>5652</v>
      </c>
      <c r="G2535">
        <v>5929</v>
      </c>
      <c r="H2535" t="s">
        <v>5652</v>
      </c>
      <c r="I2535" t="s">
        <v>96</v>
      </c>
      <c r="K2535">
        <v>2535800</v>
      </c>
      <c r="L2535">
        <v>1174952</v>
      </c>
      <c r="M2535">
        <v>583</v>
      </c>
      <c r="N2535" t="s">
        <v>5653</v>
      </c>
    </row>
    <row r="2536" spans="1:14" x14ac:dyDescent="0.25">
      <c r="A2536">
        <v>8579733</v>
      </c>
      <c r="B2536" t="s">
        <v>5654</v>
      </c>
      <c r="C2536" t="s">
        <v>94</v>
      </c>
      <c r="D2536" t="s">
        <v>86</v>
      </c>
      <c r="E2536" t="s">
        <v>87</v>
      </c>
      <c r="F2536" t="s">
        <v>5652</v>
      </c>
      <c r="G2536">
        <v>5929</v>
      </c>
      <c r="H2536" t="s">
        <v>5652</v>
      </c>
      <c r="I2536" t="s">
        <v>96</v>
      </c>
      <c r="K2536">
        <v>2535970</v>
      </c>
      <c r="L2536">
        <v>1175185</v>
      </c>
      <c r="M2536">
        <v>588</v>
      </c>
      <c r="N2536" t="s">
        <v>5655</v>
      </c>
    </row>
    <row r="2537" spans="1:14" x14ac:dyDescent="0.25">
      <c r="A2537">
        <v>8570068</v>
      </c>
      <c r="B2537" t="s">
        <v>5656</v>
      </c>
      <c r="C2537" t="s">
        <v>94</v>
      </c>
      <c r="D2537" t="s">
        <v>86</v>
      </c>
      <c r="E2537" t="s">
        <v>87</v>
      </c>
      <c r="F2537" t="s">
        <v>5657</v>
      </c>
      <c r="G2537">
        <v>5501</v>
      </c>
      <c r="H2537" t="s">
        <v>5657</v>
      </c>
      <c r="I2537" t="s">
        <v>96</v>
      </c>
      <c r="K2537">
        <v>2533123</v>
      </c>
      <c r="L2537">
        <v>1160639</v>
      </c>
      <c r="M2537">
        <v>590</v>
      </c>
      <c r="N2537" t="s">
        <v>5658</v>
      </c>
    </row>
    <row r="2538" spans="1:14" x14ac:dyDescent="0.25">
      <c r="A2538">
        <v>8507962</v>
      </c>
      <c r="B2538" t="s">
        <v>5659</v>
      </c>
      <c r="C2538" t="s">
        <v>94</v>
      </c>
      <c r="D2538" t="s">
        <v>86</v>
      </c>
      <c r="E2538" t="s">
        <v>87</v>
      </c>
      <c r="F2538" t="s">
        <v>5660</v>
      </c>
      <c r="G2538">
        <v>5930</v>
      </c>
      <c r="H2538" t="s">
        <v>5660</v>
      </c>
      <c r="I2538" t="s">
        <v>96</v>
      </c>
      <c r="K2538">
        <v>2534257</v>
      </c>
      <c r="L2538">
        <v>1179584</v>
      </c>
      <c r="M2538">
        <v>446</v>
      </c>
      <c r="N2538" t="s">
        <v>5661</v>
      </c>
    </row>
    <row r="2539" spans="1:14" x14ac:dyDescent="0.25">
      <c r="A2539">
        <v>8570241</v>
      </c>
      <c r="B2539" t="s">
        <v>5662</v>
      </c>
      <c r="C2539" t="s">
        <v>94</v>
      </c>
      <c r="D2539" t="s">
        <v>86</v>
      </c>
      <c r="E2539" t="s">
        <v>87</v>
      </c>
      <c r="F2539" t="s">
        <v>5660</v>
      </c>
      <c r="G2539">
        <v>5930</v>
      </c>
      <c r="H2539" t="s">
        <v>5660</v>
      </c>
      <c r="I2539" t="s">
        <v>96</v>
      </c>
      <c r="K2539">
        <v>2535139</v>
      </c>
      <c r="L2539">
        <v>1179857</v>
      </c>
      <c r="M2539">
        <v>452</v>
      </c>
      <c r="N2539" t="s">
        <v>5663</v>
      </c>
    </row>
    <row r="2540" spans="1:14" x14ac:dyDescent="0.25">
      <c r="A2540">
        <v>8582423</v>
      </c>
      <c r="B2540" t="s">
        <v>5664</v>
      </c>
      <c r="C2540" t="s">
        <v>94</v>
      </c>
      <c r="D2540" t="s">
        <v>86</v>
      </c>
      <c r="E2540" t="s">
        <v>87</v>
      </c>
      <c r="F2540" t="s">
        <v>5660</v>
      </c>
      <c r="G2540">
        <v>5930</v>
      </c>
      <c r="H2540" t="s">
        <v>5660</v>
      </c>
      <c r="I2540" t="s">
        <v>96</v>
      </c>
      <c r="K2540">
        <v>2534749</v>
      </c>
      <c r="L2540">
        <v>1179878</v>
      </c>
      <c r="M2540">
        <v>456</v>
      </c>
      <c r="N2540" t="s">
        <v>5665</v>
      </c>
    </row>
    <row r="2541" spans="1:14" x14ac:dyDescent="0.25">
      <c r="A2541">
        <v>8504162</v>
      </c>
      <c r="B2541" t="s">
        <v>5666</v>
      </c>
      <c r="C2541" t="s">
        <v>94</v>
      </c>
      <c r="D2541" t="s">
        <v>86</v>
      </c>
      <c r="E2541" t="s">
        <v>87</v>
      </c>
      <c r="F2541" t="s">
        <v>5667</v>
      </c>
      <c r="G2541">
        <v>5688</v>
      </c>
      <c r="H2541" t="s">
        <v>5667</v>
      </c>
      <c r="I2541" t="s">
        <v>96</v>
      </c>
      <c r="K2541">
        <v>2549854</v>
      </c>
      <c r="L2541">
        <v>1166037</v>
      </c>
      <c r="M2541">
        <v>579</v>
      </c>
      <c r="N2541" t="s">
        <v>5668</v>
      </c>
    </row>
    <row r="2542" spans="1:14" x14ac:dyDescent="0.25">
      <c r="A2542">
        <v>8588154</v>
      </c>
      <c r="B2542" t="s">
        <v>5669</v>
      </c>
      <c r="C2542" t="s">
        <v>94</v>
      </c>
      <c r="D2542" t="s">
        <v>86</v>
      </c>
      <c r="E2542" t="s">
        <v>87</v>
      </c>
      <c r="F2542" t="s">
        <v>5667</v>
      </c>
      <c r="G2542">
        <v>5688</v>
      </c>
      <c r="H2542" t="s">
        <v>5667</v>
      </c>
      <c r="I2542" t="s">
        <v>96</v>
      </c>
      <c r="K2542">
        <v>2549476</v>
      </c>
      <c r="L2542">
        <v>1166047</v>
      </c>
      <c r="M2542">
        <v>594</v>
      </c>
      <c r="N2542" t="s">
        <v>5670</v>
      </c>
    </row>
    <row r="2543" spans="1:14" x14ac:dyDescent="0.25">
      <c r="A2543">
        <v>8507647</v>
      </c>
      <c r="B2543" t="s">
        <v>5671</v>
      </c>
      <c r="C2543" t="s">
        <v>206</v>
      </c>
      <c r="D2543" t="s">
        <v>86</v>
      </c>
      <c r="E2543" t="s">
        <v>87</v>
      </c>
      <c r="F2543" t="s">
        <v>5672</v>
      </c>
      <c r="G2543">
        <v>5729</v>
      </c>
      <c r="H2543" t="s">
        <v>5672</v>
      </c>
      <c r="I2543" t="s">
        <v>208</v>
      </c>
      <c r="K2543">
        <v>2502549</v>
      </c>
      <c r="L2543">
        <v>1129540</v>
      </c>
      <c r="M2543">
        <v>413</v>
      </c>
      <c r="N2543" t="s">
        <v>5673</v>
      </c>
    </row>
    <row r="2544" spans="1:14" x14ac:dyDescent="0.25">
      <c r="A2544">
        <v>8588655</v>
      </c>
      <c r="B2544" t="s">
        <v>5674</v>
      </c>
      <c r="C2544" t="s">
        <v>206</v>
      </c>
      <c r="D2544" t="s">
        <v>86</v>
      </c>
      <c r="E2544" t="s">
        <v>87</v>
      </c>
      <c r="F2544" t="s">
        <v>5672</v>
      </c>
      <c r="G2544">
        <v>5729</v>
      </c>
      <c r="H2544" t="s">
        <v>5672</v>
      </c>
      <c r="I2544" t="s">
        <v>208</v>
      </c>
      <c r="K2544">
        <v>2502683</v>
      </c>
      <c r="L2544">
        <v>1129441</v>
      </c>
      <c r="M2544">
        <v>410</v>
      </c>
      <c r="N2544" t="s">
        <v>5675</v>
      </c>
    </row>
    <row r="2545" spans="1:14" x14ac:dyDescent="0.25">
      <c r="A2545">
        <v>8511286</v>
      </c>
      <c r="B2545" t="s">
        <v>5676</v>
      </c>
      <c r="C2545" t="s">
        <v>94</v>
      </c>
      <c r="D2545" t="s">
        <v>86</v>
      </c>
      <c r="E2545" t="s">
        <v>87</v>
      </c>
      <c r="F2545" t="s">
        <v>5672</v>
      </c>
      <c r="G2545">
        <v>5729</v>
      </c>
      <c r="H2545" t="s">
        <v>5672</v>
      </c>
      <c r="I2545" t="s">
        <v>96</v>
      </c>
      <c r="K2545">
        <v>2503308.87971</v>
      </c>
      <c r="L2545">
        <v>1129320.8575800001</v>
      </c>
      <c r="M2545">
        <v>384.8</v>
      </c>
      <c r="N2545" t="s">
        <v>5677</v>
      </c>
    </row>
    <row r="2546" spans="1:14" x14ac:dyDescent="0.25">
      <c r="A2546">
        <v>8501015</v>
      </c>
      <c r="B2546" t="s">
        <v>5672</v>
      </c>
      <c r="C2546" t="s">
        <v>132</v>
      </c>
      <c r="D2546" t="s">
        <v>112</v>
      </c>
      <c r="E2546" t="s">
        <v>87</v>
      </c>
      <c r="F2546" t="s">
        <v>5672</v>
      </c>
      <c r="G2546">
        <v>5729</v>
      </c>
      <c r="H2546" t="s">
        <v>5672</v>
      </c>
      <c r="I2546" t="s">
        <v>133</v>
      </c>
      <c r="K2546">
        <v>2503126.7171999998</v>
      </c>
      <c r="L2546">
        <v>1129249.1740000001</v>
      </c>
      <c r="M2546">
        <v>392.291</v>
      </c>
      <c r="N2546" t="s">
        <v>5678</v>
      </c>
    </row>
    <row r="2547" spans="1:14" x14ac:dyDescent="0.25">
      <c r="A2547">
        <v>8583111</v>
      </c>
      <c r="B2547" t="s">
        <v>5679</v>
      </c>
      <c r="C2547" t="s">
        <v>94</v>
      </c>
      <c r="D2547" t="s">
        <v>86</v>
      </c>
      <c r="E2547" t="s">
        <v>87</v>
      </c>
      <c r="F2547" t="s">
        <v>5680</v>
      </c>
      <c r="G2547">
        <v>5862</v>
      </c>
      <c r="H2547" t="s">
        <v>5680</v>
      </c>
      <c r="I2547" t="s">
        <v>96</v>
      </c>
      <c r="K2547">
        <v>2514219</v>
      </c>
      <c r="L2547">
        <v>1146202</v>
      </c>
      <c r="M2547">
        <v>436</v>
      </c>
      <c r="N2547" t="s">
        <v>5681</v>
      </c>
    </row>
    <row r="2548" spans="1:14" x14ac:dyDescent="0.25">
      <c r="A2548">
        <v>8500731</v>
      </c>
      <c r="B2548" t="s">
        <v>5682</v>
      </c>
      <c r="C2548" t="s">
        <v>94</v>
      </c>
      <c r="D2548" t="s">
        <v>86</v>
      </c>
      <c r="E2548" t="s">
        <v>87</v>
      </c>
      <c r="F2548" t="s">
        <v>5680</v>
      </c>
      <c r="G2548">
        <v>5862</v>
      </c>
      <c r="H2548" t="s">
        <v>5680</v>
      </c>
      <c r="I2548" t="s">
        <v>96</v>
      </c>
      <c r="K2548">
        <v>2513689</v>
      </c>
      <c r="L2548">
        <v>1146697</v>
      </c>
      <c r="M2548">
        <v>493</v>
      </c>
      <c r="N2548" t="s">
        <v>5683</v>
      </c>
    </row>
    <row r="2549" spans="1:14" x14ac:dyDescent="0.25">
      <c r="A2549">
        <v>8507968</v>
      </c>
      <c r="B2549" t="s">
        <v>5684</v>
      </c>
      <c r="C2549" t="s">
        <v>94</v>
      </c>
      <c r="D2549" t="s">
        <v>86</v>
      </c>
      <c r="E2549" t="s">
        <v>87</v>
      </c>
      <c r="F2549" t="s">
        <v>5685</v>
      </c>
      <c r="G2549">
        <v>5571</v>
      </c>
      <c r="H2549" t="s">
        <v>5686</v>
      </c>
      <c r="I2549" t="s">
        <v>96</v>
      </c>
      <c r="K2549">
        <v>2538124</v>
      </c>
      <c r="L2549">
        <v>1188704</v>
      </c>
      <c r="M2549">
        <v>739</v>
      </c>
      <c r="N2549" t="s">
        <v>5687</v>
      </c>
    </row>
    <row r="2550" spans="1:14" x14ac:dyDescent="0.25">
      <c r="A2550">
        <v>8507662</v>
      </c>
      <c r="B2550" t="s">
        <v>5688</v>
      </c>
      <c r="C2550" t="s">
        <v>94</v>
      </c>
      <c r="D2550" t="s">
        <v>86</v>
      </c>
      <c r="E2550" t="s">
        <v>87</v>
      </c>
      <c r="F2550" t="s">
        <v>5685</v>
      </c>
      <c r="G2550">
        <v>5571</v>
      </c>
      <c r="H2550" t="s">
        <v>3524</v>
      </c>
      <c r="I2550" t="s">
        <v>96</v>
      </c>
      <c r="K2550">
        <v>2538889</v>
      </c>
      <c r="L2550">
        <v>1191911</v>
      </c>
      <c r="M2550">
        <v>1223</v>
      </c>
      <c r="N2550" t="s">
        <v>5689</v>
      </c>
    </row>
    <row r="2551" spans="1:14" x14ac:dyDescent="0.25">
      <c r="A2551">
        <v>8507680</v>
      </c>
      <c r="B2551" t="s">
        <v>5690</v>
      </c>
      <c r="C2551" t="s">
        <v>94</v>
      </c>
      <c r="D2551" t="s">
        <v>86</v>
      </c>
      <c r="E2551" t="s">
        <v>87</v>
      </c>
      <c r="F2551" t="s">
        <v>5685</v>
      </c>
      <c r="G2551">
        <v>5571</v>
      </c>
      <c r="H2551" t="s">
        <v>5691</v>
      </c>
      <c r="I2551" t="s">
        <v>96</v>
      </c>
      <c r="K2551">
        <v>2540037</v>
      </c>
      <c r="L2551">
        <v>1189406</v>
      </c>
      <c r="M2551">
        <v>817</v>
      </c>
      <c r="N2551" t="s">
        <v>5692</v>
      </c>
    </row>
    <row r="2552" spans="1:14" x14ac:dyDescent="0.25">
      <c r="A2552">
        <v>8507958</v>
      </c>
      <c r="B2552" t="s">
        <v>5693</v>
      </c>
      <c r="C2552" t="s">
        <v>94</v>
      </c>
      <c r="D2552" t="s">
        <v>86</v>
      </c>
      <c r="E2552" t="s">
        <v>87</v>
      </c>
      <c r="F2552" t="s">
        <v>5685</v>
      </c>
      <c r="G2552">
        <v>5571</v>
      </c>
      <c r="H2552" t="s">
        <v>5694</v>
      </c>
      <c r="I2552" t="s">
        <v>96</v>
      </c>
      <c r="K2552">
        <v>2539281</v>
      </c>
      <c r="L2552">
        <v>1189171</v>
      </c>
      <c r="M2552">
        <v>810</v>
      </c>
      <c r="N2552" t="s">
        <v>5695</v>
      </c>
    </row>
    <row r="2553" spans="1:14" x14ac:dyDescent="0.25">
      <c r="A2553">
        <v>8570266</v>
      </c>
      <c r="B2553" t="s">
        <v>5696</v>
      </c>
      <c r="C2553" t="s">
        <v>94</v>
      </c>
      <c r="D2553" t="s">
        <v>86</v>
      </c>
      <c r="E2553" t="s">
        <v>87</v>
      </c>
      <c r="F2553" t="s">
        <v>5685</v>
      </c>
      <c r="G2553">
        <v>5571</v>
      </c>
      <c r="H2553" t="s">
        <v>5686</v>
      </c>
      <c r="I2553" t="s">
        <v>96</v>
      </c>
      <c r="K2553">
        <v>2538660</v>
      </c>
      <c r="L2553">
        <v>1188807</v>
      </c>
      <c r="M2553">
        <v>762</v>
      </c>
      <c r="N2553" t="s">
        <v>5697</v>
      </c>
    </row>
    <row r="2554" spans="1:14" x14ac:dyDescent="0.25">
      <c r="A2554">
        <v>8570271</v>
      </c>
      <c r="B2554" t="s">
        <v>5698</v>
      </c>
      <c r="C2554" t="s">
        <v>94</v>
      </c>
      <c r="D2554" t="s">
        <v>86</v>
      </c>
      <c r="E2554" t="s">
        <v>87</v>
      </c>
      <c r="F2554" t="s">
        <v>5685</v>
      </c>
      <c r="G2554">
        <v>5571</v>
      </c>
      <c r="H2554" t="s">
        <v>3524</v>
      </c>
      <c r="I2554" t="s">
        <v>96</v>
      </c>
      <c r="K2554">
        <v>2539179</v>
      </c>
      <c r="L2554">
        <v>1192525</v>
      </c>
      <c r="M2554">
        <v>1244</v>
      </c>
      <c r="N2554" t="s">
        <v>5699</v>
      </c>
    </row>
    <row r="2555" spans="1:14" x14ac:dyDescent="0.25">
      <c r="A2555">
        <v>8507684</v>
      </c>
      <c r="B2555" t="s">
        <v>5700</v>
      </c>
      <c r="C2555" t="s">
        <v>94</v>
      </c>
      <c r="D2555" t="s">
        <v>86</v>
      </c>
      <c r="E2555" t="s">
        <v>87</v>
      </c>
      <c r="F2555" t="s">
        <v>5685</v>
      </c>
      <c r="G2555">
        <v>5571</v>
      </c>
      <c r="H2555" t="s">
        <v>5686</v>
      </c>
      <c r="I2555" t="s">
        <v>96</v>
      </c>
      <c r="K2555">
        <v>2538267</v>
      </c>
      <c r="L2555">
        <v>1189186</v>
      </c>
      <c r="M2555">
        <v>862</v>
      </c>
      <c r="N2555" t="s">
        <v>5701</v>
      </c>
    </row>
    <row r="2556" spans="1:14" x14ac:dyDescent="0.25">
      <c r="A2556">
        <v>8570268</v>
      </c>
      <c r="B2556" t="s">
        <v>5702</v>
      </c>
      <c r="C2556" t="s">
        <v>94</v>
      </c>
      <c r="D2556" t="s">
        <v>86</v>
      </c>
      <c r="E2556" t="s">
        <v>87</v>
      </c>
      <c r="F2556" t="s">
        <v>5685</v>
      </c>
      <c r="G2556">
        <v>5571</v>
      </c>
      <c r="H2556" t="s">
        <v>5686</v>
      </c>
      <c r="I2556" t="s">
        <v>96</v>
      </c>
      <c r="K2556">
        <v>2537790</v>
      </c>
      <c r="L2556">
        <v>1188934</v>
      </c>
      <c r="M2556">
        <v>803</v>
      </c>
      <c r="N2556" t="s">
        <v>5703</v>
      </c>
    </row>
    <row r="2557" spans="1:14" x14ac:dyDescent="0.25">
      <c r="A2557">
        <v>8580481</v>
      </c>
      <c r="B2557" t="s">
        <v>5704</v>
      </c>
      <c r="C2557" t="s">
        <v>94</v>
      </c>
      <c r="D2557" t="s">
        <v>86</v>
      </c>
      <c r="E2557" t="s">
        <v>87</v>
      </c>
      <c r="F2557" t="s">
        <v>5685</v>
      </c>
      <c r="G2557">
        <v>5571</v>
      </c>
      <c r="H2557" t="s">
        <v>5686</v>
      </c>
      <c r="I2557" t="s">
        <v>96</v>
      </c>
      <c r="K2557">
        <v>2537992</v>
      </c>
      <c r="L2557">
        <v>1189085</v>
      </c>
      <c r="M2557">
        <v>826</v>
      </c>
      <c r="N2557" t="s">
        <v>5705</v>
      </c>
    </row>
    <row r="2558" spans="1:14" x14ac:dyDescent="0.25">
      <c r="A2558">
        <v>8581511</v>
      </c>
      <c r="B2558" t="s">
        <v>5706</v>
      </c>
      <c r="C2558" t="s">
        <v>94</v>
      </c>
      <c r="D2558" t="s">
        <v>86</v>
      </c>
      <c r="E2558" t="s">
        <v>87</v>
      </c>
      <c r="F2558" t="s">
        <v>5685</v>
      </c>
      <c r="G2558">
        <v>5571</v>
      </c>
      <c r="H2558" t="s">
        <v>5707</v>
      </c>
      <c r="I2558" t="s">
        <v>96</v>
      </c>
      <c r="K2558">
        <v>2538918</v>
      </c>
      <c r="L2558">
        <v>1188978</v>
      </c>
      <c r="M2558">
        <v>782</v>
      </c>
      <c r="N2558" t="s">
        <v>5708</v>
      </c>
    </row>
    <row r="2559" spans="1:14" x14ac:dyDescent="0.25">
      <c r="A2559">
        <v>8583885</v>
      </c>
      <c r="B2559" t="s">
        <v>5709</v>
      </c>
      <c r="C2559" t="s">
        <v>94</v>
      </c>
      <c r="D2559" t="s">
        <v>86</v>
      </c>
      <c r="E2559" t="s">
        <v>87</v>
      </c>
      <c r="F2559" t="s">
        <v>5685</v>
      </c>
      <c r="G2559">
        <v>5571</v>
      </c>
      <c r="H2559" t="s">
        <v>5686</v>
      </c>
      <c r="I2559" t="s">
        <v>96</v>
      </c>
      <c r="K2559">
        <v>2538111</v>
      </c>
      <c r="L2559">
        <v>1188452</v>
      </c>
      <c r="M2559">
        <v>699</v>
      </c>
      <c r="N2559" t="s">
        <v>5710</v>
      </c>
    </row>
    <row r="2560" spans="1:14" x14ac:dyDescent="0.25">
      <c r="A2560">
        <v>8570267</v>
      </c>
      <c r="B2560" t="s">
        <v>5711</v>
      </c>
      <c r="C2560" t="s">
        <v>94</v>
      </c>
      <c r="D2560" t="s">
        <v>86</v>
      </c>
      <c r="E2560" t="s">
        <v>87</v>
      </c>
      <c r="F2560" t="s">
        <v>5685</v>
      </c>
      <c r="G2560">
        <v>5571</v>
      </c>
      <c r="H2560" t="s">
        <v>5686</v>
      </c>
      <c r="I2560" t="s">
        <v>96</v>
      </c>
      <c r="K2560">
        <v>2538005</v>
      </c>
      <c r="L2560">
        <v>1188856</v>
      </c>
      <c r="M2560">
        <v>774</v>
      </c>
      <c r="N2560" t="s">
        <v>5712</v>
      </c>
    </row>
    <row r="2561" spans="1:14" x14ac:dyDescent="0.25">
      <c r="A2561">
        <v>8570265</v>
      </c>
      <c r="B2561" t="s">
        <v>5713</v>
      </c>
      <c r="C2561" t="s">
        <v>94</v>
      </c>
      <c r="D2561" t="s">
        <v>86</v>
      </c>
      <c r="E2561" t="s">
        <v>87</v>
      </c>
      <c r="F2561" t="s">
        <v>5685</v>
      </c>
      <c r="G2561">
        <v>5571</v>
      </c>
      <c r="H2561" t="s">
        <v>5686</v>
      </c>
      <c r="I2561" t="s">
        <v>96</v>
      </c>
      <c r="K2561">
        <v>2538279</v>
      </c>
      <c r="L2561">
        <v>1188774</v>
      </c>
      <c r="M2561">
        <v>753</v>
      </c>
      <c r="N2561" t="s">
        <v>5714</v>
      </c>
    </row>
    <row r="2562" spans="1:14" x14ac:dyDescent="0.25">
      <c r="A2562">
        <v>8592283</v>
      </c>
      <c r="B2562" t="s">
        <v>5715</v>
      </c>
      <c r="C2562" t="s">
        <v>85</v>
      </c>
      <c r="D2562" t="s">
        <v>86</v>
      </c>
      <c r="E2562" t="s">
        <v>87</v>
      </c>
      <c r="F2562" t="s">
        <v>5716</v>
      </c>
      <c r="G2562">
        <v>5649</v>
      </c>
      <c r="H2562" t="s">
        <v>5716</v>
      </c>
      <c r="I2562" t="s">
        <v>89</v>
      </c>
      <c r="K2562">
        <v>2525949</v>
      </c>
      <c r="L2562">
        <v>1150196</v>
      </c>
      <c r="M2562">
        <v>395</v>
      </c>
      <c r="N2562" t="s">
        <v>5717</v>
      </c>
    </row>
    <row r="2563" spans="1:14" x14ac:dyDescent="0.25">
      <c r="A2563">
        <v>8592281</v>
      </c>
      <c r="B2563" t="s">
        <v>5718</v>
      </c>
      <c r="C2563" t="s">
        <v>85</v>
      </c>
      <c r="D2563" t="s">
        <v>86</v>
      </c>
      <c r="E2563" t="s">
        <v>87</v>
      </c>
      <c r="F2563" t="s">
        <v>5716</v>
      </c>
      <c r="G2563">
        <v>5649</v>
      </c>
      <c r="H2563" t="s">
        <v>5716</v>
      </c>
      <c r="I2563" t="s">
        <v>89</v>
      </c>
      <c r="K2563">
        <v>2526027.8010900002</v>
      </c>
      <c r="L2563">
        <v>1150974.2347200001</v>
      </c>
      <c r="M2563">
        <v>419.4</v>
      </c>
      <c r="N2563" t="s">
        <v>5719</v>
      </c>
    </row>
    <row r="2564" spans="1:14" x14ac:dyDescent="0.25">
      <c r="A2564">
        <v>8592284</v>
      </c>
      <c r="B2564" t="s">
        <v>5720</v>
      </c>
      <c r="C2564" t="s">
        <v>85</v>
      </c>
      <c r="D2564" t="s">
        <v>86</v>
      </c>
      <c r="E2564" t="s">
        <v>87</v>
      </c>
      <c r="F2564" t="s">
        <v>5716</v>
      </c>
      <c r="G2564">
        <v>5649</v>
      </c>
      <c r="H2564" t="s">
        <v>5716</v>
      </c>
      <c r="I2564" t="s">
        <v>89</v>
      </c>
      <c r="K2564">
        <v>2526507</v>
      </c>
      <c r="L2564">
        <v>1150479</v>
      </c>
      <c r="M2564">
        <v>390</v>
      </c>
      <c r="N2564" t="s">
        <v>5721</v>
      </c>
    </row>
    <row r="2565" spans="1:14" x14ac:dyDescent="0.25">
      <c r="A2565">
        <v>8592280</v>
      </c>
      <c r="B2565" t="s">
        <v>5722</v>
      </c>
      <c r="C2565" t="s">
        <v>85</v>
      </c>
      <c r="D2565" t="s">
        <v>86</v>
      </c>
      <c r="E2565" t="s">
        <v>87</v>
      </c>
      <c r="F2565" t="s">
        <v>5716</v>
      </c>
      <c r="G2565">
        <v>5649</v>
      </c>
      <c r="H2565" t="s">
        <v>5716</v>
      </c>
      <c r="I2565" t="s">
        <v>89</v>
      </c>
      <c r="K2565">
        <v>2525703.5177000002</v>
      </c>
      <c r="L2565">
        <v>1150654.7870700001</v>
      </c>
      <c r="M2565">
        <v>415.8</v>
      </c>
      <c r="N2565" t="s">
        <v>5723</v>
      </c>
    </row>
    <row r="2566" spans="1:14" x14ac:dyDescent="0.25">
      <c r="A2566">
        <v>8570082</v>
      </c>
      <c r="B2566" t="s">
        <v>5724</v>
      </c>
      <c r="C2566" t="s">
        <v>85</v>
      </c>
      <c r="D2566" t="s">
        <v>86</v>
      </c>
      <c r="E2566" t="s">
        <v>87</v>
      </c>
      <c r="F2566" t="s">
        <v>5716</v>
      </c>
      <c r="G2566">
        <v>5649</v>
      </c>
      <c r="H2566" t="s">
        <v>5716</v>
      </c>
      <c r="I2566" t="s">
        <v>89</v>
      </c>
      <c r="K2566">
        <v>2526220</v>
      </c>
      <c r="L2566">
        <v>1151214</v>
      </c>
      <c r="M2566">
        <v>420</v>
      </c>
      <c r="N2566" t="s">
        <v>5725</v>
      </c>
    </row>
    <row r="2567" spans="1:14" x14ac:dyDescent="0.25">
      <c r="A2567">
        <v>8501046</v>
      </c>
      <c r="B2567" t="s">
        <v>5716</v>
      </c>
      <c r="C2567" t="s">
        <v>132</v>
      </c>
      <c r="E2567" t="s">
        <v>87</v>
      </c>
      <c r="F2567" t="s">
        <v>5716</v>
      </c>
      <c r="G2567">
        <v>5649</v>
      </c>
      <c r="H2567" t="s">
        <v>5716</v>
      </c>
      <c r="I2567" t="s">
        <v>133</v>
      </c>
      <c r="J2567" t="s">
        <v>5726</v>
      </c>
      <c r="K2567">
        <v>2526023.8420000002</v>
      </c>
      <c r="L2567">
        <v>1149958.4909999999</v>
      </c>
      <c r="M2567">
        <v>392.20699999999999</v>
      </c>
      <c r="N2567" t="s">
        <v>5727</v>
      </c>
    </row>
    <row r="2568" spans="1:14" x14ac:dyDescent="0.25">
      <c r="A2568">
        <v>8570083</v>
      </c>
      <c r="B2568" t="s">
        <v>5728</v>
      </c>
      <c r="C2568" t="s">
        <v>85</v>
      </c>
      <c r="D2568" t="s">
        <v>86</v>
      </c>
      <c r="E2568" t="s">
        <v>87</v>
      </c>
      <c r="F2568" t="s">
        <v>5716</v>
      </c>
      <c r="G2568">
        <v>5649</v>
      </c>
      <c r="H2568" t="s">
        <v>5716</v>
      </c>
      <c r="I2568" t="s">
        <v>89</v>
      </c>
      <c r="K2568">
        <v>2525880.47829</v>
      </c>
      <c r="L2568">
        <v>1150820.78287</v>
      </c>
      <c r="M2568">
        <v>418.2</v>
      </c>
      <c r="N2568" t="s">
        <v>5729</v>
      </c>
    </row>
    <row r="2569" spans="1:14" x14ac:dyDescent="0.25">
      <c r="A2569">
        <v>8592282</v>
      </c>
      <c r="B2569" t="s">
        <v>5730</v>
      </c>
      <c r="C2569" t="s">
        <v>85</v>
      </c>
      <c r="D2569" t="s">
        <v>86</v>
      </c>
      <c r="E2569" t="s">
        <v>87</v>
      </c>
      <c r="F2569" t="s">
        <v>5716</v>
      </c>
      <c r="G2569">
        <v>5649</v>
      </c>
      <c r="H2569" t="s">
        <v>5716</v>
      </c>
      <c r="I2569" t="s">
        <v>89</v>
      </c>
      <c r="K2569">
        <v>2526242</v>
      </c>
      <c r="L2569">
        <v>1150218</v>
      </c>
      <c r="M2569">
        <v>390</v>
      </c>
      <c r="N2569" t="s">
        <v>5731</v>
      </c>
    </row>
    <row r="2570" spans="1:14" x14ac:dyDescent="0.25">
      <c r="A2570">
        <v>8589250</v>
      </c>
      <c r="B2570" t="s">
        <v>5732</v>
      </c>
      <c r="C2570" t="s">
        <v>85</v>
      </c>
      <c r="D2570" t="s">
        <v>86</v>
      </c>
      <c r="E2570" t="s">
        <v>87</v>
      </c>
      <c r="F2570" t="s">
        <v>5716</v>
      </c>
      <c r="G2570">
        <v>5649</v>
      </c>
      <c r="H2570" t="s">
        <v>5716</v>
      </c>
      <c r="I2570" t="s">
        <v>89</v>
      </c>
      <c r="K2570">
        <v>2526698.4162599999</v>
      </c>
      <c r="L2570">
        <v>1150346.4517699999</v>
      </c>
      <c r="M2570">
        <v>382.5</v>
      </c>
      <c r="N2570" t="s">
        <v>5733</v>
      </c>
    </row>
    <row r="2571" spans="1:14" x14ac:dyDescent="0.25">
      <c r="A2571">
        <v>8501068</v>
      </c>
      <c r="B2571" t="s">
        <v>5734</v>
      </c>
      <c r="C2571" t="s">
        <v>227</v>
      </c>
      <c r="D2571" t="s">
        <v>112</v>
      </c>
      <c r="E2571" t="s">
        <v>87</v>
      </c>
      <c r="F2571" t="s">
        <v>5734</v>
      </c>
      <c r="G2571">
        <v>5730</v>
      </c>
      <c r="H2571" t="s">
        <v>5734</v>
      </c>
      <c r="I2571" t="s">
        <v>228</v>
      </c>
      <c r="K2571">
        <v>2505260.9730000002</v>
      </c>
      <c r="L2571">
        <v>1141008.561</v>
      </c>
      <c r="M2571">
        <v>497.7</v>
      </c>
      <c r="N2571" t="s">
        <v>5735</v>
      </c>
    </row>
    <row r="2572" spans="1:14" x14ac:dyDescent="0.25">
      <c r="A2572">
        <v>8512604</v>
      </c>
      <c r="B2572" t="s">
        <v>5736</v>
      </c>
      <c r="C2572" t="s">
        <v>227</v>
      </c>
      <c r="E2572" t="s">
        <v>87</v>
      </c>
      <c r="F2572" t="s">
        <v>5734</v>
      </c>
      <c r="G2572">
        <v>5730</v>
      </c>
      <c r="H2572" t="s">
        <v>5734</v>
      </c>
      <c r="I2572" t="s">
        <v>228</v>
      </c>
      <c r="K2572">
        <v>2505437.9093800001</v>
      </c>
      <c r="L2572">
        <v>1140120.62157</v>
      </c>
      <c r="M2572">
        <v>477.2</v>
      </c>
      <c r="N2572" t="s">
        <v>5737</v>
      </c>
    </row>
    <row r="2573" spans="1:14" x14ac:dyDescent="0.25">
      <c r="A2573">
        <v>8512608</v>
      </c>
      <c r="B2573" t="s">
        <v>5738</v>
      </c>
      <c r="C2573" t="s">
        <v>227</v>
      </c>
      <c r="E2573" t="s">
        <v>87</v>
      </c>
      <c r="F2573" t="s">
        <v>5734</v>
      </c>
      <c r="G2573">
        <v>5730</v>
      </c>
      <c r="H2573" t="s">
        <v>5734</v>
      </c>
      <c r="I2573" t="s">
        <v>228</v>
      </c>
      <c r="K2573">
        <v>2505471.2417199998</v>
      </c>
      <c r="L2573">
        <v>1140038.6770200001</v>
      </c>
      <c r="M2573">
        <v>478.5</v>
      </c>
      <c r="N2573" t="s">
        <v>5739</v>
      </c>
    </row>
    <row r="2574" spans="1:14" x14ac:dyDescent="0.25">
      <c r="A2574">
        <v>8510733</v>
      </c>
      <c r="B2574" t="s">
        <v>5740</v>
      </c>
      <c r="C2574" t="s">
        <v>223</v>
      </c>
      <c r="D2574" t="s">
        <v>86</v>
      </c>
      <c r="E2574" t="s">
        <v>87</v>
      </c>
      <c r="F2574" t="s">
        <v>5734</v>
      </c>
      <c r="G2574">
        <v>5730</v>
      </c>
      <c r="H2574" t="s">
        <v>5734</v>
      </c>
      <c r="I2574" t="s">
        <v>224</v>
      </c>
      <c r="K2574">
        <v>2505415.5981399999</v>
      </c>
      <c r="L2574">
        <v>1140276.31391</v>
      </c>
      <c r="M2574">
        <v>480</v>
      </c>
      <c r="N2574" t="s">
        <v>5741</v>
      </c>
    </row>
    <row r="2575" spans="1:14" x14ac:dyDescent="0.25">
      <c r="A2575">
        <v>8512601</v>
      </c>
      <c r="B2575" t="s">
        <v>5742</v>
      </c>
      <c r="C2575" t="s">
        <v>227</v>
      </c>
      <c r="E2575" t="s">
        <v>87</v>
      </c>
      <c r="F2575" t="s">
        <v>5734</v>
      </c>
      <c r="G2575">
        <v>5730</v>
      </c>
      <c r="H2575" t="s">
        <v>5734</v>
      </c>
      <c r="I2575" t="s">
        <v>228</v>
      </c>
      <c r="K2575">
        <v>2505456.79831</v>
      </c>
      <c r="L2575">
        <v>1140126.56715</v>
      </c>
      <c r="M2575">
        <v>476.8</v>
      </c>
      <c r="N2575" t="s">
        <v>5743</v>
      </c>
    </row>
    <row r="2576" spans="1:14" x14ac:dyDescent="0.25">
      <c r="A2576">
        <v>8512602</v>
      </c>
      <c r="B2576" t="s">
        <v>5744</v>
      </c>
      <c r="C2576" t="s">
        <v>227</v>
      </c>
      <c r="E2576" t="s">
        <v>87</v>
      </c>
      <c r="F2576" t="s">
        <v>5734</v>
      </c>
      <c r="G2576">
        <v>5730</v>
      </c>
      <c r="H2576" t="s">
        <v>5734</v>
      </c>
      <c r="I2576" t="s">
        <v>228</v>
      </c>
      <c r="K2576">
        <v>2505450.7893599998</v>
      </c>
      <c r="L2576">
        <v>1140124.69059</v>
      </c>
      <c r="M2576">
        <v>476.9</v>
      </c>
      <c r="N2576" t="s">
        <v>5745</v>
      </c>
    </row>
    <row r="2577" spans="1:14" x14ac:dyDescent="0.25">
      <c r="A2577">
        <v>8512605</v>
      </c>
      <c r="B2577" t="s">
        <v>5746</v>
      </c>
      <c r="C2577" t="s">
        <v>227</v>
      </c>
      <c r="E2577" t="s">
        <v>87</v>
      </c>
      <c r="F2577" t="s">
        <v>5734</v>
      </c>
      <c r="G2577">
        <v>5730</v>
      </c>
      <c r="H2577" t="s">
        <v>5734</v>
      </c>
      <c r="I2577" t="s">
        <v>228</v>
      </c>
      <c r="K2577">
        <v>2505431.1964400001</v>
      </c>
      <c r="L2577">
        <v>1140118.47117</v>
      </c>
      <c r="M2577">
        <v>477.4</v>
      </c>
      <c r="N2577" t="s">
        <v>5747</v>
      </c>
    </row>
    <row r="2578" spans="1:14" x14ac:dyDescent="0.25">
      <c r="A2578">
        <v>8512607</v>
      </c>
      <c r="B2578" t="s">
        <v>5748</v>
      </c>
      <c r="C2578" t="s">
        <v>227</v>
      </c>
      <c r="E2578" t="s">
        <v>87</v>
      </c>
      <c r="F2578" t="s">
        <v>5734</v>
      </c>
      <c r="G2578">
        <v>5730</v>
      </c>
      <c r="H2578" t="s">
        <v>5734</v>
      </c>
      <c r="I2578" t="s">
        <v>228</v>
      </c>
      <c r="K2578">
        <v>2505453.3980399999</v>
      </c>
      <c r="L2578">
        <v>1140066.66209</v>
      </c>
      <c r="M2578">
        <v>478.8</v>
      </c>
      <c r="N2578" t="s">
        <v>5749</v>
      </c>
    </row>
    <row r="2579" spans="1:14" x14ac:dyDescent="0.25">
      <c r="A2579">
        <v>8510724</v>
      </c>
      <c r="B2579" t="s">
        <v>5750</v>
      </c>
      <c r="C2579" t="s">
        <v>223</v>
      </c>
      <c r="D2579" t="s">
        <v>86</v>
      </c>
      <c r="E2579" t="s">
        <v>87</v>
      </c>
      <c r="F2579" t="s">
        <v>5734</v>
      </c>
      <c r="G2579">
        <v>5730</v>
      </c>
      <c r="H2579" t="s">
        <v>5734</v>
      </c>
      <c r="I2579" t="s">
        <v>224</v>
      </c>
      <c r="K2579">
        <v>2505224.25483</v>
      </c>
      <c r="L2579">
        <v>1140981.65591</v>
      </c>
      <c r="M2579">
        <v>498.2</v>
      </c>
      <c r="N2579" t="s">
        <v>5751</v>
      </c>
    </row>
    <row r="2580" spans="1:14" x14ac:dyDescent="0.25">
      <c r="A2580">
        <v>8512598</v>
      </c>
      <c r="B2580" t="s">
        <v>5752</v>
      </c>
      <c r="C2580" t="s">
        <v>227</v>
      </c>
      <c r="E2580" t="s">
        <v>87</v>
      </c>
      <c r="F2580" t="s">
        <v>5734</v>
      </c>
      <c r="G2580">
        <v>5730</v>
      </c>
      <c r="H2580" t="s">
        <v>5734</v>
      </c>
      <c r="I2580" t="s">
        <v>228</v>
      </c>
      <c r="K2580">
        <v>2505503.0334899998</v>
      </c>
      <c r="L2580">
        <v>1139924.6102100001</v>
      </c>
      <c r="M2580">
        <v>474.1</v>
      </c>
      <c r="N2580" t="s">
        <v>5753</v>
      </c>
    </row>
    <row r="2581" spans="1:14" x14ac:dyDescent="0.25">
      <c r="A2581">
        <v>8512599</v>
      </c>
      <c r="B2581" t="s">
        <v>5754</v>
      </c>
      <c r="C2581" t="s">
        <v>227</v>
      </c>
      <c r="E2581" t="s">
        <v>87</v>
      </c>
      <c r="F2581" t="s">
        <v>5734</v>
      </c>
      <c r="G2581">
        <v>5730</v>
      </c>
      <c r="H2581" t="s">
        <v>5734</v>
      </c>
      <c r="I2581" t="s">
        <v>228</v>
      </c>
      <c r="K2581">
        <v>2505506.9158200002</v>
      </c>
      <c r="L2581">
        <v>1139925.5039900001</v>
      </c>
      <c r="M2581">
        <v>474</v>
      </c>
      <c r="N2581" t="s">
        <v>5755</v>
      </c>
    </row>
    <row r="2582" spans="1:14" x14ac:dyDescent="0.25">
      <c r="A2582">
        <v>8512600</v>
      </c>
      <c r="B2582" t="s">
        <v>5756</v>
      </c>
      <c r="C2582" t="s">
        <v>227</v>
      </c>
      <c r="E2582" t="s">
        <v>87</v>
      </c>
      <c r="F2582" t="s">
        <v>5734</v>
      </c>
      <c r="G2582">
        <v>5730</v>
      </c>
      <c r="H2582" t="s">
        <v>5734</v>
      </c>
      <c r="I2582" t="s">
        <v>228</v>
      </c>
      <c r="K2582">
        <v>2505510.8302000002</v>
      </c>
      <c r="L2582">
        <v>1139926.4861000001</v>
      </c>
      <c r="M2582">
        <v>474.2</v>
      </c>
      <c r="N2582" t="s">
        <v>5757</v>
      </c>
    </row>
    <row r="2583" spans="1:14" x14ac:dyDescent="0.25">
      <c r="A2583">
        <v>8512606</v>
      </c>
      <c r="B2583" t="s">
        <v>5758</v>
      </c>
      <c r="C2583" t="s">
        <v>227</v>
      </c>
      <c r="E2583" t="s">
        <v>87</v>
      </c>
      <c r="F2583" t="s">
        <v>5734</v>
      </c>
      <c r="G2583">
        <v>5730</v>
      </c>
      <c r="H2583" t="s">
        <v>5734</v>
      </c>
      <c r="I2583" t="s">
        <v>228</v>
      </c>
      <c r="K2583">
        <v>2505423.9795599999</v>
      </c>
      <c r="L2583">
        <v>1140116.43927</v>
      </c>
      <c r="M2583">
        <v>477.6</v>
      </c>
      <c r="N2583" t="s">
        <v>5759</v>
      </c>
    </row>
    <row r="2584" spans="1:14" x14ac:dyDescent="0.25">
      <c r="A2584">
        <v>8512609</v>
      </c>
      <c r="B2584" t="s">
        <v>5760</v>
      </c>
      <c r="C2584" t="s">
        <v>227</v>
      </c>
      <c r="E2584" t="s">
        <v>87</v>
      </c>
      <c r="F2584" t="s">
        <v>5734</v>
      </c>
      <c r="G2584">
        <v>5730</v>
      </c>
      <c r="H2584" t="s">
        <v>5734</v>
      </c>
      <c r="I2584" t="s">
        <v>228</v>
      </c>
      <c r="K2584">
        <v>2505465.0670699999</v>
      </c>
      <c r="L2584">
        <v>1140070.93111</v>
      </c>
      <c r="M2584">
        <v>478.7</v>
      </c>
      <c r="N2584" t="s">
        <v>5761</v>
      </c>
    </row>
    <row r="2585" spans="1:14" x14ac:dyDescent="0.25">
      <c r="A2585">
        <v>8510670</v>
      </c>
      <c r="B2585" t="s">
        <v>5762</v>
      </c>
      <c r="C2585" t="s">
        <v>227</v>
      </c>
      <c r="D2585" t="s">
        <v>112</v>
      </c>
      <c r="E2585" t="s">
        <v>87</v>
      </c>
      <c r="F2585" t="s">
        <v>5734</v>
      </c>
      <c r="G2585">
        <v>5730</v>
      </c>
      <c r="H2585" t="s">
        <v>5734</v>
      </c>
      <c r="I2585" t="s">
        <v>228</v>
      </c>
      <c r="K2585">
        <v>2505434.6907000002</v>
      </c>
      <c r="L2585">
        <v>1140215.4628999999</v>
      </c>
      <c r="M2585">
        <v>477.52</v>
      </c>
      <c r="N2585" t="s">
        <v>5763</v>
      </c>
    </row>
    <row r="2586" spans="1:14" x14ac:dyDescent="0.25">
      <c r="A2586">
        <v>8512596</v>
      </c>
      <c r="B2586" t="s">
        <v>5764</v>
      </c>
      <c r="C2586" t="s">
        <v>227</v>
      </c>
      <c r="E2586" t="s">
        <v>87</v>
      </c>
      <c r="F2586" t="s">
        <v>5734</v>
      </c>
      <c r="G2586">
        <v>5730</v>
      </c>
      <c r="H2586" t="s">
        <v>5734</v>
      </c>
      <c r="I2586" t="s">
        <v>228</v>
      </c>
      <c r="K2586">
        <v>2505483.7691199998</v>
      </c>
      <c r="L2586">
        <v>1139919.96196</v>
      </c>
      <c r="M2586">
        <v>473.9</v>
      </c>
      <c r="N2586" t="s">
        <v>5765</v>
      </c>
    </row>
    <row r="2587" spans="1:14" x14ac:dyDescent="0.25">
      <c r="A2587">
        <v>8512597</v>
      </c>
      <c r="B2587" t="s">
        <v>5766</v>
      </c>
      <c r="C2587" t="s">
        <v>227</v>
      </c>
      <c r="E2587" t="s">
        <v>87</v>
      </c>
      <c r="F2587" t="s">
        <v>5734</v>
      </c>
      <c r="G2587">
        <v>5730</v>
      </c>
      <c r="H2587" t="s">
        <v>5734</v>
      </c>
      <c r="I2587" t="s">
        <v>228</v>
      </c>
      <c r="K2587">
        <v>2505492.6239800001</v>
      </c>
      <c r="L2587">
        <v>1139922.06684</v>
      </c>
      <c r="M2587">
        <v>474</v>
      </c>
      <c r="N2587" t="s">
        <v>5767</v>
      </c>
    </row>
    <row r="2588" spans="1:14" x14ac:dyDescent="0.25">
      <c r="A2588">
        <v>8512610</v>
      </c>
      <c r="B2588" t="s">
        <v>5768</v>
      </c>
      <c r="C2588" t="s">
        <v>227</v>
      </c>
      <c r="E2588" t="s">
        <v>87</v>
      </c>
      <c r="F2588" t="s">
        <v>5734</v>
      </c>
      <c r="G2588">
        <v>5730</v>
      </c>
      <c r="H2588" t="s">
        <v>5734</v>
      </c>
      <c r="I2588" t="s">
        <v>228</v>
      </c>
      <c r="K2588">
        <v>2505477.7013900001</v>
      </c>
      <c r="L2588">
        <v>1140049.4686400001</v>
      </c>
      <c r="M2588">
        <v>478.6</v>
      </c>
      <c r="N2588" t="s">
        <v>5769</v>
      </c>
    </row>
    <row r="2589" spans="1:14" x14ac:dyDescent="0.25">
      <c r="A2589">
        <v>8512603</v>
      </c>
      <c r="B2589" t="s">
        <v>5770</v>
      </c>
      <c r="C2589" t="s">
        <v>227</v>
      </c>
      <c r="E2589" t="s">
        <v>87</v>
      </c>
      <c r="F2589" t="s">
        <v>5734</v>
      </c>
      <c r="G2589">
        <v>5730</v>
      </c>
      <c r="H2589" t="s">
        <v>5734</v>
      </c>
      <c r="I2589" t="s">
        <v>228</v>
      </c>
      <c r="K2589">
        <v>2505444.3869699999</v>
      </c>
      <c r="L2589">
        <v>1140122.66188</v>
      </c>
      <c r="M2589">
        <v>476.9</v>
      </c>
      <c r="N2589" t="s">
        <v>5771</v>
      </c>
    </row>
    <row r="2590" spans="1:14" x14ac:dyDescent="0.25">
      <c r="A2590">
        <v>8512611</v>
      </c>
      <c r="B2590" t="s">
        <v>5772</v>
      </c>
      <c r="C2590" t="s">
        <v>227</v>
      </c>
      <c r="E2590" t="s">
        <v>87</v>
      </c>
      <c r="F2590" t="s">
        <v>5734</v>
      </c>
      <c r="G2590">
        <v>5730</v>
      </c>
      <c r="H2590" t="s">
        <v>5734</v>
      </c>
      <c r="I2590" t="s">
        <v>228</v>
      </c>
      <c r="K2590">
        <v>2505487.6151700001</v>
      </c>
      <c r="L2590">
        <v>1140025.5780199999</v>
      </c>
      <c r="M2590">
        <v>476.8</v>
      </c>
      <c r="N2590" t="s">
        <v>5773</v>
      </c>
    </row>
    <row r="2591" spans="1:14" x14ac:dyDescent="0.25">
      <c r="A2591">
        <v>8504142</v>
      </c>
      <c r="B2591" t="s">
        <v>5774</v>
      </c>
      <c r="C2591" t="s">
        <v>132</v>
      </c>
      <c r="E2591" t="s">
        <v>87</v>
      </c>
      <c r="F2591" t="s">
        <v>5774</v>
      </c>
      <c r="G2591">
        <v>5827</v>
      </c>
      <c r="H2591" t="s">
        <v>5774</v>
      </c>
      <c r="I2591" t="s">
        <v>133</v>
      </c>
      <c r="K2591">
        <v>2560106.5129999998</v>
      </c>
      <c r="L2591">
        <v>1181109.47</v>
      </c>
      <c r="M2591">
        <v>459.03</v>
      </c>
      <c r="N2591" t="s">
        <v>5775</v>
      </c>
    </row>
    <row r="2592" spans="1:14" x14ac:dyDescent="0.25">
      <c r="A2592">
        <v>8557121</v>
      </c>
      <c r="B2592" t="s">
        <v>5776</v>
      </c>
      <c r="C2592" t="s">
        <v>94</v>
      </c>
      <c r="D2592" t="s">
        <v>86</v>
      </c>
      <c r="E2592" t="s">
        <v>87</v>
      </c>
      <c r="F2592" t="s">
        <v>5774</v>
      </c>
      <c r="G2592">
        <v>5827</v>
      </c>
      <c r="H2592" t="s">
        <v>5774</v>
      </c>
      <c r="I2592" t="s">
        <v>96</v>
      </c>
      <c r="K2592">
        <v>2560042</v>
      </c>
      <c r="L2592">
        <v>1180165</v>
      </c>
      <c r="M2592">
        <v>486</v>
      </c>
      <c r="N2592" t="s">
        <v>5777</v>
      </c>
    </row>
    <row r="2593" spans="1:14" x14ac:dyDescent="0.25">
      <c r="A2593">
        <v>8570482</v>
      </c>
      <c r="B2593" t="s">
        <v>5778</v>
      </c>
      <c r="C2593" t="s">
        <v>94</v>
      </c>
      <c r="D2593" t="s">
        <v>86</v>
      </c>
      <c r="E2593" t="s">
        <v>87</v>
      </c>
      <c r="F2593" t="s">
        <v>5774</v>
      </c>
      <c r="G2593">
        <v>5827</v>
      </c>
      <c r="H2593" t="s">
        <v>5774</v>
      </c>
      <c r="I2593" t="s">
        <v>96</v>
      </c>
      <c r="K2593">
        <v>2561224</v>
      </c>
      <c r="L2593">
        <v>1180922</v>
      </c>
      <c r="M2593">
        <v>529</v>
      </c>
      <c r="N2593" t="s">
        <v>5779</v>
      </c>
    </row>
    <row r="2594" spans="1:14" x14ac:dyDescent="0.25">
      <c r="A2594">
        <v>8570481</v>
      </c>
      <c r="B2594" t="s">
        <v>5780</v>
      </c>
      <c r="C2594" t="s">
        <v>94</v>
      </c>
      <c r="D2594" t="s">
        <v>86</v>
      </c>
      <c r="E2594" t="s">
        <v>87</v>
      </c>
      <c r="F2594" t="s">
        <v>5774</v>
      </c>
      <c r="G2594">
        <v>5827</v>
      </c>
      <c r="H2594" t="s">
        <v>5774</v>
      </c>
      <c r="I2594" t="s">
        <v>96</v>
      </c>
      <c r="K2594">
        <v>2560820</v>
      </c>
      <c r="L2594">
        <v>1179904</v>
      </c>
      <c r="M2594">
        <v>576</v>
      </c>
      <c r="N2594" t="s">
        <v>5781</v>
      </c>
    </row>
    <row r="2595" spans="1:14" x14ac:dyDescent="0.25">
      <c r="A2595">
        <v>8570480</v>
      </c>
      <c r="B2595" t="s">
        <v>5782</v>
      </c>
      <c r="C2595" t="s">
        <v>94</v>
      </c>
      <c r="D2595" t="s">
        <v>86</v>
      </c>
      <c r="E2595" t="s">
        <v>87</v>
      </c>
      <c r="F2595" t="s">
        <v>5774</v>
      </c>
      <c r="G2595">
        <v>5827</v>
      </c>
      <c r="H2595" t="s">
        <v>5774</v>
      </c>
      <c r="I2595" t="s">
        <v>96</v>
      </c>
      <c r="K2595">
        <v>2560628</v>
      </c>
      <c r="L2595">
        <v>1179218</v>
      </c>
      <c r="M2595">
        <v>601</v>
      </c>
      <c r="N2595" t="s">
        <v>5783</v>
      </c>
    </row>
    <row r="2596" spans="1:14" x14ac:dyDescent="0.25">
      <c r="A2596">
        <v>8507964</v>
      </c>
      <c r="B2596" t="s">
        <v>5784</v>
      </c>
      <c r="C2596" t="s">
        <v>94</v>
      </c>
      <c r="D2596" t="s">
        <v>86</v>
      </c>
      <c r="E2596" t="s">
        <v>87</v>
      </c>
      <c r="F2596" t="s">
        <v>5785</v>
      </c>
      <c r="G2596">
        <v>5931</v>
      </c>
      <c r="H2596" t="s">
        <v>5785</v>
      </c>
      <c r="I2596" t="s">
        <v>96</v>
      </c>
      <c r="K2596">
        <v>2536673</v>
      </c>
      <c r="L2596">
        <v>1180655</v>
      </c>
      <c r="M2596">
        <v>451</v>
      </c>
      <c r="N2596" t="s">
        <v>5786</v>
      </c>
    </row>
    <row r="2597" spans="1:14" x14ac:dyDescent="0.25">
      <c r="A2597">
        <v>8579299</v>
      </c>
      <c r="B2597" t="s">
        <v>5787</v>
      </c>
      <c r="C2597" t="s">
        <v>338</v>
      </c>
      <c r="D2597" t="s">
        <v>86</v>
      </c>
      <c r="E2597" t="s">
        <v>87</v>
      </c>
      <c r="F2597" t="s">
        <v>5785</v>
      </c>
      <c r="G2597">
        <v>5931</v>
      </c>
      <c r="H2597" t="s">
        <v>5785</v>
      </c>
      <c r="I2597" t="s">
        <v>340</v>
      </c>
      <c r="K2597">
        <v>2536739.45218</v>
      </c>
      <c r="L2597">
        <v>1180987.4529599999</v>
      </c>
      <c r="M2597">
        <v>476</v>
      </c>
      <c r="N2597" t="s">
        <v>5788</v>
      </c>
    </row>
    <row r="2598" spans="1:14" x14ac:dyDescent="0.25">
      <c r="A2598">
        <v>8577613</v>
      </c>
      <c r="B2598" t="s">
        <v>5789</v>
      </c>
      <c r="C2598" t="s">
        <v>297</v>
      </c>
      <c r="D2598" t="s">
        <v>86</v>
      </c>
      <c r="E2598" t="s">
        <v>87</v>
      </c>
      <c r="F2598" t="s">
        <v>5790</v>
      </c>
      <c r="G2598">
        <v>5828</v>
      </c>
      <c r="H2598" t="s">
        <v>5790</v>
      </c>
      <c r="I2598" t="s">
        <v>298</v>
      </c>
      <c r="K2598">
        <v>2551292.5572299999</v>
      </c>
      <c r="L2598">
        <v>1180515.1307600001</v>
      </c>
      <c r="M2598">
        <v>670.4</v>
      </c>
      <c r="N2598" t="s">
        <v>5791</v>
      </c>
    </row>
    <row r="2599" spans="1:14" x14ac:dyDescent="0.25">
      <c r="A2599">
        <v>8577614</v>
      </c>
      <c r="B2599" t="s">
        <v>5792</v>
      </c>
      <c r="C2599" t="s">
        <v>297</v>
      </c>
      <c r="D2599" t="s">
        <v>86</v>
      </c>
      <c r="E2599" t="s">
        <v>87</v>
      </c>
      <c r="F2599" t="s">
        <v>5790</v>
      </c>
      <c r="G2599">
        <v>5828</v>
      </c>
      <c r="H2599" t="s">
        <v>5790</v>
      </c>
      <c r="I2599" t="s">
        <v>298</v>
      </c>
      <c r="K2599">
        <v>2551183.3484399999</v>
      </c>
      <c r="L2599">
        <v>1180221.94288</v>
      </c>
      <c r="M2599">
        <v>668</v>
      </c>
      <c r="N2599" t="s">
        <v>5793</v>
      </c>
    </row>
    <row r="2600" spans="1:14" x14ac:dyDescent="0.25">
      <c r="A2600">
        <v>8502506</v>
      </c>
      <c r="B2600" t="s">
        <v>5794</v>
      </c>
      <c r="C2600" t="s">
        <v>94</v>
      </c>
      <c r="D2600" t="s">
        <v>86</v>
      </c>
      <c r="E2600" t="s">
        <v>87</v>
      </c>
      <c r="F2600" t="s">
        <v>5790</v>
      </c>
      <c r="G2600">
        <v>5828</v>
      </c>
      <c r="H2600" t="s">
        <v>5790</v>
      </c>
      <c r="I2600" t="s">
        <v>96</v>
      </c>
      <c r="K2600">
        <v>2551198</v>
      </c>
      <c r="L2600">
        <v>1179678</v>
      </c>
      <c r="M2600">
        <v>625</v>
      </c>
      <c r="N2600" t="s">
        <v>5795</v>
      </c>
    </row>
    <row r="2601" spans="1:14" x14ac:dyDescent="0.25">
      <c r="A2601">
        <v>8507966</v>
      </c>
      <c r="B2601" t="s">
        <v>5796</v>
      </c>
      <c r="C2601" t="s">
        <v>94</v>
      </c>
      <c r="D2601" t="s">
        <v>86</v>
      </c>
      <c r="E2601" t="s">
        <v>87</v>
      </c>
      <c r="F2601" t="s">
        <v>5797</v>
      </c>
      <c r="G2601">
        <v>5932</v>
      </c>
      <c r="H2601" t="s">
        <v>5797</v>
      </c>
      <c r="I2601" t="s">
        <v>96</v>
      </c>
      <c r="K2601">
        <v>2541216</v>
      </c>
      <c r="L2601">
        <v>1176316</v>
      </c>
      <c r="M2601">
        <v>637</v>
      </c>
      <c r="N2601" t="s">
        <v>5798</v>
      </c>
    </row>
    <row r="2602" spans="1:14" x14ac:dyDescent="0.25">
      <c r="A2602">
        <v>8570304</v>
      </c>
      <c r="B2602" t="s">
        <v>5799</v>
      </c>
      <c r="C2602" t="s">
        <v>94</v>
      </c>
      <c r="D2602" t="s">
        <v>86</v>
      </c>
      <c r="E2602" t="s">
        <v>87</v>
      </c>
      <c r="F2602" t="s">
        <v>5797</v>
      </c>
      <c r="G2602">
        <v>5932</v>
      </c>
      <c r="H2602" t="s">
        <v>5797</v>
      </c>
      <c r="I2602" t="s">
        <v>96</v>
      </c>
      <c r="K2602">
        <v>2541900</v>
      </c>
      <c r="L2602">
        <v>1175946</v>
      </c>
      <c r="M2602">
        <v>642</v>
      </c>
      <c r="N2602" t="s">
        <v>5800</v>
      </c>
    </row>
    <row r="2603" spans="1:14" x14ac:dyDescent="0.25">
      <c r="A2603">
        <v>8504152</v>
      </c>
      <c r="B2603" t="s">
        <v>5801</v>
      </c>
      <c r="C2603" t="s">
        <v>94</v>
      </c>
      <c r="D2603" t="s">
        <v>86</v>
      </c>
      <c r="E2603" t="s">
        <v>87</v>
      </c>
      <c r="F2603" t="s">
        <v>5802</v>
      </c>
      <c r="G2603">
        <v>5831</v>
      </c>
      <c r="H2603" t="s">
        <v>5803</v>
      </c>
      <c r="I2603" t="s">
        <v>96</v>
      </c>
      <c r="K2603">
        <v>2552539</v>
      </c>
      <c r="L2603">
        <v>1179049</v>
      </c>
      <c r="M2603">
        <v>672</v>
      </c>
      <c r="N2603" t="s">
        <v>5804</v>
      </c>
    </row>
    <row r="2604" spans="1:14" x14ac:dyDescent="0.25">
      <c r="A2604">
        <v>8504155</v>
      </c>
      <c r="B2604" t="s">
        <v>5805</v>
      </c>
      <c r="C2604" t="s">
        <v>94</v>
      </c>
      <c r="D2604" t="s">
        <v>86</v>
      </c>
      <c r="E2604" t="s">
        <v>87</v>
      </c>
      <c r="F2604" t="s">
        <v>5802</v>
      </c>
      <c r="G2604">
        <v>5831</v>
      </c>
      <c r="H2604" t="s">
        <v>5806</v>
      </c>
      <c r="I2604" t="s">
        <v>96</v>
      </c>
      <c r="K2604">
        <v>2558727</v>
      </c>
      <c r="L2604">
        <v>1174454</v>
      </c>
      <c r="M2604">
        <v>727</v>
      </c>
      <c r="N2604" t="s">
        <v>5807</v>
      </c>
    </row>
    <row r="2605" spans="1:14" x14ac:dyDescent="0.25">
      <c r="A2605">
        <v>8504122</v>
      </c>
      <c r="B2605" t="s">
        <v>5808</v>
      </c>
      <c r="C2605" t="s">
        <v>132</v>
      </c>
      <c r="D2605" t="s">
        <v>112</v>
      </c>
      <c r="E2605" t="s">
        <v>87</v>
      </c>
      <c r="F2605" t="s">
        <v>5802</v>
      </c>
      <c r="G2605">
        <v>5831</v>
      </c>
      <c r="H2605" t="s">
        <v>5809</v>
      </c>
      <c r="I2605" t="s">
        <v>133</v>
      </c>
      <c r="K2605">
        <v>2558413.0809999998</v>
      </c>
      <c r="L2605">
        <v>1178773.963</v>
      </c>
      <c r="M2605">
        <v>469.29</v>
      </c>
      <c r="N2605" t="s">
        <v>5810</v>
      </c>
    </row>
    <row r="2606" spans="1:14" x14ac:dyDescent="0.25">
      <c r="A2606">
        <v>8504153</v>
      </c>
      <c r="B2606" t="s">
        <v>5811</v>
      </c>
      <c r="C2606" t="s">
        <v>94</v>
      </c>
      <c r="D2606" t="s">
        <v>86</v>
      </c>
      <c r="E2606" t="s">
        <v>87</v>
      </c>
      <c r="F2606" t="s">
        <v>5802</v>
      </c>
      <c r="G2606">
        <v>5831</v>
      </c>
      <c r="H2606" t="s">
        <v>5812</v>
      </c>
      <c r="I2606" t="s">
        <v>96</v>
      </c>
      <c r="K2606">
        <v>2551916</v>
      </c>
      <c r="L2606">
        <v>1177658</v>
      </c>
      <c r="M2606">
        <v>666</v>
      </c>
      <c r="N2606" t="s">
        <v>5813</v>
      </c>
    </row>
    <row r="2607" spans="1:14" x14ac:dyDescent="0.25">
      <c r="A2607">
        <v>8504159</v>
      </c>
      <c r="B2607" t="s">
        <v>5814</v>
      </c>
      <c r="C2607" t="s">
        <v>94</v>
      </c>
      <c r="D2607" t="s">
        <v>86</v>
      </c>
      <c r="E2607" t="s">
        <v>87</v>
      </c>
      <c r="F2607" t="s">
        <v>5802</v>
      </c>
      <c r="G2607">
        <v>5831</v>
      </c>
      <c r="H2607" t="s">
        <v>5815</v>
      </c>
      <c r="I2607" t="s">
        <v>96</v>
      </c>
      <c r="K2607">
        <v>2555704</v>
      </c>
      <c r="L2607">
        <v>1180627</v>
      </c>
      <c r="M2607">
        <v>629</v>
      </c>
      <c r="N2607" t="s">
        <v>5816</v>
      </c>
    </row>
    <row r="2608" spans="1:14" x14ac:dyDescent="0.25">
      <c r="A2608">
        <v>8557077</v>
      </c>
      <c r="B2608" t="s">
        <v>5817</v>
      </c>
      <c r="C2608" t="s">
        <v>94</v>
      </c>
      <c r="D2608" t="s">
        <v>86</v>
      </c>
      <c r="E2608" t="s">
        <v>87</v>
      </c>
      <c r="F2608" t="s">
        <v>5802</v>
      </c>
      <c r="G2608">
        <v>5831</v>
      </c>
      <c r="H2608" t="s">
        <v>5809</v>
      </c>
      <c r="I2608" t="s">
        <v>96</v>
      </c>
      <c r="K2608">
        <v>2558248</v>
      </c>
      <c r="L2608">
        <v>1178951</v>
      </c>
      <c r="M2608">
        <v>466</v>
      </c>
      <c r="N2608" t="s">
        <v>5818</v>
      </c>
    </row>
    <row r="2609" spans="1:14" x14ac:dyDescent="0.25">
      <c r="A2609">
        <v>8557120</v>
      </c>
      <c r="B2609" t="s">
        <v>5819</v>
      </c>
      <c r="C2609" t="s">
        <v>94</v>
      </c>
      <c r="D2609" t="s">
        <v>86</v>
      </c>
      <c r="E2609" t="s">
        <v>87</v>
      </c>
      <c r="F2609" t="s">
        <v>5802</v>
      </c>
      <c r="G2609">
        <v>5831</v>
      </c>
      <c r="H2609" t="s">
        <v>5820</v>
      </c>
      <c r="I2609" t="s">
        <v>96</v>
      </c>
      <c r="K2609">
        <v>2557204</v>
      </c>
      <c r="L2609">
        <v>1175376</v>
      </c>
      <c r="M2609">
        <v>571</v>
      </c>
      <c r="N2609" t="s">
        <v>5821</v>
      </c>
    </row>
    <row r="2610" spans="1:14" x14ac:dyDescent="0.25">
      <c r="A2610">
        <v>8570374</v>
      </c>
      <c r="B2610" t="s">
        <v>5822</v>
      </c>
      <c r="C2610" t="s">
        <v>94</v>
      </c>
      <c r="D2610" t="s">
        <v>86</v>
      </c>
      <c r="E2610" t="s">
        <v>87</v>
      </c>
      <c r="F2610" t="s">
        <v>5802</v>
      </c>
      <c r="G2610">
        <v>5831</v>
      </c>
      <c r="H2610" t="s">
        <v>5809</v>
      </c>
      <c r="I2610" t="s">
        <v>96</v>
      </c>
      <c r="K2610">
        <v>2558023</v>
      </c>
      <c r="L2610">
        <v>1179169</v>
      </c>
      <c r="M2610">
        <v>468</v>
      </c>
      <c r="N2610" t="s">
        <v>5823</v>
      </c>
    </row>
    <row r="2611" spans="1:14" x14ac:dyDescent="0.25">
      <c r="A2611">
        <v>8570373</v>
      </c>
      <c r="B2611" t="s">
        <v>5824</v>
      </c>
      <c r="C2611" t="s">
        <v>94</v>
      </c>
      <c r="D2611" t="s">
        <v>86</v>
      </c>
      <c r="E2611" t="s">
        <v>87</v>
      </c>
      <c r="F2611" t="s">
        <v>5802</v>
      </c>
      <c r="G2611">
        <v>5831</v>
      </c>
      <c r="H2611" t="s">
        <v>5809</v>
      </c>
      <c r="I2611" t="s">
        <v>96</v>
      </c>
      <c r="K2611">
        <v>2558400</v>
      </c>
      <c r="L2611">
        <v>1178756</v>
      </c>
      <c r="M2611">
        <v>466</v>
      </c>
      <c r="N2611" t="s">
        <v>5825</v>
      </c>
    </row>
    <row r="2612" spans="1:14" x14ac:dyDescent="0.25">
      <c r="A2612">
        <v>8577619</v>
      </c>
      <c r="B2612" t="s">
        <v>5826</v>
      </c>
      <c r="C2612" t="s">
        <v>94</v>
      </c>
      <c r="D2612" t="s">
        <v>86</v>
      </c>
      <c r="E2612" t="s">
        <v>87</v>
      </c>
      <c r="F2612" t="s">
        <v>5802</v>
      </c>
      <c r="G2612">
        <v>5831</v>
      </c>
      <c r="H2612" t="s">
        <v>5812</v>
      </c>
      <c r="I2612" t="s">
        <v>96</v>
      </c>
      <c r="K2612">
        <v>2551927</v>
      </c>
      <c r="L2612">
        <v>1177894</v>
      </c>
      <c r="M2612">
        <v>650</v>
      </c>
      <c r="N2612" t="s">
        <v>5827</v>
      </c>
    </row>
    <row r="2613" spans="1:14" x14ac:dyDescent="0.25">
      <c r="A2613">
        <v>8577620</v>
      </c>
      <c r="B2613" t="s">
        <v>5828</v>
      </c>
      <c r="C2613" t="s">
        <v>297</v>
      </c>
      <c r="D2613" t="s">
        <v>86</v>
      </c>
      <c r="E2613" t="s">
        <v>87</v>
      </c>
      <c r="F2613" t="s">
        <v>5802</v>
      </c>
      <c r="G2613">
        <v>5831</v>
      </c>
      <c r="H2613" t="s">
        <v>5803</v>
      </c>
      <c r="I2613" t="s">
        <v>298</v>
      </c>
      <c r="K2613">
        <v>2552617.6463500001</v>
      </c>
      <c r="L2613">
        <v>1179141.2966799999</v>
      </c>
      <c r="M2613">
        <v>672.6</v>
      </c>
      <c r="N2613" t="s">
        <v>5829</v>
      </c>
    </row>
    <row r="2614" spans="1:14" x14ac:dyDescent="0.25">
      <c r="A2614">
        <v>8580464</v>
      </c>
      <c r="B2614" t="s">
        <v>5830</v>
      </c>
      <c r="C2614" t="s">
        <v>94</v>
      </c>
      <c r="D2614" t="s">
        <v>86</v>
      </c>
      <c r="E2614" t="s">
        <v>87</v>
      </c>
      <c r="F2614" t="s">
        <v>5802</v>
      </c>
      <c r="G2614">
        <v>5831</v>
      </c>
      <c r="H2614" t="s">
        <v>5803</v>
      </c>
      <c r="I2614" t="s">
        <v>96</v>
      </c>
      <c r="K2614">
        <v>2553455</v>
      </c>
      <c r="L2614">
        <v>1179480</v>
      </c>
      <c r="M2614">
        <v>689</v>
      </c>
      <c r="N2614" t="s">
        <v>5831</v>
      </c>
    </row>
    <row r="2615" spans="1:14" x14ac:dyDescent="0.25">
      <c r="A2615">
        <v>8557139</v>
      </c>
      <c r="B2615" t="s">
        <v>5832</v>
      </c>
      <c r="C2615" t="s">
        <v>94</v>
      </c>
      <c r="D2615" t="s">
        <v>86</v>
      </c>
      <c r="E2615" t="s">
        <v>87</v>
      </c>
      <c r="F2615" t="s">
        <v>5802</v>
      </c>
      <c r="G2615">
        <v>5831</v>
      </c>
      <c r="H2615" t="s">
        <v>5833</v>
      </c>
      <c r="I2615" t="s">
        <v>96</v>
      </c>
      <c r="K2615">
        <v>2558715</v>
      </c>
      <c r="L2615">
        <v>1178590</v>
      </c>
      <c r="M2615">
        <v>475</v>
      </c>
      <c r="N2615" t="s">
        <v>5834</v>
      </c>
    </row>
    <row r="2616" spans="1:14" x14ac:dyDescent="0.25">
      <c r="A2616">
        <v>8570474</v>
      </c>
      <c r="B2616" t="s">
        <v>5835</v>
      </c>
      <c r="C2616" t="s">
        <v>94</v>
      </c>
      <c r="D2616" t="s">
        <v>86</v>
      </c>
      <c r="E2616" t="s">
        <v>87</v>
      </c>
      <c r="F2616" t="s">
        <v>5802</v>
      </c>
      <c r="G2616">
        <v>5831</v>
      </c>
      <c r="H2616" t="s">
        <v>5836</v>
      </c>
      <c r="I2616" t="s">
        <v>96</v>
      </c>
      <c r="K2616">
        <v>2558679</v>
      </c>
      <c r="L2616">
        <v>1175274</v>
      </c>
      <c r="M2616">
        <v>686</v>
      </c>
      <c r="N2616" t="s">
        <v>5837</v>
      </c>
    </row>
    <row r="2617" spans="1:14" x14ac:dyDescent="0.25">
      <c r="A2617">
        <v>8510141</v>
      </c>
      <c r="B2617" t="s">
        <v>5838</v>
      </c>
      <c r="C2617" t="s">
        <v>297</v>
      </c>
      <c r="D2617" t="s">
        <v>86</v>
      </c>
      <c r="E2617" t="s">
        <v>87</v>
      </c>
      <c r="F2617" t="s">
        <v>5802</v>
      </c>
      <c r="G2617">
        <v>5831</v>
      </c>
      <c r="H2617" t="s">
        <v>5820</v>
      </c>
      <c r="I2617" t="s">
        <v>298</v>
      </c>
      <c r="K2617">
        <v>2556533.8468499999</v>
      </c>
      <c r="L2617">
        <v>1175637.6318600001</v>
      </c>
      <c r="M2617">
        <v>488.9</v>
      </c>
      <c r="N2617" t="s">
        <v>5839</v>
      </c>
    </row>
    <row r="2618" spans="1:14" x14ac:dyDescent="0.25">
      <c r="A2618">
        <v>8570405</v>
      </c>
      <c r="B2618" t="s">
        <v>5840</v>
      </c>
      <c r="C2618" t="s">
        <v>94</v>
      </c>
      <c r="D2618" t="s">
        <v>86</v>
      </c>
      <c r="E2618" t="s">
        <v>87</v>
      </c>
      <c r="F2618" t="s">
        <v>5802</v>
      </c>
      <c r="G2618">
        <v>5831</v>
      </c>
      <c r="H2618" t="s">
        <v>5803</v>
      </c>
      <c r="I2618" t="s">
        <v>96</v>
      </c>
      <c r="K2618">
        <v>2552836</v>
      </c>
      <c r="L2618">
        <v>1179442</v>
      </c>
      <c r="M2618">
        <v>679</v>
      </c>
      <c r="N2618" t="s">
        <v>5841</v>
      </c>
    </row>
    <row r="2619" spans="1:14" x14ac:dyDescent="0.25">
      <c r="A2619">
        <v>8570485</v>
      </c>
      <c r="B2619" t="s">
        <v>5842</v>
      </c>
      <c r="C2619" t="s">
        <v>94</v>
      </c>
      <c r="D2619" t="s">
        <v>86</v>
      </c>
      <c r="E2619" t="s">
        <v>87</v>
      </c>
      <c r="F2619" t="s">
        <v>5802</v>
      </c>
      <c r="G2619">
        <v>5831</v>
      </c>
      <c r="H2619" t="s">
        <v>5806</v>
      </c>
      <c r="I2619" t="s">
        <v>96</v>
      </c>
      <c r="K2619">
        <v>2560085</v>
      </c>
      <c r="L2619">
        <v>1174681</v>
      </c>
      <c r="M2619">
        <v>786</v>
      </c>
      <c r="N2619" t="s">
        <v>5843</v>
      </c>
    </row>
    <row r="2620" spans="1:14" x14ac:dyDescent="0.25">
      <c r="A2620">
        <v>8504292</v>
      </c>
      <c r="B2620" t="s">
        <v>5844</v>
      </c>
      <c r="C2620" t="s">
        <v>338</v>
      </c>
      <c r="D2620" t="s">
        <v>112</v>
      </c>
      <c r="E2620" t="s">
        <v>87</v>
      </c>
      <c r="F2620" t="s">
        <v>5844</v>
      </c>
      <c r="G2620">
        <v>5933</v>
      </c>
      <c r="H2620" t="s">
        <v>5844</v>
      </c>
      <c r="I2620" t="s">
        <v>372</v>
      </c>
      <c r="K2620">
        <v>2536841.4961000001</v>
      </c>
      <c r="L2620">
        <v>1183185.0290000001</v>
      </c>
      <c r="M2620">
        <v>450.3</v>
      </c>
      <c r="N2620" t="s">
        <v>5845</v>
      </c>
    </row>
    <row r="2621" spans="1:14" x14ac:dyDescent="0.25">
      <c r="A2621">
        <v>8583824</v>
      </c>
      <c r="B2621" t="s">
        <v>5846</v>
      </c>
      <c r="C2621" t="s">
        <v>94</v>
      </c>
      <c r="D2621" t="s">
        <v>86</v>
      </c>
      <c r="E2621" t="s">
        <v>87</v>
      </c>
      <c r="F2621" t="s">
        <v>5844</v>
      </c>
      <c r="G2621">
        <v>5933</v>
      </c>
      <c r="H2621" t="s">
        <v>5844</v>
      </c>
      <c r="I2621" t="s">
        <v>96</v>
      </c>
      <c r="K2621">
        <v>2536673</v>
      </c>
      <c r="L2621">
        <v>1183449</v>
      </c>
      <c r="M2621">
        <v>474</v>
      </c>
      <c r="N2621" t="s">
        <v>5847</v>
      </c>
    </row>
    <row r="2622" spans="1:14" x14ac:dyDescent="0.25">
      <c r="A2622">
        <v>8583825</v>
      </c>
      <c r="B2622" t="s">
        <v>5848</v>
      </c>
      <c r="C2622" t="s">
        <v>94</v>
      </c>
      <c r="D2622" t="s">
        <v>86</v>
      </c>
      <c r="E2622" t="s">
        <v>87</v>
      </c>
      <c r="F2622" t="s">
        <v>5844</v>
      </c>
      <c r="G2622">
        <v>5933</v>
      </c>
      <c r="H2622" t="s">
        <v>5844</v>
      </c>
      <c r="I2622" t="s">
        <v>96</v>
      </c>
      <c r="K2622">
        <v>2536839</v>
      </c>
      <c r="L2622">
        <v>1183293</v>
      </c>
      <c r="M2622">
        <v>455</v>
      </c>
      <c r="N2622" t="s">
        <v>5849</v>
      </c>
    </row>
    <row r="2623" spans="1:14" x14ac:dyDescent="0.25">
      <c r="A2623">
        <v>8570244</v>
      </c>
      <c r="B2623" t="s">
        <v>5850</v>
      </c>
      <c r="C2623" t="s">
        <v>94</v>
      </c>
      <c r="D2623" t="s">
        <v>86</v>
      </c>
      <c r="E2623" t="s">
        <v>87</v>
      </c>
      <c r="F2623" t="s">
        <v>5851</v>
      </c>
      <c r="G2623">
        <v>5763</v>
      </c>
      <c r="H2623" t="s">
        <v>5851</v>
      </c>
      <c r="I2623" t="s">
        <v>96</v>
      </c>
      <c r="K2623">
        <v>2530284</v>
      </c>
      <c r="L2623">
        <v>1178380</v>
      </c>
      <c r="M2623">
        <v>504</v>
      </c>
      <c r="N2623" t="s">
        <v>5852</v>
      </c>
    </row>
    <row r="2624" spans="1:14" x14ac:dyDescent="0.25">
      <c r="A2624">
        <v>8570245</v>
      </c>
      <c r="B2624" t="s">
        <v>5853</v>
      </c>
      <c r="C2624" t="s">
        <v>94</v>
      </c>
      <c r="D2624" t="s">
        <v>86</v>
      </c>
      <c r="E2624" t="s">
        <v>87</v>
      </c>
      <c r="F2624" t="s">
        <v>5851</v>
      </c>
      <c r="G2624">
        <v>5763</v>
      </c>
      <c r="H2624" t="s">
        <v>5851</v>
      </c>
      <c r="I2624" t="s">
        <v>96</v>
      </c>
      <c r="K2624">
        <v>2530629</v>
      </c>
      <c r="L2624">
        <v>1178100</v>
      </c>
      <c r="M2624">
        <v>501</v>
      </c>
      <c r="N2624" t="s">
        <v>5854</v>
      </c>
    </row>
    <row r="2625" spans="1:14" x14ac:dyDescent="0.25">
      <c r="A2625">
        <v>8507967</v>
      </c>
      <c r="B2625" t="s">
        <v>5855</v>
      </c>
      <c r="C2625" t="s">
        <v>94</v>
      </c>
      <c r="D2625" t="s">
        <v>86</v>
      </c>
      <c r="E2625" t="s">
        <v>87</v>
      </c>
      <c r="F2625" t="s">
        <v>5856</v>
      </c>
      <c r="G2625">
        <v>5934</v>
      </c>
      <c r="H2625" t="s">
        <v>5856</v>
      </c>
      <c r="I2625" t="s">
        <v>96</v>
      </c>
      <c r="K2625">
        <v>2540165</v>
      </c>
      <c r="L2625">
        <v>1177541</v>
      </c>
      <c r="M2625">
        <v>550</v>
      </c>
      <c r="N2625" t="s">
        <v>5857</v>
      </c>
    </row>
    <row r="2626" spans="1:14" x14ac:dyDescent="0.25">
      <c r="A2626">
        <v>8579912</v>
      </c>
      <c r="B2626" t="s">
        <v>5858</v>
      </c>
      <c r="C2626" t="s">
        <v>338</v>
      </c>
      <c r="D2626" t="s">
        <v>86</v>
      </c>
      <c r="E2626" t="s">
        <v>87</v>
      </c>
      <c r="F2626" t="s">
        <v>5859</v>
      </c>
      <c r="G2626">
        <v>5764</v>
      </c>
      <c r="H2626" t="s">
        <v>5859</v>
      </c>
      <c r="I2626" t="s">
        <v>340</v>
      </c>
      <c r="K2626">
        <v>2518692.97676</v>
      </c>
      <c r="L2626">
        <v>1173970.9569699999</v>
      </c>
      <c r="M2626">
        <v>763</v>
      </c>
      <c r="N2626" t="s">
        <v>5860</v>
      </c>
    </row>
    <row r="2627" spans="1:14" x14ac:dyDescent="0.25">
      <c r="A2627">
        <v>8510428</v>
      </c>
      <c r="B2627" t="s">
        <v>5861</v>
      </c>
      <c r="C2627" t="s">
        <v>338</v>
      </c>
      <c r="D2627" t="s">
        <v>86</v>
      </c>
      <c r="E2627" t="s">
        <v>87</v>
      </c>
      <c r="F2627" t="s">
        <v>5859</v>
      </c>
      <c r="G2627">
        <v>5764</v>
      </c>
      <c r="H2627" t="s">
        <v>5859</v>
      </c>
      <c r="I2627" t="s">
        <v>340</v>
      </c>
      <c r="K2627">
        <v>2518168.1639999999</v>
      </c>
      <c r="L2627">
        <v>1173821.97006</v>
      </c>
      <c r="M2627">
        <v>765</v>
      </c>
      <c r="N2627" t="s">
        <v>5862</v>
      </c>
    </row>
    <row r="2628" spans="1:14" x14ac:dyDescent="0.25">
      <c r="A2628">
        <v>8510327</v>
      </c>
      <c r="B2628" t="s">
        <v>5863</v>
      </c>
      <c r="C2628" t="s">
        <v>338</v>
      </c>
      <c r="D2628" t="s">
        <v>86</v>
      </c>
      <c r="E2628" t="s">
        <v>87</v>
      </c>
      <c r="F2628" t="s">
        <v>5859</v>
      </c>
      <c r="G2628">
        <v>5764</v>
      </c>
      <c r="H2628" t="s">
        <v>5859</v>
      </c>
      <c r="I2628" t="s">
        <v>340</v>
      </c>
      <c r="K2628">
        <v>2518597.7238599998</v>
      </c>
      <c r="L2628">
        <v>1173533.2841700001</v>
      </c>
      <c r="M2628">
        <v>760</v>
      </c>
      <c r="N2628" t="s">
        <v>5864</v>
      </c>
    </row>
    <row r="2629" spans="1:14" x14ac:dyDescent="0.25">
      <c r="A2629">
        <v>8579293</v>
      </c>
      <c r="B2629" t="s">
        <v>5865</v>
      </c>
      <c r="C2629" t="s">
        <v>338</v>
      </c>
      <c r="D2629" t="s">
        <v>86</v>
      </c>
      <c r="E2629" t="s">
        <v>87</v>
      </c>
      <c r="F2629" t="s">
        <v>5859</v>
      </c>
      <c r="G2629">
        <v>5764</v>
      </c>
      <c r="H2629" t="s">
        <v>5859</v>
      </c>
      <c r="I2629" t="s">
        <v>340</v>
      </c>
      <c r="K2629">
        <v>2518325.6797199999</v>
      </c>
      <c r="L2629">
        <v>1173987.5958400001</v>
      </c>
      <c r="M2629">
        <v>802</v>
      </c>
      <c r="N2629" t="s">
        <v>5866</v>
      </c>
    </row>
    <row r="2630" spans="1:14" x14ac:dyDescent="0.25">
      <c r="A2630">
        <v>8579090</v>
      </c>
      <c r="B2630" t="s">
        <v>5867</v>
      </c>
      <c r="C2630" t="s">
        <v>338</v>
      </c>
      <c r="D2630" t="s">
        <v>86</v>
      </c>
      <c r="E2630" t="s">
        <v>87</v>
      </c>
      <c r="F2630" t="s">
        <v>5859</v>
      </c>
      <c r="G2630">
        <v>5764</v>
      </c>
      <c r="H2630" t="s">
        <v>5859</v>
      </c>
      <c r="I2630" t="s">
        <v>340</v>
      </c>
      <c r="K2630">
        <v>2519681</v>
      </c>
      <c r="L2630">
        <v>1174470.0009999999</v>
      </c>
      <c r="M2630">
        <v>755</v>
      </c>
      <c r="N2630" t="s">
        <v>5868</v>
      </c>
    </row>
    <row r="2631" spans="1:14" x14ac:dyDescent="0.25">
      <c r="A2631">
        <v>8579091</v>
      </c>
      <c r="B2631" t="s">
        <v>5869</v>
      </c>
      <c r="C2631" t="s">
        <v>338</v>
      </c>
      <c r="D2631" t="s">
        <v>86</v>
      </c>
      <c r="E2631" t="s">
        <v>87</v>
      </c>
      <c r="F2631" t="s">
        <v>5859</v>
      </c>
      <c r="G2631">
        <v>5764</v>
      </c>
      <c r="H2631" t="s">
        <v>5859</v>
      </c>
      <c r="I2631" t="s">
        <v>340</v>
      </c>
      <c r="K2631">
        <v>2520009</v>
      </c>
      <c r="L2631">
        <v>1175101.0009999999</v>
      </c>
      <c r="M2631">
        <v>784</v>
      </c>
      <c r="N2631" t="s">
        <v>5870</v>
      </c>
    </row>
    <row r="2632" spans="1:14" x14ac:dyDescent="0.25">
      <c r="A2632">
        <v>8579088</v>
      </c>
      <c r="B2632" t="s">
        <v>5871</v>
      </c>
      <c r="C2632" t="s">
        <v>338</v>
      </c>
      <c r="D2632" t="s">
        <v>86</v>
      </c>
      <c r="E2632" t="s">
        <v>87</v>
      </c>
      <c r="F2632" t="s">
        <v>5859</v>
      </c>
      <c r="G2632">
        <v>5764</v>
      </c>
      <c r="H2632" t="s">
        <v>5859</v>
      </c>
      <c r="I2632" t="s">
        <v>340</v>
      </c>
      <c r="K2632">
        <v>2519014</v>
      </c>
      <c r="L2632">
        <v>1173904.0009999999</v>
      </c>
      <c r="M2632">
        <v>750</v>
      </c>
      <c r="N2632" t="s">
        <v>5872</v>
      </c>
    </row>
    <row r="2633" spans="1:14" x14ac:dyDescent="0.25">
      <c r="A2633">
        <v>8501104</v>
      </c>
      <c r="B2633" t="s">
        <v>5873</v>
      </c>
      <c r="C2633" t="s">
        <v>132</v>
      </c>
      <c r="D2633" t="s">
        <v>112</v>
      </c>
      <c r="E2633" t="s">
        <v>87</v>
      </c>
      <c r="F2633" t="s">
        <v>5859</v>
      </c>
      <c r="G2633">
        <v>5764</v>
      </c>
      <c r="H2633" t="s">
        <v>5859</v>
      </c>
      <c r="I2633" t="s">
        <v>133</v>
      </c>
      <c r="K2633">
        <v>2520520.2157999999</v>
      </c>
      <c r="L2633">
        <v>1174842.2174</v>
      </c>
      <c r="M2633">
        <v>787.13</v>
      </c>
      <c r="N2633" t="s">
        <v>5874</v>
      </c>
    </row>
    <row r="2634" spans="1:14" x14ac:dyDescent="0.25">
      <c r="A2634">
        <v>8579089</v>
      </c>
      <c r="B2634" t="s">
        <v>5875</v>
      </c>
      <c r="C2634" t="s">
        <v>338</v>
      </c>
      <c r="D2634" t="s">
        <v>86</v>
      </c>
      <c r="E2634" t="s">
        <v>87</v>
      </c>
      <c r="F2634" t="s">
        <v>5859</v>
      </c>
      <c r="G2634">
        <v>5764</v>
      </c>
      <c r="H2634" t="s">
        <v>5859</v>
      </c>
      <c r="I2634" t="s">
        <v>340</v>
      </c>
      <c r="K2634">
        <v>2520523.6472100001</v>
      </c>
      <c r="L2634">
        <v>1174742.0552000001</v>
      </c>
      <c r="M2634">
        <v>791</v>
      </c>
      <c r="N2634" t="s">
        <v>5876</v>
      </c>
    </row>
    <row r="2635" spans="1:14" x14ac:dyDescent="0.25">
      <c r="A2635">
        <v>8579092</v>
      </c>
      <c r="B2635" t="s">
        <v>5877</v>
      </c>
      <c r="C2635" t="s">
        <v>338</v>
      </c>
      <c r="D2635" t="s">
        <v>86</v>
      </c>
      <c r="E2635" t="s">
        <v>87</v>
      </c>
      <c r="F2635" t="s">
        <v>5859</v>
      </c>
      <c r="G2635">
        <v>5764</v>
      </c>
      <c r="H2635" t="s">
        <v>5859</v>
      </c>
      <c r="I2635" t="s">
        <v>340</v>
      </c>
      <c r="K2635">
        <v>2520035</v>
      </c>
      <c r="L2635">
        <v>1175534.0009999999</v>
      </c>
      <c r="M2635">
        <v>802</v>
      </c>
      <c r="N2635" t="s">
        <v>5878</v>
      </c>
    </row>
    <row r="2636" spans="1:14" x14ac:dyDescent="0.25">
      <c r="A2636">
        <v>8510205</v>
      </c>
      <c r="B2636" t="s">
        <v>5879</v>
      </c>
      <c r="C2636" t="s">
        <v>94</v>
      </c>
      <c r="D2636" t="s">
        <v>86</v>
      </c>
      <c r="E2636" t="s">
        <v>87</v>
      </c>
      <c r="F2636" t="s">
        <v>5859</v>
      </c>
      <c r="G2636">
        <v>5764</v>
      </c>
      <c r="H2636" t="s">
        <v>5859</v>
      </c>
      <c r="I2636" t="s">
        <v>96</v>
      </c>
      <c r="K2636">
        <v>2516008</v>
      </c>
      <c r="L2636">
        <v>1171794</v>
      </c>
      <c r="M2636">
        <v>1028</v>
      </c>
      <c r="N2636" t="s">
        <v>5880</v>
      </c>
    </row>
    <row r="2637" spans="1:14" x14ac:dyDescent="0.25">
      <c r="A2637">
        <v>8510427</v>
      </c>
      <c r="B2637" t="s">
        <v>5881</v>
      </c>
      <c r="C2637" t="s">
        <v>338</v>
      </c>
      <c r="D2637" t="s">
        <v>86</v>
      </c>
      <c r="E2637" t="s">
        <v>87</v>
      </c>
      <c r="F2637" t="s">
        <v>5859</v>
      </c>
      <c r="G2637">
        <v>5764</v>
      </c>
      <c r="H2637" t="s">
        <v>5859</v>
      </c>
      <c r="I2637" t="s">
        <v>340</v>
      </c>
      <c r="K2637">
        <v>2517714.7872600001</v>
      </c>
      <c r="L2637">
        <v>1173624.10479</v>
      </c>
      <c r="M2637">
        <v>764</v>
      </c>
      <c r="N2637" t="s">
        <v>5882</v>
      </c>
    </row>
    <row r="2638" spans="1:14" x14ac:dyDescent="0.25">
      <c r="A2638">
        <v>8510423</v>
      </c>
      <c r="B2638" t="s">
        <v>5883</v>
      </c>
      <c r="C2638" t="s">
        <v>338</v>
      </c>
      <c r="D2638" t="s">
        <v>86</v>
      </c>
      <c r="E2638" t="s">
        <v>87</v>
      </c>
      <c r="F2638" t="s">
        <v>5859</v>
      </c>
      <c r="G2638">
        <v>5764</v>
      </c>
      <c r="H2638" t="s">
        <v>5859</v>
      </c>
      <c r="I2638" t="s">
        <v>340</v>
      </c>
      <c r="K2638">
        <v>2519370.5825200002</v>
      </c>
      <c r="L2638">
        <v>1173888.5236500001</v>
      </c>
      <c r="M2638">
        <v>758</v>
      </c>
      <c r="N2638" t="s">
        <v>5884</v>
      </c>
    </row>
    <row r="2639" spans="1:14" x14ac:dyDescent="0.25">
      <c r="A2639">
        <v>8510426</v>
      </c>
      <c r="B2639" t="s">
        <v>5885</v>
      </c>
      <c r="C2639" t="s">
        <v>338</v>
      </c>
      <c r="D2639" t="s">
        <v>86</v>
      </c>
      <c r="E2639" t="s">
        <v>87</v>
      </c>
      <c r="F2639" t="s">
        <v>5859</v>
      </c>
      <c r="G2639">
        <v>5764</v>
      </c>
      <c r="H2639" t="s">
        <v>5859</v>
      </c>
      <c r="I2639" t="s">
        <v>340</v>
      </c>
      <c r="K2639">
        <v>2517328.6109699998</v>
      </c>
      <c r="L2639">
        <v>1173419.1749199999</v>
      </c>
      <c r="M2639">
        <v>756</v>
      </c>
      <c r="N2639" t="s">
        <v>5886</v>
      </c>
    </row>
    <row r="2640" spans="1:14" x14ac:dyDescent="0.25">
      <c r="A2640">
        <v>8510326</v>
      </c>
      <c r="B2640" t="s">
        <v>5887</v>
      </c>
      <c r="C2640" t="s">
        <v>338</v>
      </c>
      <c r="D2640" t="s">
        <v>86</v>
      </c>
      <c r="E2640" t="s">
        <v>87</v>
      </c>
      <c r="F2640" t="s">
        <v>5859</v>
      </c>
      <c r="G2640">
        <v>5764</v>
      </c>
      <c r="H2640" t="s">
        <v>5859</v>
      </c>
      <c r="I2640" t="s">
        <v>340</v>
      </c>
      <c r="K2640">
        <v>2516718.0687199999</v>
      </c>
      <c r="L2640">
        <v>1172990.6772100001</v>
      </c>
      <c r="M2640">
        <v>760</v>
      </c>
      <c r="N2640" t="s">
        <v>5888</v>
      </c>
    </row>
    <row r="2641" spans="1:14" x14ac:dyDescent="0.25">
      <c r="A2641">
        <v>8509239</v>
      </c>
      <c r="B2641" t="s">
        <v>5889</v>
      </c>
      <c r="C2641" t="s">
        <v>132</v>
      </c>
      <c r="E2641" t="s">
        <v>87</v>
      </c>
      <c r="F2641" t="s">
        <v>5859</v>
      </c>
      <c r="G2641">
        <v>5764</v>
      </c>
      <c r="H2641" t="s">
        <v>5859</v>
      </c>
      <c r="I2641" t="s">
        <v>133</v>
      </c>
      <c r="K2641">
        <v>2520628.4981</v>
      </c>
      <c r="L2641">
        <v>1174545.2390000001</v>
      </c>
      <c r="M2641">
        <v>787.226</v>
      </c>
      <c r="N2641" t="s">
        <v>5890</v>
      </c>
    </row>
    <row r="2642" spans="1:14" x14ac:dyDescent="0.25">
      <c r="A2642">
        <v>8510425</v>
      </c>
      <c r="B2642" t="s">
        <v>5891</v>
      </c>
      <c r="C2642" t="s">
        <v>338</v>
      </c>
      <c r="D2642" t="s">
        <v>86</v>
      </c>
      <c r="E2642" t="s">
        <v>87</v>
      </c>
      <c r="F2642" t="s">
        <v>5859</v>
      </c>
      <c r="G2642">
        <v>5764</v>
      </c>
      <c r="H2642" t="s">
        <v>5859</v>
      </c>
      <c r="I2642" t="s">
        <v>340</v>
      </c>
      <c r="K2642">
        <v>2517553.7736300002</v>
      </c>
      <c r="L2642">
        <v>1173056.5109999999</v>
      </c>
      <c r="M2642">
        <v>769</v>
      </c>
      <c r="N2642" t="s">
        <v>5892</v>
      </c>
    </row>
    <row r="2643" spans="1:14" x14ac:dyDescent="0.25">
      <c r="A2643">
        <v>8510424</v>
      </c>
      <c r="B2643" t="s">
        <v>5893</v>
      </c>
      <c r="C2643" t="s">
        <v>338</v>
      </c>
      <c r="D2643" t="s">
        <v>86</v>
      </c>
      <c r="E2643" t="s">
        <v>87</v>
      </c>
      <c r="F2643" t="s">
        <v>5859</v>
      </c>
      <c r="G2643">
        <v>5764</v>
      </c>
      <c r="H2643" t="s">
        <v>5859</v>
      </c>
      <c r="I2643" t="s">
        <v>340</v>
      </c>
      <c r="K2643">
        <v>2520285.99291</v>
      </c>
      <c r="L2643">
        <v>1174380.9438700001</v>
      </c>
      <c r="M2643">
        <v>785</v>
      </c>
      <c r="N2643" t="s">
        <v>5894</v>
      </c>
    </row>
    <row r="2644" spans="1:14" x14ac:dyDescent="0.25">
      <c r="A2644">
        <v>8579910</v>
      </c>
      <c r="B2644" t="s">
        <v>5895</v>
      </c>
      <c r="C2644" t="s">
        <v>338</v>
      </c>
      <c r="D2644" t="s">
        <v>86</v>
      </c>
      <c r="E2644" t="s">
        <v>87</v>
      </c>
      <c r="F2644" t="s">
        <v>5859</v>
      </c>
      <c r="G2644">
        <v>5764</v>
      </c>
      <c r="H2644" t="s">
        <v>5859</v>
      </c>
      <c r="I2644" t="s">
        <v>340</v>
      </c>
      <c r="K2644">
        <v>2519217.0391000002</v>
      </c>
      <c r="L2644">
        <v>1174117.2564600001</v>
      </c>
      <c r="M2644">
        <v>762</v>
      </c>
      <c r="N2644" t="s">
        <v>5896</v>
      </c>
    </row>
    <row r="2645" spans="1:14" x14ac:dyDescent="0.25">
      <c r="A2645">
        <v>8579911</v>
      </c>
      <c r="B2645" t="s">
        <v>5897</v>
      </c>
      <c r="C2645" t="s">
        <v>338</v>
      </c>
      <c r="D2645" t="s">
        <v>86</v>
      </c>
      <c r="E2645" t="s">
        <v>87</v>
      </c>
      <c r="F2645" t="s">
        <v>5859</v>
      </c>
      <c r="G2645">
        <v>5764</v>
      </c>
      <c r="H2645" t="s">
        <v>5859</v>
      </c>
      <c r="I2645" t="s">
        <v>340</v>
      </c>
      <c r="K2645">
        <v>2518992.86681</v>
      </c>
      <c r="L2645">
        <v>1174151.0990200001</v>
      </c>
      <c r="M2645">
        <v>774</v>
      </c>
      <c r="N2645" t="s">
        <v>5898</v>
      </c>
    </row>
    <row r="2646" spans="1:14" x14ac:dyDescent="0.25">
      <c r="A2646">
        <v>8515320</v>
      </c>
      <c r="B2646" t="s">
        <v>5899</v>
      </c>
      <c r="C2646" t="s">
        <v>132</v>
      </c>
      <c r="E2646" t="s">
        <v>87</v>
      </c>
      <c r="F2646" t="s">
        <v>5859</v>
      </c>
      <c r="G2646">
        <v>5764</v>
      </c>
      <c r="H2646" t="s">
        <v>5859</v>
      </c>
      <c r="I2646" t="s">
        <v>133</v>
      </c>
      <c r="K2646">
        <v>2520597.3513000002</v>
      </c>
      <c r="L2646">
        <v>1174670.6662000001</v>
      </c>
      <c r="M2646">
        <v>787.18499999999995</v>
      </c>
      <c r="N2646" t="s">
        <v>5900</v>
      </c>
    </row>
    <row r="2647" spans="1:14" x14ac:dyDescent="0.25">
      <c r="A2647">
        <v>8579909</v>
      </c>
      <c r="B2647" t="s">
        <v>5901</v>
      </c>
      <c r="C2647" t="s">
        <v>338</v>
      </c>
      <c r="D2647" t="s">
        <v>86</v>
      </c>
      <c r="E2647" t="s">
        <v>87</v>
      </c>
      <c r="F2647" t="s">
        <v>5859</v>
      </c>
      <c r="G2647">
        <v>5764</v>
      </c>
      <c r="H2647" t="s">
        <v>5859</v>
      </c>
      <c r="I2647" t="s">
        <v>340</v>
      </c>
      <c r="K2647">
        <v>2519740</v>
      </c>
      <c r="L2647">
        <v>1175985.0009999999</v>
      </c>
      <c r="M2647">
        <v>808</v>
      </c>
      <c r="N2647" t="s">
        <v>5902</v>
      </c>
    </row>
    <row r="2648" spans="1:14" x14ac:dyDescent="0.25">
      <c r="A2648">
        <v>8501103</v>
      </c>
      <c r="B2648" t="s">
        <v>5859</v>
      </c>
      <c r="C2648" t="s">
        <v>132</v>
      </c>
      <c r="D2648" t="s">
        <v>112</v>
      </c>
      <c r="E2648" t="s">
        <v>87</v>
      </c>
      <c r="F2648" t="s">
        <v>5859</v>
      </c>
      <c r="G2648">
        <v>5764</v>
      </c>
      <c r="H2648" t="s">
        <v>5859</v>
      </c>
      <c r="I2648" t="s">
        <v>133</v>
      </c>
      <c r="K2648">
        <v>2518333.128</v>
      </c>
      <c r="L2648">
        <v>1174023.8940000001</v>
      </c>
      <c r="M2648">
        <v>806.91</v>
      </c>
      <c r="N2648" t="s">
        <v>5903</v>
      </c>
    </row>
    <row r="2649" spans="1:14" x14ac:dyDescent="0.25">
      <c r="A2649">
        <v>8501102</v>
      </c>
      <c r="B2649" t="s">
        <v>5904</v>
      </c>
      <c r="C2649" t="s">
        <v>132</v>
      </c>
      <c r="E2649" t="s">
        <v>87</v>
      </c>
      <c r="F2649" t="s">
        <v>5859</v>
      </c>
      <c r="G2649">
        <v>5764</v>
      </c>
      <c r="H2649" t="s">
        <v>5859</v>
      </c>
      <c r="I2649" t="s">
        <v>133</v>
      </c>
      <c r="J2649" t="s">
        <v>5905</v>
      </c>
      <c r="K2649">
        <v>2516591.446</v>
      </c>
      <c r="L2649">
        <v>1174179.9110000001</v>
      </c>
      <c r="M2649">
        <v>828.41</v>
      </c>
      <c r="N2649" t="s">
        <v>5906</v>
      </c>
    </row>
    <row r="2650" spans="1:14" x14ac:dyDescent="0.25">
      <c r="A2650">
        <v>8570231</v>
      </c>
      <c r="B2650" t="s">
        <v>5907</v>
      </c>
      <c r="C2650" t="s">
        <v>94</v>
      </c>
      <c r="D2650" t="s">
        <v>86</v>
      </c>
      <c r="E2650" t="s">
        <v>87</v>
      </c>
      <c r="F2650" t="s">
        <v>66</v>
      </c>
      <c r="G2650">
        <v>5765</v>
      </c>
      <c r="H2650" t="s">
        <v>66</v>
      </c>
      <c r="I2650" t="s">
        <v>96</v>
      </c>
      <c r="K2650">
        <v>2519931</v>
      </c>
      <c r="L2650">
        <v>1171585</v>
      </c>
      <c r="M2650">
        <v>928</v>
      </c>
      <c r="N2650" t="s">
        <v>5908</v>
      </c>
    </row>
    <row r="2651" spans="1:14" x14ac:dyDescent="0.25">
      <c r="A2651">
        <v>8570232</v>
      </c>
      <c r="B2651" t="s">
        <v>5909</v>
      </c>
      <c r="C2651" t="s">
        <v>94</v>
      </c>
      <c r="D2651" t="s">
        <v>86</v>
      </c>
      <c r="E2651" t="s">
        <v>87</v>
      </c>
      <c r="F2651" t="s">
        <v>66</v>
      </c>
      <c r="G2651">
        <v>5765</v>
      </c>
      <c r="H2651" t="s">
        <v>66</v>
      </c>
      <c r="I2651" t="s">
        <v>96</v>
      </c>
      <c r="K2651">
        <v>2519562</v>
      </c>
      <c r="L2651">
        <v>1171008</v>
      </c>
      <c r="M2651">
        <v>940</v>
      </c>
      <c r="N2651" t="s">
        <v>5910</v>
      </c>
    </row>
    <row r="2652" spans="1:14" x14ac:dyDescent="0.25">
      <c r="A2652">
        <v>8580862</v>
      </c>
      <c r="B2652" t="s">
        <v>5911</v>
      </c>
      <c r="C2652" t="s">
        <v>94</v>
      </c>
      <c r="D2652" t="s">
        <v>86</v>
      </c>
      <c r="E2652" t="s">
        <v>87</v>
      </c>
      <c r="F2652" t="s">
        <v>66</v>
      </c>
      <c r="G2652">
        <v>5765</v>
      </c>
      <c r="H2652" t="s">
        <v>66</v>
      </c>
      <c r="I2652" t="s">
        <v>96</v>
      </c>
      <c r="K2652">
        <v>2519736</v>
      </c>
      <c r="L2652">
        <v>1171339</v>
      </c>
      <c r="M2652">
        <v>932</v>
      </c>
      <c r="N2652" t="s">
        <v>5912</v>
      </c>
    </row>
    <row r="2653" spans="1:14" x14ac:dyDescent="0.25">
      <c r="A2653">
        <v>8510520</v>
      </c>
      <c r="B2653" t="s">
        <v>5913</v>
      </c>
      <c r="C2653" t="s">
        <v>94</v>
      </c>
      <c r="D2653" t="s">
        <v>86</v>
      </c>
      <c r="E2653" t="s">
        <v>87</v>
      </c>
      <c r="F2653" t="s">
        <v>66</v>
      </c>
      <c r="G2653">
        <v>5765</v>
      </c>
      <c r="H2653" t="s">
        <v>66</v>
      </c>
      <c r="I2653" t="s">
        <v>96</v>
      </c>
      <c r="K2653">
        <v>2518786</v>
      </c>
      <c r="L2653">
        <v>1170091</v>
      </c>
      <c r="M2653">
        <v>1065</v>
      </c>
      <c r="N2653" t="s">
        <v>5914</v>
      </c>
    </row>
    <row r="2654" spans="1:14" x14ac:dyDescent="0.25">
      <c r="A2654">
        <v>8570230</v>
      </c>
      <c r="B2654" t="s">
        <v>5915</v>
      </c>
      <c r="C2654" t="s">
        <v>94</v>
      </c>
      <c r="D2654" t="s">
        <v>86</v>
      </c>
      <c r="E2654" t="s">
        <v>87</v>
      </c>
      <c r="F2654" t="s">
        <v>66</v>
      </c>
      <c r="G2654">
        <v>5765</v>
      </c>
      <c r="H2654" t="s">
        <v>66</v>
      </c>
      <c r="I2654" t="s">
        <v>96</v>
      </c>
      <c r="K2654">
        <v>2520555</v>
      </c>
      <c r="L2654">
        <v>1171829</v>
      </c>
      <c r="M2654">
        <v>917</v>
      </c>
      <c r="N2654" t="s">
        <v>5916</v>
      </c>
    </row>
    <row r="2655" spans="1:14" x14ac:dyDescent="0.25">
      <c r="A2655">
        <v>8570229</v>
      </c>
      <c r="B2655" t="s">
        <v>5917</v>
      </c>
      <c r="C2655" t="s">
        <v>94</v>
      </c>
      <c r="D2655" t="s">
        <v>86</v>
      </c>
      <c r="E2655" t="s">
        <v>87</v>
      </c>
      <c r="F2655" t="s">
        <v>66</v>
      </c>
      <c r="G2655">
        <v>5765</v>
      </c>
      <c r="H2655" t="s">
        <v>66</v>
      </c>
      <c r="I2655" t="s">
        <v>96</v>
      </c>
      <c r="K2655">
        <v>2522214</v>
      </c>
      <c r="L2655">
        <v>1172253</v>
      </c>
      <c r="M2655">
        <v>883</v>
      </c>
      <c r="N2655" t="s">
        <v>5918</v>
      </c>
    </row>
    <row r="2656" spans="1:14" x14ac:dyDescent="0.25">
      <c r="A2656">
        <v>8584678</v>
      </c>
      <c r="B2656" t="s">
        <v>5919</v>
      </c>
      <c r="C2656" t="s">
        <v>94</v>
      </c>
      <c r="D2656" t="s">
        <v>86</v>
      </c>
      <c r="E2656" t="s">
        <v>87</v>
      </c>
      <c r="F2656" t="s">
        <v>66</v>
      </c>
      <c r="G2656">
        <v>5765</v>
      </c>
      <c r="H2656" t="s">
        <v>66</v>
      </c>
      <c r="I2656" t="s">
        <v>96</v>
      </c>
      <c r="K2656">
        <v>2519512</v>
      </c>
      <c r="L2656">
        <v>1171123</v>
      </c>
      <c r="M2656">
        <v>955</v>
      </c>
      <c r="N2656" t="s">
        <v>5920</v>
      </c>
    </row>
    <row r="2657" spans="1:14" x14ac:dyDescent="0.25">
      <c r="A2657">
        <v>8592285</v>
      </c>
      <c r="B2657" t="s">
        <v>5921</v>
      </c>
      <c r="C2657" t="s">
        <v>85</v>
      </c>
      <c r="D2657" t="s">
        <v>86</v>
      </c>
      <c r="E2657" t="s">
        <v>87</v>
      </c>
      <c r="F2657" t="s">
        <v>5922</v>
      </c>
      <c r="G2657">
        <v>5650</v>
      </c>
      <c r="H2657" t="s">
        <v>5922</v>
      </c>
      <c r="I2657" t="s">
        <v>89</v>
      </c>
      <c r="K2657">
        <v>2525661</v>
      </c>
      <c r="L2657">
        <v>1154061</v>
      </c>
      <c r="M2657">
        <v>504</v>
      </c>
      <c r="N2657" t="s">
        <v>5923</v>
      </c>
    </row>
    <row r="2658" spans="1:14" x14ac:dyDescent="0.25">
      <c r="A2658">
        <v>8570074</v>
      </c>
      <c r="B2658" t="s">
        <v>5924</v>
      </c>
      <c r="C2658" t="s">
        <v>85</v>
      </c>
      <c r="D2658" t="s">
        <v>86</v>
      </c>
      <c r="E2658" t="s">
        <v>87</v>
      </c>
      <c r="F2658" t="s">
        <v>5922</v>
      </c>
      <c r="G2658">
        <v>5650</v>
      </c>
      <c r="H2658" t="s">
        <v>5922</v>
      </c>
      <c r="I2658" t="s">
        <v>89</v>
      </c>
      <c r="K2658">
        <v>2525187</v>
      </c>
      <c r="L2658">
        <v>1154271</v>
      </c>
      <c r="M2658">
        <v>505</v>
      </c>
      <c r="N2658" t="s">
        <v>5925</v>
      </c>
    </row>
    <row r="2659" spans="1:14" x14ac:dyDescent="0.25">
      <c r="A2659">
        <v>8570075</v>
      </c>
      <c r="B2659" t="s">
        <v>5926</v>
      </c>
      <c r="C2659" t="s">
        <v>85</v>
      </c>
      <c r="D2659" t="s">
        <v>86</v>
      </c>
      <c r="E2659" t="s">
        <v>87</v>
      </c>
      <c r="F2659" t="s">
        <v>5922</v>
      </c>
      <c r="G2659">
        <v>5650</v>
      </c>
      <c r="H2659" t="s">
        <v>5922</v>
      </c>
      <c r="I2659" t="s">
        <v>89</v>
      </c>
      <c r="K2659">
        <v>2524450</v>
      </c>
      <c r="L2659">
        <v>1154757</v>
      </c>
      <c r="M2659">
        <v>500</v>
      </c>
      <c r="N2659" t="s">
        <v>5927</v>
      </c>
    </row>
    <row r="2660" spans="1:14" x14ac:dyDescent="0.25">
      <c r="A2660">
        <v>8579174</v>
      </c>
      <c r="B2660" t="s">
        <v>5928</v>
      </c>
      <c r="C2660" t="s">
        <v>650</v>
      </c>
      <c r="D2660" t="s">
        <v>86</v>
      </c>
      <c r="E2660" t="s">
        <v>87</v>
      </c>
      <c r="F2660" t="s">
        <v>5929</v>
      </c>
      <c r="G2660">
        <v>5890</v>
      </c>
      <c r="H2660" t="s">
        <v>5929</v>
      </c>
      <c r="I2660" t="s">
        <v>651</v>
      </c>
      <c r="K2660">
        <v>2554171.6501000002</v>
      </c>
      <c r="L2660">
        <v>1145892.4623400001</v>
      </c>
      <c r="M2660">
        <v>383</v>
      </c>
      <c r="N2660" t="s">
        <v>5930</v>
      </c>
    </row>
    <row r="2661" spans="1:14" x14ac:dyDescent="0.25">
      <c r="A2661">
        <v>8511667</v>
      </c>
      <c r="B2661" t="s">
        <v>5931</v>
      </c>
      <c r="C2661" t="s">
        <v>639</v>
      </c>
      <c r="D2661" t="s">
        <v>86</v>
      </c>
      <c r="E2661" t="s">
        <v>87</v>
      </c>
      <c r="F2661" t="s">
        <v>5929</v>
      </c>
      <c r="G2661">
        <v>5890</v>
      </c>
      <c r="H2661" t="s">
        <v>5929</v>
      </c>
      <c r="I2661" t="s">
        <v>642</v>
      </c>
      <c r="K2661">
        <v>2554288</v>
      </c>
      <c r="L2661">
        <v>1145996</v>
      </c>
      <c r="M2661">
        <v>385.9</v>
      </c>
      <c r="N2661" t="s">
        <v>5932</v>
      </c>
    </row>
    <row r="2662" spans="1:14" x14ac:dyDescent="0.25">
      <c r="A2662">
        <v>8501260</v>
      </c>
      <c r="B2662" t="s">
        <v>5933</v>
      </c>
      <c r="C2662" t="s">
        <v>639</v>
      </c>
      <c r="E2662" t="s">
        <v>87</v>
      </c>
      <c r="F2662" t="s">
        <v>5929</v>
      </c>
      <c r="G2662">
        <v>5890</v>
      </c>
      <c r="H2662" t="s">
        <v>5929</v>
      </c>
      <c r="I2662" t="s">
        <v>642</v>
      </c>
      <c r="K2662">
        <v>2554991.2179999999</v>
      </c>
      <c r="L2662">
        <v>1146845.8959999999</v>
      </c>
      <c r="M2662">
        <v>429.7</v>
      </c>
      <c r="N2662" t="s">
        <v>5934</v>
      </c>
    </row>
    <row r="2663" spans="1:14" x14ac:dyDescent="0.25">
      <c r="A2663">
        <v>8579149</v>
      </c>
      <c r="B2663" t="s">
        <v>5935</v>
      </c>
      <c r="C2663" t="s">
        <v>650</v>
      </c>
      <c r="D2663" t="s">
        <v>86</v>
      </c>
      <c r="E2663" t="s">
        <v>87</v>
      </c>
      <c r="F2663" t="s">
        <v>5929</v>
      </c>
      <c r="G2663">
        <v>5890</v>
      </c>
      <c r="H2663" t="s">
        <v>5929</v>
      </c>
      <c r="I2663" t="s">
        <v>651</v>
      </c>
      <c r="K2663">
        <v>2554152.2010599999</v>
      </c>
      <c r="L2663">
        <v>1145598.65842</v>
      </c>
      <c r="M2663">
        <v>376</v>
      </c>
      <c r="N2663" t="s">
        <v>5936</v>
      </c>
    </row>
    <row r="2664" spans="1:14" x14ac:dyDescent="0.25">
      <c r="A2664">
        <v>8593984</v>
      </c>
      <c r="B2664" t="s">
        <v>5937</v>
      </c>
      <c r="C2664" t="s">
        <v>650</v>
      </c>
      <c r="D2664" t="s">
        <v>86</v>
      </c>
      <c r="E2664" t="s">
        <v>87</v>
      </c>
      <c r="F2664" t="s">
        <v>5929</v>
      </c>
      <c r="G2664">
        <v>5890</v>
      </c>
      <c r="H2664" t="s">
        <v>5929</v>
      </c>
      <c r="I2664" t="s">
        <v>651</v>
      </c>
      <c r="K2664">
        <v>2554593.7769999998</v>
      </c>
      <c r="L2664">
        <v>1146286.3740000001</v>
      </c>
      <c r="M2664">
        <v>427</v>
      </c>
      <c r="N2664" t="s">
        <v>5938</v>
      </c>
    </row>
    <row r="2665" spans="1:14" x14ac:dyDescent="0.25">
      <c r="A2665">
        <v>8593989</v>
      </c>
      <c r="B2665" t="s">
        <v>5939</v>
      </c>
      <c r="C2665" t="s">
        <v>650</v>
      </c>
      <c r="D2665" t="s">
        <v>86</v>
      </c>
      <c r="E2665" t="s">
        <v>87</v>
      </c>
      <c r="F2665" t="s">
        <v>5929</v>
      </c>
      <c r="G2665">
        <v>5890</v>
      </c>
      <c r="H2665" t="s">
        <v>5929</v>
      </c>
      <c r="I2665" t="s">
        <v>651</v>
      </c>
      <c r="K2665">
        <v>2554483.0189999999</v>
      </c>
      <c r="L2665">
        <v>1146571.8030000001</v>
      </c>
      <c r="M2665">
        <v>399</v>
      </c>
      <c r="N2665" t="s">
        <v>5940</v>
      </c>
    </row>
    <row r="2666" spans="1:14" x14ac:dyDescent="0.25">
      <c r="A2666">
        <v>8593993</v>
      </c>
      <c r="B2666" t="s">
        <v>5941</v>
      </c>
      <c r="C2666" t="s">
        <v>650</v>
      </c>
      <c r="D2666" t="s">
        <v>86</v>
      </c>
      <c r="E2666" t="s">
        <v>87</v>
      </c>
      <c r="F2666" t="s">
        <v>5929</v>
      </c>
      <c r="G2666">
        <v>5890</v>
      </c>
      <c r="H2666" t="s">
        <v>5929</v>
      </c>
      <c r="I2666" t="s">
        <v>651</v>
      </c>
      <c r="K2666">
        <v>2554525</v>
      </c>
      <c r="L2666">
        <v>1145490</v>
      </c>
      <c r="M2666">
        <v>376</v>
      </c>
      <c r="N2666" t="s">
        <v>5942</v>
      </c>
    </row>
    <row r="2667" spans="1:14" x14ac:dyDescent="0.25">
      <c r="A2667">
        <v>8594641</v>
      </c>
      <c r="B2667" t="s">
        <v>5943</v>
      </c>
      <c r="C2667" t="s">
        <v>650</v>
      </c>
      <c r="D2667" t="s">
        <v>86</v>
      </c>
      <c r="E2667" t="s">
        <v>87</v>
      </c>
      <c r="F2667" t="s">
        <v>5929</v>
      </c>
      <c r="G2667">
        <v>5890</v>
      </c>
      <c r="H2667" t="s">
        <v>5929</v>
      </c>
      <c r="I2667" t="s">
        <v>651</v>
      </c>
      <c r="K2667">
        <v>2554077.3089999999</v>
      </c>
      <c r="L2667">
        <v>1146251.388</v>
      </c>
      <c r="M2667">
        <v>385</v>
      </c>
      <c r="N2667" t="s">
        <v>5944</v>
      </c>
    </row>
    <row r="2668" spans="1:14" x14ac:dyDescent="0.25">
      <c r="A2668">
        <v>8595120</v>
      </c>
      <c r="B2668" t="s">
        <v>5945</v>
      </c>
      <c r="C2668" t="s">
        <v>650</v>
      </c>
      <c r="D2668" t="s">
        <v>86</v>
      </c>
      <c r="E2668" t="s">
        <v>87</v>
      </c>
      <c r="F2668" t="s">
        <v>5929</v>
      </c>
      <c r="G2668">
        <v>5890</v>
      </c>
      <c r="H2668" t="s">
        <v>5929</v>
      </c>
      <c r="I2668" t="s">
        <v>651</v>
      </c>
      <c r="K2668">
        <v>2554992</v>
      </c>
      <c r="L2668">
        <v>1146173</v>
      </c>
      <c r="M2668">
        <v>430</v>
      </c>
      <c r="N2668" t="s">
        <v>5946</v>
      </c>
    </row>
    <row r="2669" spans="1:14" x14ac:dyDescent="0.25">
      <c r="A2669">
        <v>8595962</v>
      </c>
      <c r="B2669" t="s">
        <v>5947</v>
      </c>
      <c r="C2669" t="s">
        <v>650</v>
      </c>
      <c r="D2669" t="s">
        <v>86</v>
      </c>
      <c r="E2669" t="s">
        <v>87</v>
      </c>
      <c r="F2669" t="s">
        <v>5929</v>
      </c>
      <c r="G2669">
        <v>5890</v>
      </c>
      <c r="H2669" t="s">
        <v>5929</v>
      </c>
      <c r="I2669" t="s">
        <v>651</v>
      </c>
      <c r="K2669">
        <v>2554428</v>
      </c>
      <c r="L2669">
        <v>1146291</v>
      </c>
      <c r="M2669">
        <v>386</v>
      </c>
      <c r="N2669" t="s">
        <v>5948</v>
      </c>
    </row>
    <row r="2670" spans="1:14" x14ac:dyDescent="0.25">
      <c r="A2670">
        <v>8519324</v>
      </c>
      <c r="B2670" t="s">
        <v>5949</v>
      </c>
      <c r="C2670" t="s">
        <v>639</v>
      </c>
      <c r="E2670" t="s">
        <v>87</v>
      </c>
      <c r="F2670" t="s">
        <v>5929</v>
      </c>
      <c r="G2670">
        <v>5890</v>
      </c>
      <c r="H2670" t="s">
        <v>5929</v>
      </c>
      <c r="I2670" t="s">
        <v>642</v>
      </c>
      <c r="J2670" t="s">
        <v>130</v>
      </c>
      <c r="K2670">
        <v>2554343</v>
      </c>
      <c r="L2670">
        <v>1145905</v>
      </c>
      <c r="M2670">
        <v>386</v>
      </c>
      <c r="N2670" t="s">
        <v>5950</v>
      </c>
    </row>
    <row r="2671" spans="1:14" x14ac:dyDescent="0.25">
      <c r="A2671">
        <v>8501248</v>
      </c>
      <c r="B2671" t="s">
        <v>5951</v>
      </c>
      <c r="C2671" t="s">
        <v>778</v>
      </c>
      <c r="D2671" t="s">
        <v>302</v>
      </c>
      <c r="E2671" t="s">
        <v>87</v>
      </c>
      <c r="F2671" t="s">
        <v>5929</v>
      </c>
      <c r="G2671">
        <v>5890</v>
      </c>
      <c r="H2671" t="s">
        <v>5929</v>
      </c>
      <c r="I2671" t="s">
        <v>780</v>
      </c>
      <c r="K2671">
        <v>2554052.42613</v>
      </c>
      <c r="L2671">
        <v>1145462.04905</v>
      </c>
      <c r="M2671">
        <v>374</v>
      </c>
      <c r="N2671" t="s">
        <v>5952</v>
      </c>
    </row>
    <row r="2672" spans="1:14" x14ac:dyDescent="0.25">
      <c r="A2672">
        <v>8502476</v>
      </c>
      <c r="B2672" t="s">
        <v>5953</v>
      </c>
      <c r="C2672" t="s">
        <v>639</v>
      </c>
      <c r="D2672" t="s">
        <v>112</v>
      </c>
      <c r="E2672" t="s">
        <v>87</v>
      </c>
      <c r="F2672" t="s">
        <v>5929</v>
      </c>
      <c r="G2672">
        <v>5890</v>
      </c>
      <c r="H2672" t="s">
        <v>5929</v>
      </c>
      <c r="I2672" t="s">
        <v>642</v>
      </c>
      <c r="J2672" t="s">
        <v>5954</v>
      </c>
      <c r="K2672">
        <v>2555004</v>
      </c>
      <c r="L2672">
        <v>1146586</v>
      </c>
      <c r="M2672">
        <v>446</v>
      </c>
      <c r="N2672" t="s">
        <v>5955</v>
      </c>
    </row>
    <row r="2673" spans="1:14" x14ac:dyDescent="0.25">
      <c r="A2673">
        <v>8502469</v>
      </c>
      <c r="B2673" t="s">
        <v>5956</v>
      </c>
      <c r="C2673" t="s">
        <v>639</v>
      </c>
      <c r="E2673" t="s">
        <v>87</v>
      </c>
      <c r="F2673" t="s">
        <v>5929</v>
      </c>
      <c r="G2673">
        <v>5890</v>
      </c>
      <c r="H2673" t="s">
        <v>5929</v>
      </c>
      <c r="I2673" t="s">
        <v>642</v>
      </c>
      <c r="J2673" t="s">
        <v>130</v>
      </c>
      <c r="K2673">
        <v>2554522</v>
      </c>
      <c r="L2673">
        <v>1146362</v>
      </c>
      <c r="M2673">
        <v>395</v>
      </c>
      <c r="N2673" t="s">
        <v>5957</v>
      </c>
    </row>
    <row r="2674" spans="1:14" x14ac:dyDescent="0.25">
      <c r="A2674">
        <v>8502635</v>
      </c>
      <c r="B2674" t="s">
        <v>5958</v>
      </c>
      <c r="C2674" t="s">
        <v>650</v>
      </c>
      <c r="D2674" t="s">
        <v>86</v>
      </c>
      <c r="E2674" t="s">
        <v>87</v>
      </c>
      <c r="F2674" t="s">
        <v>5929</v>
      </c>
      <c r="G2674">
        <v>5890</v>
      </c>
      <c r="H2674" t="s">
        <v>5929</v>
      </c>
      <c r="I2674" t="s">
        <v>651</v>
      </c>
      <c r="K2674">
        <v>2554241</v>
      </c>
      <c r="L2674">
        <v>1146177</v>
      </c>
      <c r="M2674">
        <v>387</v>
      </c>
      <c r="N2674" t="s">
        <v>5959</v>
      </c>
    </row>
    <row r="2675" spans="1:14" x14ac:dyDescent="0.25">
      <c r="A2675">
        <v>8593985</v>
      </c>
      <c r="B2675" t="s">
        <v>5960</v>
      </c>
      <c r="C2675" t="s">
        <v>650</v>
      </c>
      <c r="D2675" t="s">
        <v>86</v>
      </c>
      <c r="E2675" t="s">
        <v>87</v>
      </c>
      <c r="F2675" t="s">
        <v>5929</v>
      </c>
      <c r="G2675">
        <v>5890</v>
      </c>
      <c r="H2675" t="s">
        <v>5929</v>
      </c>
      <c r="I2675" t="s">
        <v>651</v>
      </c>
      <c r="K2675">
        <v>2554809.5153199998</v>
      </c>
      <c r="L2675">
        <v>1145371.0067700001</v>
      </c>
      <c r="M2675">
        <v>374</v>
      </c>
      <c r="N2675" t="s">
        <v>5961</v>
      </c>
    </row>
    <row r="2676" spans="1:14" x14ac:dyDescent="0.25">
      <c r="A2676">
        <v>8594000</v>
      </c>
      <c r="B2676" t="s">
        <v>5962</v>
      </c>
      <c r="C2676" t="s">
        <v>650</v>
      </c>
      <c r="D2676" t="s">
        <v>86</v>
      </c>
      <c r="E2676" t="s">
        <v>87</v>
      </c>
      <c r="F2676" t="s">
        <v>5929</v>
      </c>
      <c r="G2676">
        <v>5890</v>
      </c>
      <c r="H2676" t="s">
        <v>5929</v>
      </c>
      <c r="I2676" t="s">
        <v>651</v>
      </c>
      <c r="K2676">
        <v>2555216.2930000001</v>
      </c>
      <c r="L2676">
        <v>1145812.575</v>
      </c>
      <c r="M2676">
        <v>420</v>
      </c>
      <c r="N2676" t="s">
        <v>5963</v>
      </c>
    </row>
    <row r="2677" spans="1:14" x14ac:dyDescent="0.25">
      <c r="A2677">
        <v>8593992</v>
      </c>
      <c r="B2677" t="s">
        <v>5964</v>
      </c>
      <c r="C2677" t="s">
        <v>650</v>
      </c>
      <c r="D2677" t="s">
        <v>86</v>
      </c>
      <c r="E2677" t="s">
        <v>87</v>
      </c>
      <c r="F2677" t="s">
        <v>5929</v>
      </c>
      <c r="G2677">
        <v>5890</v>
      </c>
      <c r="H2677" t="s">
        <v>5929</v>
      </c>
      <c r="I2677" t="s">
        <v>651</v>
      </c>
      <c r="K2677">
        <v>2553743</v>
      </c>
      <c r="L2677">
        <v>1146546</v>
      </c>
      <c r="M2677">
        <v>391</v>
      </c>
      <c r="N2677" t="s">
        <v>5965</v>
      </c>
    </row>
    <row r="2678" spans="1:14" x14ac:dyDescent="0.25">
      <c r="A2678">
        <v>8594640</v>
      </c>
      <c r="B2678" t="s">
        <v>5966</v>
      </c>
      <c r="C2678" t="s">
        <v>650</v>
      </c>
      <c r="D2678" t="s">
        <v>86</v>
      </c>
      <c r="E2678" t="s">
        <v>87</v>
      </c>
      <c r="F2678" t="s">
        <v>5929</v>
      </c>
      <c r="G2678">
        <v>5890</v>
      </c>
      <c r="H2678" t="s">
        <v>5929</v>
      </c>
      <c r="I2678" t="s">
        <v>651</v>
      </c>
      <c r="K2678">
        <v>2553950</v>
      </c>
      <c r="L2678">
        <v>1146356</v>
      </c>
      <c r="M2678">
        <v>385</v>
      </c>
      <c r="N2678" t="s">
        <v>5967</v>
      </c>
    </row>
    <row r="2679" spans="1:14" x14ac:dyDescent="0.25">
      <c r="A2679">
        <v>8595961</v>
      </c>
      <c r="B2679" t="s">
        <v>5968</v>
      </c>
      <c r="C2679" t="s">
        <v>650</v>
      </c>
      <c r="D2679" t="s">
        <v>86</v>
      </c>
      <c r="E2679" t="s">
        <v>87</v>
      </c>
      <c r="F2679" t="s">
        <v>5929</v>
      </c>
      <c r="G2679">
        <v>5890</v>
      </c>
      <c r="H2679" t="s">
        <v>5929</v>
      </c>
      <c r="I2679" t="s">
        <v>651</v>
      </c>
      <c r="K2679">
        <v>2554702</v>
      </c>
      <c r="L2679">
        <v>1146614</v>
      </c>
      <c r="M2679">
        <v>403</v>
      </c>
      <c r="N2679" t="s">
        <v>5969</v>
      </c>
    </row>
    <row r="2680" spans="1:14" x14ac:dyDescent="0.25">
      <c r="A2680">
        <v>8510085</v>
      </c>
      <c r="B2680" t="s">
        <v>5970</v>
      </c>
      <c r="C2680" t="s">
        <v>650</v>
      </c>
      <c r="D2680" t="s">
        <v>86</v>
      </c>
      <c r="E2680" t="s">
        <v>87</v>
      </c>
      <c r="F2680" t="s">
        <v>5929</v>
      </c>
      <c r="G2680">
        <v>5890</v>
      </c>
      <c r="H2680" t="s">
        <v>5929</v>
      </c>
      <c r="I2680" t="s">
        <v>651</v>
      </c>
      <c r="K2680">
        <v>2553789.3980299998</v>
      </c>
      <c r="L2680">
        <v>1146438.7977100001</v>
      </c>
      <c r="M2680">
        <v>386</v>
      </c>
      <c r="N2680" t="s">
        <v>5971</v>
      </c>
    </row>
    <row r="2681" spans="1:14" x14ac:dyDescent="0.25">
      <c r="A2681">
        <v>8504015</v>
      </c>
      <c r="B2681" t="s">
        <v>5972</v>
      </c>
      <c r="C2681" t="s">
        <v>132</v>
      </c>
      <c r="D2681" t="s">
        <v>112</v>
      </c>
      <c r="E2681" t="s">
        <v>87</v>
      </c>
      <c r="F2681" t="s">
        <v>5929</v>
      </c>
      <c r="G2681">
        <v>5890</v>
      </c>
      <c r="H2681" t="s">
        <v>5929</v>
      </c>
      <c r="I2681" t="s">
        <v>133</v>
      </c>
      <c r="K2681">
        <v>2553668.52</v>
      </c>
      <c r="L2681">
        <v>1146506.5079999999</v>
      </c>
      <c r="M2681">
        <v>387.78399999999999</v>
      </c>
      <c r="N2681" t="s">
        <v>5973</v>
      </c>
    </row>
    <row r="2682" spans="1:14" x14ac:dyDescent="0.25">
      <c r="A2682">
        <v>8593987</v>
      </c>
      <c r="B2682" t="s">
        <v>5974</v>
      </c>
      <c r="C2682" t="s">
        <v>650</v>
      </c>
      <c r="D2682" t="s">
        <v>86</v>
      </c>
      <c r="E2682" t="s">
        <v>87</v>
      </c>
      <c r="F2682" t="s">
        <v>5929</v>
      </c>
      <c r="G2682">
        <v>5890</v>
      </c>
      <c r="H2682" t="s">
        <v>5929</v>
      </c>
      <c r="I2682" t="s">
        <v>651</v>
      </c>
      <c r="K2682">
        <v>2554433.4532400002</v>
      </c>
      <c r="L2682">
        <v>1145562.3398500001</v>
      </c>
      <c r="M2682">
        <v>378</v>
      </c>
      <c r="N2682" t="s">
        <v>5975</v>
      </c>
    </row>
    <row r="2683" spans="1:14" x14ac:dyDescent="0.25">
      <c r="A2683">
        <v>8594004</v>
      </c>
      <c r="B2683" t="s">
        <v>5976</v>
      </c>
      <c r="C2683" t="s">
        <v>650</v>
      </c>
      <c r="D2683" t="s">
        <v>86</v>
      </c>
      <c r="E2683" t="s">
        <v>87</v>
      </c>
      <c r="F2683" t="s">
        <v>5929</v>
      </c>
      <c r="G2683">
        <v>5890</v>
      </c>
      <c r="H2683" t="s">
        <v>5929</v>
      </c>
      <c r="I2683" t="s">
        <v>651</v>
      </c>
      <c r="K2683">
        <v>2554658</v>
      </c>
      <c r="L2683">
        <v>1145414</v>
      </c>
      <c r="M2683">
        <v>375</v>
      </c>
      <c r="N2683" t="s">
        <v>5977</v>
      </c>
    </row>
    <row r="2684" spans="1:14" x14ac:dyDescent="0.25">
      <c r="A2684">
        <v>8593988</v>
      </c>
      <c r="B2684" t="s">
        <v>5978</v>
      </c>
      <c r="C2684" t="s">
        <v>650</v>
      </c>
      <c r="D2684" t="s">
        <v>86</v>
      </c>
      <c r="E2684" t="s">
        <v>87</v>
      </c>
      <c r="F2684" t="s">
        <v>5929</v>
      </c>
      <c r="G2684">
        <v>5890</v>
      </c>
      <c r="H2684" t="s">
        <v>5929</v>
      </c>
      <c r="I2684" t="s">
        <v>651</v>
      </c>
      <c r="K2684">
        <v>2554668.2712099999</v>
      </c>
      <c r="L2684">
        <v>1146775.32406</v>
      </c>
      <c r="M2684">
        <v>402</v>
      </c>
      <c r="N2684" t="s">
        <v>5979</v>
      </c>
    </row>
    <row r="2685" spans="1:14" x14ac:dyDescent="0.25">
      <c r="A2685">
        <v>8593999</v>
      </c>
      <c r="B2685" t="s">
        <v>5980</v>
      </c>
      <c r="C2685" t="s">
        <v>650</v>
      </c>
      <c r="D2685" t="s">
        <v>86</v>
      </c>
      <c r="E2685" t="s">
        <v>87</v>
      </c>
      <c r="F2685" t="s">
        <v>5929</v>
      </c>
      <c r="G2685">
        <v>5890</v>
      </c>
      <c r="H2685" t="s">
        <v>5929</v>
      </c>
      <c r="I2685" t="s">
        <v>651</v>
      </c>
      <c r="K2685">
        <v>2555023.3272799999</v>
      </c>
      <c r="L2685">
        <v>1146829.05584</v>
      </c>
      <c r="M2685">
        <v>438</v>
      </c>
      <c r="N2685" t="s">
        <v>5981</v>
      </c>
    </row>
    <row r="2686" spans="1:14" x14ac:dyDescent="0.25">
      <c r="A2686">
        <v>8593997</v>
      </c>
      <c r="B2686" t="s">
        <v>5982</v>
      </c>
      <c r="C2686" t="s">
        <v>650</v>
      </c>
      <c r="D2686" t="s">
        <v>86</v>
      </c>
      <c r="E2686" t="s">
        <v>87</v>
      </c>
      <c r="F2686" t="s">
        <v>5929</v>
      </c>
      <c r="G2686">
        <v>5890</v>
      </c>
      <c r="H2686" t="s">
        <v>5929</v>
      </c>
      <c r="I2686" t="s">
        <v>651</v>
      </c>
      <c r="K2686">
        <v>2554720</v>
      </c>
      <c r="L2686">
        <v>1146043</v>
      </c>
      <c r="M2686">
        <v>420</v>
      </c>
      <c r="N2686" t="s">
        <v>5983</v>
      </c>
    </row>
    <row r="2687" spans="1:14" x14ac:dyDescent="0.25">
      <c r="A2687">
        <v>8595958</v>
      </c>
      <c r="B2687" t="s">
        <v>5984</v>
      </c>
      <c r="C2687" t="s">
        <v>650</v>
      </c>
      <c r="D2687" t="s">
        <v>86</v>
      </c>
      <c r="E2687" t="s">
        <v>87</v>
      </c>
      <c r="F2687" t="s">
        <v>5929</v>
      </c>
      <c r="G2687">
        <v>5890</v>
      </c>
      <c r="H2687" t="s">
        <v>5929</v>
      </c>
      <c r="I2687" t="s">
        <v>651</v>
      </c>
      <c r="K2687">
        <v>2555050.4283599998</v>
      </c>
      <c r="L2687">
        <v>1145296.2999199999</v>
      </c>
      <c r="M2687">
        <v>376.5</v>
      </c>
      <c r="N2687" t="s">
        <v>5985</v>
      </c>
    </row>
    <row r="2688" spans="1:14" x14ac:dyDescent="0.25">
      <c r="A2688">
        <v>8588746</v>
      </c>
      <c r="B2688" t="s">
        <v>5986</v>
      </c>
      <c r="C2688" t="s">
        <v>650</v>
      </c>
      <c r="D2688" t="s">
        <v>86</v>
      </c>
      <c r="E2688" t="s">
        <v>87</v>
      </c>
      <c r="F2688" t="s">
        <v>5929</v>
      </c>
      <c r="G2688">
        <v>5890</v>
      </c>
      <c r="H2688" t="s">
        <v>5929</v>
      </c>
      <c r="I2688" t="s">
        <v>651</v>
      </c>
      <c r="K2688">
        <v>2553966</v>
      </c>
      <c r="L2688">
        <v>1146109</v>
      </c>
      <c r="M2688">
        <v>383</v>
      </c>
      <c r="N2688" t="s">
        <v>5987</v>
      </c>
    </row>
    <row r="2689" spans="1:14" x14ac:dyDescent="0.25">
      <c r="A2689">
        <v>8512018</v>
      </c>
      <c r="B2689" t="s">
        <v>5988</v>
      </c>
      <c r="C2689" t="s">
        <v>650</v>
      </c>
      <c r="D2689" t="s">
        <v>86</v>
      </c>
      <c r="E2689" t="s">
        <v>87</v>
      </c>
      <c r="F2689" t="s">
        <v>5929</v>
      </c>
      <c r="G2689">
        <v>5890</v>
      </c>
      <c r="H2689" t="s">
        <v>5929</v>
      </c>
      <c r="I2689" t="s">
        <v>651</v>
      </c>
      <c r="K2689">
        <v>2553753.7562899999</v>
      </c>
      <c r="L2689">
        <v>1146201.4966800001</v>
      </c>
      <c r="M2689">
        <v>380.7</v>
      </c>
      <c r="N2689" t="s">
        <v>5989</v>
      </c>
    </row>
    <row r="2690" spans="1:14" x14ac:dyDescent="0.25">
      <c r="A2690">
        <v>8515369</v>
      </c>
      <c r="B2690" t="s">
        <v>5990</v>
      </c>
      <c r="C2690" t="s">
        <v>132</v>
      </c>
      <c r="E2690" t="s">
        <v>87</v>
      </c>
      <c r="F2690" t="s">
        <v>5929</v>
      </c>
      <c r="G2690">
        <v>5890</v>
      </c>
      <c r="H2690" t="s">
        <v>5929</v>
      </c>
      <c r="I2690" t="s">
        <v>133</v>
      </c>
      <c r="J2690" t="s">
        <v>130</v>
      </c>
      <c r="K2690">
        <v>2553886.6847999999</v>
      </c>
      <c r="L2690">
        <v>1146283.4206999999</v>
      </c>
      <c r="M2690">
        <v>385.8</v>
      </c>
      <c r="N2690" t="s">
        <v>5991</v>
      </c>
    </row>
    <row r="2691" spans="1:14" x14ac:dyDescent="0.25">
      <c r="A2691">
        <v>8594002</v>
      </c>
      <c r="B2691" t="s">
        <v>5992</v>
      </c>
      <c r="C2691" t="s">
        <v>650</v>
      </c>
      <c r="D2691" t="s">
        <v>86</v>
      </c>
      <c r="E2691" t="s">
        <v>87</v>
      </c>
      <c r="F2691" t="s">
        <v>5929</v>
      </c>
      <c r="G2691">
        <v>5890</v>
      </c>
      <c r="H2691" t="s">
        <v>5929</v>
      </c>
      <c r="I2691" t="s">
        <v>651</v>
      </c>
      <c r="K2691">
        <v>2554270.5461499998</v>
      </c>
      <c r="L2691">
        <v>1145738.9956799999</v>
      </c>
      <c r="M2691">
        <v>380</v>
      </c>
      <c r="N2691" t="s">
        <v>5993</v>
      </c>
    </row>
    <row r="2692" spans="1:14" x14ac:dyDescent="0.25">
      <c r="A2692">
        <v>8593991</v>
      </c>
      <c r="B2692" t="s">
        <v>5994</v>
      </c>
      <c r="C2692" t="s">
        <v>650</v>
      </c>
      <c r="D2692" t="s">
        <v>86</v>
      </c>
      <c r="E2692" t="s">
        <v>87</v>
      </c>
      <c r="F2692" t="s">
        <v>5929</v>
      </c>
      <c r="G2692">
        <v>5890</v>
      </c>
      <c r="H2692" t="s">
        <v>5929</v>
      </c>
      <c r="I2692" t="s">
        <v>651</v>
      </c>
      <c r="K2692">
        <v>2554999.89347</v>
      </c>
      <c r="L2692">
        <v>1145265.00994</v>
      </c>
      <c r="M2692">
        <v>375</v>
      </c>
      <c r="N2692" t="s">
        <v>5995</v>
      </c>
    </row>
    <row r="2693" spans="1:14" x14ac:dyDescent="0.25">
      <c r="A2693">
        <v>8593983</v>
      </c>
      <c r="B2693" t="s">
        <v>5996</v>
      </c>
      <c r="C2693" t="s">
        <v>650</v>
      </c>
      <c r="D2693" t="s">
        <v>86</v>
      </c>
      <c r="E2693" t="s">
        <v>87</v>
      </c>
      <c r="F2693" t="s">
        <v>5929</v>
      </c>
      <c r="G2693">
        <v>5890</v>
      </c>
      <c r="H2693" t="s">
        <v>5929</v>
      </c>
      <c r="I2693" t="s">
        <v>651</v>
      </c>
      <c r="K2693">
        <v>2555098</v>
      </c>
      <c r="L2693">
        <v>1145935</v>
      </c>
      <c r="M2693">
        <v>427</v>
      </c>
      <c r="N2693" t="s">
        <v>5997</v>
      </c>
    </row>
    <row r="2694" spans="1:14" x14ac:dyDescent="0.25">
      <c r="A2694">
        <v>8593982</v>
      </c>
      <c r="B2694" t="s">
        <v>5998</v>
      </c>
      <c r="C2694" t="s">
        <v>650</v>
      </c>
      <c r="D2694" t="s">
        <v>86</v>
      </c>
      <c r="E2694" t="s">
        <v>87</v>
      </c>
      <c r="F2694" t="s">
        <v>5929</v>
      </c>
      <c r="G2694">
        <v>5890</v>
      </c>
      <c r="H2694" t="s">
        <v>5929</v>
      </c>
      <c r="I2694" t="s">
        <v>651</v>
      </c>
      <c r="K2694">
        <v>2553763</v>
      </c>
      <c r="L2694">
        <v>1146314</v>
      </c>
      <c r="M2694">
        <v>383</v>
      </c>
      <c r="N2694" t="s">
        <v>5999</v>
      </c>
    </row>
    <row r="2695" spans="1:14" x14ac:dyDescent="0.25">
      <c r="A2695">
        <v>8594003</v>
      </c>
      <c r="B2695" t="s">
        <v>6000</v>
      </c>
      <c r="C2695" t="s">
        <v>650</v>
      </c>
      <c r="D2695" t="s">
        <v>86</v>
      </c>
      <c r="E2695" t="s">
        <v>87</v>
      </c>
      <c r="F2695" t="s">
        <v>5929</v>
      </c>
      <c r="G2695">
        <v>5890</v>
      </c>
      <c r="H2695" t="s">
        <v>5929</v>
      </c>
      <c r="I2695" t="s">
        <v>651</v>
      </c>
      <c r="K2695">
        <v>2555166.1812100001</v>
      </c>
      <c r="L2695">
        <v>1145629.7519400001</v>
      </c>
      <c r="M2695">
        <v>401</v>
      </c>
      <c r="N2695" t="s">
        <v>6001</v>
      </c>
    </row>
    <row r="2696" spans="1:14" x14ac:dyDescent="0.25">
      <c r="A2696">
        <v>8595118</v>
      </c>
      <c r="B2696" t="s">
        <v>6002</v>
      </c>
      <c r="C2696" t="s">
        <v>650</v>
      </c>
      <c r="D2696" t="s">
        <v>86</v>
      </c>
      <c r="E2696" t="s">
        <v>87</v>
      </c>
      <c r="F2696" t="s">
        <v>5929</v>
      </c>
      <c r="G2696">
        <v>5890</v>
      </c>
      <c r="H2696" t="s">
        <v>5929</v>
      </c>
      <c r="I2696" t="s">
        <v>651</v>
      </c>
      <c r="K2696">
        <v>2555030</v>
      </c>
      <c r="L2696">
        <v>1146385</v>
      </c>
      <c r="M2696">
        <v>450</v>
      </c>
      <c r="N2696" t="s">
        <v>6003</v>
      </c>
    </row>
    <row r="2697" spans="1:14" x14ac:dyDescent="0.25">
      <c r="A2697">
        <v>8501247</v>
      </c>
      <c r="B2697" t="s">
        <v>6004</v>
      </c>
      <c r="C2697" t="s">
        <v>778</v>
      </c>
      <c r="D2697" t="s">
        <v>302</v>
      </c>
      <c r="E2697" t="s">
        <v>87</v>
      </c>
      <c r="F2697" t="s">
        <v>5929</v>
      </c>
      <c r="G2697">
        <v>5890</v>
      </c>
      <c r="H2697" t="s">
        <v>5929</v>
      </c>
      <c r="I2697" t="s">
        <v>780</v>
      </c>
      <c r="K2697">
        <v>2554787.4236599999</v>
      </c>
      <c r="L2697">
        <v>1145278.2989699999</v>
      </c>
      <c r="M2697">
        <v>374</v>
      </c>
      <c r="N2697" t="s">
        <v>6005</v>
      </c>
    </row>
    <row r="2698" spans="1:14" x14ac:dyDescent="0.25">
      <c r="A2698">
        <v>8501249</v>
      </c>
      <c r="B2698" t="s">
        <v>6006</v>
      </c>
      <c r="C2698" t="s">
        <v>778</v>
      </c>
      <c r="D2698" t="s">
        <v>302</v>
      </c>
      <c r="E2698" t="s">
        <v>87</v>
      </c>
      <c r="F2698" t="s">
        <v>5929</v>
      </c>
      <c r="G2698">
        <v>5890</v>
      </c>
      <c r="H2698" t="s">
        <v>5929</v>
      </c>
      <c r="I2698" t="s">
        <v>780</v>
      </c>
      <c r="J2698" t="s">
        <v>304</v>
      </c>
      <c r="K2698">
        <v>2553566.2860500002</v>
      </c>
      <c r="L2698">
        <v>1146140.6153200001</v>
      </c>
      <c r="M2698">
        <v>374</v>
      </c>
      <c r="N2698" t="s">
        <v>6007</v>
      </c>
    </row>
    <row r="2699" spans="1:14" x14ac:dyDescent="0.25">
      <c r="A2699">
        <v>8501200</v>
      </c>
      <c r="B2699" t="s">
        <v>5929</v>
      </c>
      <c r="C2699" t="s">
        <v>132</v>
      </c>
      <c r="D2699" t="s">
        <v>112</v>
      </c>
      <c r="E2699" t="s">
        <v>87</v>
      </c>
      <c r="F2699" t="s">
        <v>5929</v>
      </c>
      <c r="G2699">
        <v>5890</v>
      </c>
      <c r="H2699" t="s">
        <v>5929</v>
      </c>
      <c r="I2699" t="s">
        <v>133</v>
      </c>
      <c r="K2699">
        <v>2554278.7050000001</v>
      </c>
      <c r="L2699">
        <v>1145915.4350000001</v>
      </c>
      <c r="M2699">
        <v>386.09</v>
      </c>
      <c r="N2699" t="s">
        <v>6008</v>
      </c>
    </row>
    <row r="2700" spans="1:14" x14ac:dyDescent="0.25">
      <c r="A2700">
        <v>8501250</v>
      </c>
      <c r="B2700" t="s">
        <v>6009</v>
      </c>
      <c r="C2700" t="s">
        <v>994</v>
      </c>
      <c r="D2700" t="s">
        <v>1004</v>
      </c>
      <c r="E2700" t="s">
        <v>87</v>
      </c>
      <c r="F2700" t="s">
        <v>5929</v>
      </c>
      <c r="G2700">
        <v>5890</v>
      </c>
      <c r="H2700" t="s">
        <v>5929</v>
      </c>
      <c r="I2700" t="s">
        <v>996</v>
      </c>
      <c r="J2700" t="s">
        <v>6010</v>
      </c>
      <c r="K2700">
        <v>2553712</v>
      </c>
      <c r="L2700">
        <v>1146546</v>
      </c>
      <c r="M2700">
        <v>389</v>
      </c>
      <c r="N2700" t="s">
        <v>6011</v>
      </c>
    </row>
    <row r="2701" spans="1:14" x14ac:dyDescent="0.25">
      <c r="A2701">
        <v>8502638</v>
      </c>
      <c r="B2701" t="s">
        <v>6012</v>
      </c>
      <c r="C2701" t="s">
        <v>650</v>
      </c>
      <c r="D2701" t="s">
        <v>86</v>
      </c>
      <c r="E2701" t="s">
        <v>87</v>
      </c>
      <c r="F2701" t="s">
        <v>5929</v>
      </c>
      <c r="G2701">
        <v>5890</v>
      </c>
      <c r="H2701" t="s">
        <v>5929</v>
      </c>
      <c r="I2701" t="s">
        <v>651</v>
      </c>
      <c r="K2701">
        <v>2554038.8738699998</v>
      </c>
      <c r="L2701">
        <v>1146036.5554500001</v>
      </c>
      <c r="M2701">
        <v>384</v>
      </c>
      <c r="N2701" t="s">
        <v>6013</v>
      </c>
    </row>
    <row r="2702" spans="1:14" x14ac:dyDescent="0.25">
      <c r="A2702">
        <v>8512017</v>
      </c>
      <c r="B2702" t="s">
        <v>6014</v>
      </c>
      <c r="C2702" t="s">
        <v>650</v>
      </c>
      <c r="D2702" t="s">
        <v>86</v>
      </c>
      <c r="E2702" t="s">
        <v>87</v>
      </c>
      <c r="F2702" t="s">
        <v>5929</v>
      </c>
      <c r="G2702">
        <v>5890</v>
      </c>
      <c r="H2702" t="s">
        <v>5929</v>
      </c>
      <c r="I2702" t="s">
        <v>651</v>
      </c>
      <c r="K2702">
        <v>2553865.1841199999</v>
      </c>
      <c r="L2702">
        <v>1145856.55688</v>
      </c>
      <c r="M2702">
        <v>377.5</v>
      </c>
      <c r="N2702" t="s">
        <v>6015</v>
      </c>
    </row>
    <row r="2703" spans="1:14" x14ac:dyDescent="0.25">
      <c r="A2703">
        <v>8593990</v>
      </c>
      <c r="B2703" t="s">
        <v>6016</v>
      </c>
      <c r="C2703" t="s">
        <v>650</v>
      </c>
      <c r="D2703" t="s">
        <v>86</v>
      </c>
      <c r="E2703" t="s">
        <v>87</v>
      </c>
      <c r="F2703" t="s">
        <v>5929</v>
      </c>
      <c r="G2703">
        <v>5890</v>
      </c>
      <c r="H2703" t="s">
        <v>5929</v>
      </c>
      <c r="I2703" t="s">
        <v>651</v>
      </c>
      <c r="K2703">
        <v>2554830.3149999999</v>
      </c>
      <c r="L2703">
        <v>1146790.409</v>
      </c>
      <c r="M2703">
        <v>408</v>
      </c>
      <c r="N2703" t="s">
        <v>6017</v>
      </c>
    </row>
    <row r="2704" spans="1:14" x14ac:dyDescent="0.25">
      <c r="A2704">
        <v>8593995</v>
      </c>
      <c r="B2704" t="s">
        <v>6018</v>
      </c>
      <c r="C2704" t="s">
        <v>650</v>
      </c>
      <c r="D2704" t="s">
        <v>86</v>
      </c>
      <c r="E2704" t="s">
        <v>87</v>
      </c>
      <c r="F2704" t="s">
        <v>5929</v>
      </c>
      <c r="G2704">
        <v>5890</v>
      </c>
      <c r="H2704" t="s">
        <v>5929</v>
      </c>
      <c r="I2704" t="s">
        <v>651</v>
      </c>
      <c r="K2704">
        <v>2554856.5219999999</v>
      </c>
      <c r="L2704">
        <v>1145984.2409999999</v>
      </c>
      <c r="M2704">
        <v>416</v>
      </c>
      <c r="N2704" t="s">
        <v>6019</v>
      </c>
    </row>
    <row r="2705" spans="1:14" x14ac:dyDescent="0.25">
      <c r="A2705">
        <v>8593994</v>
      </c>
      <c r="B2705" t="s">
        <v>6020</v>
      </c>
      <c r="C2705" t="s">
        <v>650</v>
      </c>
      <c r="D2705" t="s">
        <v>86</v>
      </c>
      <c r="E2705" t="s">
        <v>87</v>
      </c>
      <c r="F2705" t="s">
        <v>5929</v>
      </c>
      <c r="G2705">
        <v>5890</v>
      </c>
      <c r="H2705" t="s">
        <v>5929</v>
      </c>
      <c r="I2705" t="s">
        <v>651</v>
      </c>
      <c r="K2705">
        <v>2554935.4939999999</v>
      </c>
      <c r="L2705">
        <v>1146886.3359999999</v>
      </c>
      <c r="M2705">
        <v>416</v>
      </c>
      <c r="N2705" t="s">
        <v>6021</v>
      </c>
    </row>
    <row r="2706" spans="1:14" x14ac:dyDescent="0.25">
      <c r="A2706">
        <v>8593981</v>
      </c>
      <c r="B2706" t="s">
        <v>6022</v>
      </c>
      <c r="C2706" t="s">
        <v>650</v>
      </c>
      <c r="D2706" t="s">
        <v>86</v>
      </c>
      <c r="E2706" t="s">
        <v>87</v>
      </c>
      <c r="F2706" t="s">
        <v>5929</v>
      </c>
      <c r="G2706">
        <v>5890</v>
      </c>
      <c r="H2706" t="s">
        <v>5929</v>
      </c>
      <c r="I2706" t="s">
        <v>651</v>
      </c>
      <c r="K2706">
        <v>2554774</v>
      </c>
      <c r="L2706">
        <v>1145602</v>
      </c>
      <c r="M2706">
        <v>383</v>
      </c>
      <c r="N2706" t="s">
        <v>6023</v>
      </c>
    </row>
    <row r="2707" spans="1:14" x14ac:dyDescent="0.25">
      <c r="A2707">
        <v>8595119</v>
      </c>
      <c r="B2707" t="s">
        <v>6024</v>
      </c>
      <c r="C2707" t="s">
        <v>650</v>
      </c>
      <c r="D2707" t="s">
        <v>86</v>
      </c>
      <c r="E2707" t="s">
        <v>87</v>
      </c>
      <c r="F2707" t="s">
        <v>5929</v>
      </c>
      <c r="G2707">
        <v>5890</v>
      </c>
      <c r="H2707" t="s">
        <v>5929</v>
      </c>
      <c r="I2707" t="s">
        <v>651</v>
      </c>
      <c r="K2707">
        <v>2554841</v>
      </c>
      <c r="L2707">
        <v>1146473</v>
      </c>
      <c r="M2707">
        <v>445</v>
      </c>
      <c r="N2707" t="s">
        <v>6025</v>
      </c>
    </row>
    <row r="2708" spans="1:14" x14ac:dyDescent="0.25">
      <c r="A2708">
        <v>8594006</v>
      </c>
      <c r="B2708" t="s">
        <v>6026</v>
      </c>
      <c r="C2708" t="s">
        <v>650</v>
      </c>
      <c r="D2708" t="s">
        <v>86</v>
      </c>
      <c r="E2708" t="s">
        <v>87</v>
      </c>
      <c r="F2708" t="s">
        <v>6027</v>
      </c>
      <c r="G2708">
        <v>5891</v>
      </c>
      <c r="H2708" t="s">
        <v>6027</v>
      </c>
      <c r="I2708" t="s">
        <v>651</v>
      </c>
      <c r="K2708">
        <v>2560796.1133900001</v>
      </c>
      <c r="L2708">
        <v>1140436.42267</v>
      </c>
      <c r="M2708">
        <v>383</v>
      </c>
      <c r="N2708" t="s">
        <v>6028</v>
      </c>
    </row>
    <row r="2709" spans="1:14" x14ac:dyDescent="0.25">
      <c r="A2709">
        <v>8594008</v>
      </c>
      <c r="B2709" t="s">
        <v>6029</v>
      </c>
      <c r="C2709" t="s">
        <v>650</v>
      </c>
      <c r="D2709" t="s">
        <v>86</v>
      </c>
      <c r="E2709" t="s">
        <v>87</v>
      </c>
      <c r="F2709" t="s">
        <v>6027</v>
      </c>
      <c r="G2709">
        <v>5891</v>
      </c>
      <c r="H2709" t="s">
        <v>6027</v>
      </c>
      <c r="I2709" t="s">
        <v>651</v>
      </c>
      <c r="K2709">
        <v>2560991</v>
      </c>
      <c r="L2709">
        <v>1139960</v>
      </c>
      <c r="M2709">
        <v>383</v>
      </c>
      <c r="N2709" t="s">
        <v>6030</v>
      </c>
    </row>
    <row r="2710" spans="1:14" x14ac:dyDescent="0.25">
      <c r="A2710">
        <v>8501302</v>
      </c>
      <c r="B2710" t="s">
        <v>6031</v>
      </c>
      <c r="C2710" t="s">
        <v>132</v>
      </c>
      <c r="D2710" t="s">
        <v>112</v>
      </c>
      <c r="E2710" t="s">
        <v>87</v>
      </c>
      <c r="F2710" t="s">
        <v>6027</v>
      </c>
      <c r="G2710">
        <v>5891</v>
      </c>
      <c r="H2710" t="s">
        <v>6027</v>
      </c>
      <c r="I2710" t="s">
        <v>133</v>
      </c>
      <c r="K2710">
        <v>2560730.2239999999</v>
      </c>
      <c r="L2710">
        <v>1140824.9820000001</v>
      </c>
      <c r="M2710">
        <v>379.79500000000002</v>
      </c>
      <c r="N2710" t="s">
        <v>6032</v>
      </c>
    </row>
    <row r="2711" spans="1:14" x14ac:dyDescent="0.25">
      <c r="A2711">
        <v>8594005</v>
      </c>
      <c r="B2711" t="s">
        <v>6033</v>
      </c>
      <c r="C2711" t="s">
        <v>650</v>
      </c>
      <c r="D2711" t="s">
        <v>86</v>
      </c>
      <c r="E2711" t="s">
        <v>87</v>
      </c>
      <c r="F2711" t="s">
        <v>6027</v>
      </c>
      <c r="G2711">
        <v>5891</v>
      </c>
      <c r="H2711" t="s">
        <v>6027</v>
      </c>
      <c r="I2711" t="s">
        <v>651</v>
      </c>
      <c r="K2711">
        <v>2560563</v>
      </c>
      <c r="L2711">
        <v>1141245</v>
      </c>
      <c r="M2711">
        <v>401</v>
      </c>
      <c r="N2711" t="s">
        <v>6034</v>
      </c>
    </row>
    <row r="2712" spans="1:14" x14ac:dyDescent="0.25">
      <c r="A2712">
        <v>8501234</v>
      </c>
      <c r="B2712" t="s">
        <v>6035</v>
      </c>
      <c r="C2712" t="s">
        <v>778</v>
      </c>
      <c r="D2712" t="s">
        <v>302</v>
      </c>
      <c r="E2712" t="s">
        <v>87</v>
      </c>
      <c r="F2712" t="s">
        <v>6027</v>
      </c>
      <c r="G2712">
        <v>5891</v>
      </c>
      <c r="H2712" t="s">
        <v>6027</v>
      </c>
      <c r="I2712" t="s">
        <v>780</v>
      </c>
      <c r="K2712">
        <v>2560835.2315099998</v>
      </c>
      <c r="L2712">
        <v>1140291.58127</v>
      </c>
      <c r="M2712">
        <v>374</v>
      </c>
      <c r="N2712" t="s">
        <v>6036</v>
      </c>
    </row>
    <row r="2713" spans="1:14" x14ac:dyDescent="0.25">
      <c r="A2713">
        <v>8501369</v>
      </c>
      <c r="B2713" t="s">
        <v>6037</v>
      </c>
      <c r="C2713" t="s">
        <v>3689</v>
      </c>
      <c r="D2713" t="s">
        <v>3690</v>
      </c>
      <c r="E2713" t="s">
        <v>87</v>
      </c>
      <c r="F2713" t="s">
        <v>6027</v>
      </c>
      <c r="G2713">
        <v>5891</v>
      </c>
      <c r="H2713" t="s">
        <v>6027</v>
      </c>
      <c r="I2713" t="s">
        <v>3693</v>
      </c>
      <c r="K2713">
        <v>2564672.571</v>
      </c>
      <c r="L2713">
        <v>1142363.415</v>
      </c>
      <c r="M2713">
        <v>1967.9</v>
      </c>
      <c r="N2713" t="s">
        <v>6038</v>
      </c>
    </row>
    <row r="2714" spans="1:14" x14ac:dyDescent="0.25">
      <c r="A2714">
        <v>8594007</v>
      </c>
      <c r="B2714" t="s">
        <v>6039</v>
      </c>
      <c r="C2714" t="s">
        <v>650</v>
      </c>
      <c r="D2714" t="s">
        <v>86</v>
      </c>
      <c r="E2714" t="s">
        <v>87</v>
      </c>
      <c r="F2714" t="s">
        <v>6027</v>
      </c>
      <c r="G2714">
        <v>5891</v>
      </c>
      <c r="H2714" t="s">
        <v>6027</v>
      </c>
      <c r="I2714" t="s">
        <v>651</v>
      </c>
      <c r="K2714">
        <v>2560738.1549999998</v>
      </c>
      <c r="L2714">
        <v>1140982.6569999999</v>
      </c>
      <c r="M2714">
        <v>395</v>
      </c>
      <c r="N2714" t="s">
        <v>6040</v>
      </c>
    </row>
    <row r="2715" spans="1:14" x14ac:dyDescent="0.25">
      <c r="A2715">
        <v>8501857</v>
      </c>
      <c r="B2715" t="s">
        <v>6041</v>
      </c>
      <c r="C2715" t="s">
        <v>94</v>
      </c>
      <c r="D2715" t="s">
        <v>86</v>
      </c>
      <c r="E2715" t="s">
        <v>87</v>
      </c>
      <c r="F2715" t="s">
        <v>6042</v>
      </c>
      <c r="G2715">
        <v>5732</v>
      </c>
      <c r="H2715" t="s">
        <v>6042</v>
      </c>
      <c r="I2715" t="s">
        <v>96</v>
      </c>
      <c r="K2715">
        <v>2508635</v>
      </c>
      <c r="L2715">
        <v>1142620</v>
      </c>
      <c r="M2715">
        <v>453</v>
      </c>
      <c r="N2715" t="s">
        <v>6043</v>
      </c>
    </row>
    <row r="2716" spans="1:14" x14ac:dyDescent="0.25">
      <c r="A2716">
        <v>8570033</v>
      </c>
      <c r="B2716" t="s">
        <v>6044</v>
      </c>
      <c r="C2716" t="s">
        <v>94</v>
      </c>
      <c r="D2716" t="s">
        <v>86</v>
      </c>
      <c r="E2716" t="s">
        <v>87</v>
      </c>
      <c r="F2716" t="s">
        <v>6042</v>
      </c>
      <c r="G2716">
        <v>5732</v>
      </c>
      <c r="H2716" t="s">
        <v>6042</v>
      </c>
      <c r="I2716" t="s">
        <v>96</v>
      </c>
      <c r="K2716">
        <v>2508912</v>
      </c>
      <c r="L2716">
        <v>1142398</v>
      </c>
      <c r="M2716">
        <v>445</v>
      </c>
      <c r="N2716" t="s">
        <v>6045</v>
      </c>
    </row>
    <row r="2717" spans="1:14" x14ac:dyDescent="0.25">
      <c r="A2717">
        <v>8507969</v>
      </c>
      <c r="B2717" t="s">
        <v>6046</v>
      </c>
      <c r="C2717" t="s">
        <v>94</v>
      </c>
      <c r="D2717" t="s">
        <v>86</v>
      </c>
      <c r="E2717" t="s">
        <v>87</v>
      </c>
      <c r="F2717" t="s">
        <v>6047</v>
      </c>
      <c r="G2717">
        <v>5935</v>
      </c>
      <c r="H2717" t="s">
        <v>6047</v>
      </c>
      <c r="I2717" t="s">
        <v>96</v>
      </c>
      <c r="K2717">
        <v>2543336</v>
      </c>
      <c r="L2717">
        <v>1181354</v>
      </c>
      <c r="M2717">
        <v>547</v>
      </c>
      <c r="N2717" t="s">
        <v>6048</v>
      </c>
    </row>
    <row r="2718" spans="1:14" x14ac:dyDescent="0.25">
      <c r="A2718">
        <v>8570364</v>
      </c>
      <c r="B2718" t="s">
        <v>6049</v>
      </c>
      <c r="C2718" t="s">
        <v>94</v>
      </c>
      <c r="D2718" t="s">
        <v>86</v>
      </c>
      <c r="E2718" t="s">
        <v>87</v>
      </c>
      <c r="F2718" t="s">
        <v>6050</v>
      </c>
      <c r="G2718">
        <v>5690</v>
      </c>
      <c r="H2718" t="s">
        <v>6050</v>
      </c>
      <c r="I2718" t="s">
        <v>96</v>
      </c>
      <c r="K2718">
        <v>2551111</v>
      </c>
      <c r="L2718">
        <v>1173473</v>
      </c>
      <c r="M2718">
        <v>767</v>
      </c>
      <c r="N2718" t="s">
        <v>6051</v>
      </c>
    </row>
    <row r="2719" spans="1:14" x14ac:dyDescent="0.25">
      <c r="A2719">
        <v>8570363</v>
      </c>
      <c r="B2719" t="s">
        <v>6052</v>
      </c>
      <c r="C2719" t="s">
        <v>94</v>
      </c>
      <c r="D2719" t="s">
        <v>86</v>
      </c>
      <c r="E2719" t="s">
        <v>87</v>
      </c>
      <c r="F2719" t="s">
        <v>6050</v>
      </c>
      <c r="G2719">
        <v>5690</v>
      </c>
      <c r="H2719" t="s">
        <v>6050</v>
      </c>
      <c r="I2719" t="s">
        <v>96</v>
      </c>
      <c r="K2719">
        <v>2551490</v>
      </c>
      <c r="L2719">
        <v>1173637</v>
      </c>
      <c r="M2719">
        <v>727</v>
      </c>
      <c r="N2719" t="s">
        <v>6053</v>
      </c>
    </row>
    <row r="2720" spans="1:14" x14ac:dyDescent="0.25">
      <c r="A2720">
        <v>8583301</v>
      </c>
      <c r="B2720" t="s">
        <v>6054</v>
      </c>
      <c r="C2720" t="s">
        <v>94</v>
      </c>
      <c r="D2720" t="s">
        <v>86</v>
      </c>
      <c r="E2720" t="s">
        <v>87</v>
      </c>
      <c r="F2720" t="s">
        <v>6055</v>
      </c>
      <c r="G2720">
        <v>5537</v>
      </c>
      <c r="H2720" t="s">
        <v>6055</v>
      </c>
      <c r="I2720" t="s">
        <v>96</v>
      </c>
      <c r="K2720">
        <v>2538763</v>
      </c>
      <c r="L2720">
        <v>1167692</v>
      </c>
      <c r="M2720">
        <v>646</v>
      </c>
      <c r="N2720" t="s">
        <v>6056</v>
      </c>
    </row>
    <row r="2721" spans="1:14" x14ac:dyDescent="0.25">
      <c r="A2721">
        <v>8507970</v>
      </c>
      <c r="B2721" t="s">
        <v>6057</v>
      </c>
      <c r="C2721" t="s">
        <v>94</v>
      </c>
      <c r="D2721" t="s">
        <v>86</v>
      </c>
      <c r="E2721" t="s">
        <v>87</v>
      </c>
      <c r="F2721" t="s">
        <v>6055</v>
      </c>
      <c r="G2721">
        <v>5537</v>
      </c>
      <c r="H2721" t="s">
        <v>6055</v>
      </c>
      <c r="I2721" t="s">
        <v>96</v>
      </c>
      <c r="K2721">
        <v>2538808</v>
      </c>
      <c r="L2721">
        <v>1167464</v>
      </c>
      <c r="M2721">
        <v>644</v>
      </c>
      <c r="N2721" t="s">
        <v>6058</v>
      </c>
    </row>
    <row r="2722" spans="1:14" x14ac:dyDescent="0.25">
      <c r="A2722">
        <v>8583302</v>
      </c>
      <c r="B2722" t="s">
        <v>6059</v>
      </c>
      <c r="C2722" t="s">
        <v>94</v>
      </c>
      <c r="D2722" t="s">
        <v>86</v>
      </c>
      <c r="E2722" t="s">
        <v>87</v>
      </c>
      <c r="F2722" t="s">
        <v>6055</v>
      </c>
      <c r="G2722">
        <v>5537</v>
      </c>
      <c r="H2722" t="s">
        <v>6055</v>
      </c>
      <c r="I2722" t="s">
        <v>96</v>
      </c>
      <c r="K2722">
        <v>2537783</v>
      </c>
      <c r="L2722">
        <v>1169674</v>
      </c>
      <c r="M2722">
        <v>627</v>
      </c>
      <c r="N2722" t="s">
        <v>6060</v>
      </c>
    </row>
    <row r="2723" spans="1:14" x14ac:dyDescent="0.25">
      <c r="A2723">
        <v>8570300</v>
      </c>
      <c r="B2723" t="s">
        <v>6061</v>
      </c>
      <c r="C2723" t="s">
        <v>94</v>
      </c>
      <c r="D2723" t="s">
        <v>86</v>
      </c>
      <c r="E2723" t="s">
        <v>87</v>
      </c>
      <c r="F2723" t="s">
        <v>6055</v>
      </c>
      <c r="G2723">
        <v>5537</v>
      </c>
      <c r="H2723" t="s">
        <v>6055</v>
      </c>
      <c r="I2723" t="s">
        <v>96</v>
      </c>
      <c r="K2723">
        <v>2538817</v>
      </c>
      <c r="L2723">
        <v>1167627</v>
      </c>
      <c r="M2723">
        <v>647</v>
      </c>
      <c r="N2723" t="s">
        <v>6062</v>
      </c>
    </row>
    <row r="2724" spans="1:14" x14ac:dyDescent="0.25">
      <c r="A2724">
        <v>8570299</v>
      </c>
      <c r="B2724" t="s">
        <v>6063</v>
      </c>
      <c r="C2724" t="s">
        <v>94</v>
      </c>
      <c r="D2724" t="s">
        <v>86</v>
      </c>
      <c r="E2724" t="s">
        <v>87</v>
      </c>
      <c r="F2724" t="s">
        <v>6055</v>
      </c>
      <c r="G2724">
        <v>5537</v>
      </c>
      <c r="H2724" t="s">
        <v>6055</v>
      </c>
      <c r="I2724" t="s">
        <v>96</v>
      </c>
      <c r="K2724">
        <v>2539154</v>
      </c>
      <c r="L2724">
        <v>1167855</v>
      </c>
      <c r="M2724">
        <v>657</v>
      </c>
      <c r="N2724" t="s">
        <v>6064</v>
      </c>
    </row>
    <row r="2725" spans="1:14" x14ac:dyDescent="0.25">
      <c r="A2725">
        <v>8583748</v>
      </c>
      <c r="B2725" t="s">
        <v>6065</v>
      </c>
      <c r="C2725" t="s">
        <v>242</v>
      </c>
      <c r="D2725" t="s">
        <v>86</v>
      </c>
      <c r="E2725" t="s">
        <v>87</v>
      </c>
      <c r="F2725" t="s">
        <v>65</v>
      </c>
      <c r="G2725">
        <v>5651</v>
      </c>
      <c r="H2725" t="s">
        <v>6066</v>
      </c>
      <c r="I2725" t="s">
        <v>243</v>
      </c>
      <c r="K2725">
        <v>2532574.5773499999</v>
      </c>
      <c r="L2725">
        <v>1157569.64818</v>
      </c>
      <c r="M2725">
        <v>500</v>
      </c>
      <c r="N2725" t="s">
        <v>6067</v>
      </c>
    </row>
    <row r="2726" spans="1:14" x14ac:dyDescent="0.25">
      <c r="A2726">
        <v>8588847</v>
      </c>
      <c r="B2726" t="s">
        <v>6068</v>
      </c>
      <c r="C2726" t="s">
        <v>242</v>
      </c>
      <c r="D2726" t="s">
        <v>86</v>
      </c>
      <c r="E2726" t="s">
        <v>87</v>
      </c>
      <c r="F2726" t="s">
        <v>65</v>
      </c>
      <c r="G2726">
        <v>5651</v>
      </c>
      <c r="H2726" t="s">
        <v>6066</v>
      </c>
      <c r="I2726" t="s">
        <v>243</v>
      </c>
      <c r="K2726">
        <v>2532765.1251300001</v>
      </c>
      <c r="L2726">
        <v>1157793.40264</v>
      </c>
      <c r="M2726">
        <v>509</v>
      </c>
      <c r="N2726" t="s">
        <v>6069</v>
      </c>
    </row>
    <row r="2727" spans="1:14" x14ac:dyDescent="0.25">
      <c r="A2727">
        <v>8588848</v>
      </c>
      <c r="B2727" t="s">
        <v>6070</v>
      </c>
      <c r="C2727" t="s">
        <v>242</v>
      </c>
      <c r="D2727" t="s">
        <v>86</v>
      </c>
      <c r="E2727" t="s">
        <v>87</v>
      </c>
      <c r="F2727" t="s">
        <v>65</v>
      </c>
      <c r="G2727">
        <v>5651</v>
      </c>
      <c r="H2727" t="s">
        <v>6066</v>
      </c>
      <c r="I2727" t="s">
        <v>243</v>
      </c>
      <c r="K2727">
        <v>2533042</v>
      </c>
      <c r="L2727">
        <v>1157804</v>
      </c>
      <c r="M2727">
        <v>506</v>
      </c>
      <c r="N2727" t="s">
        <v>6071</v>
      </c>
    </row>
    <row r="2728" spans="1:14" x14ac:dyDescent="0.25">
      <c r="A2728">
        <v>8595978</v>
      </c>
      <c r="B2728" t="s">
        <v>6072</v>
      </c>
      <c r="C2728" t="s">
        <v>242</v>
      </c>
      <c r="D2728" t="s">
        <v>86</v>
      </c>
      <c r="E2728" t="s">
        <v>87</v>
      </c>
      <c r="F2728" t="s">
        <v>65</v>
      </c>
      <c r="G2728">
        <v>5651</v>
      </c>
      <c r="H2728" t="s">
        <v>6066</v>
      </c>
      <c r="I2728" t="s">
        <v>243</v>
      </c>
      <c r="K2728">
        <v>2533113</v>
      </c>
      <c r="L2728">
        <v>1157179</v>
      </c>
      <c r="M2728">
        <v>483</v>
      </c>
      <c r="N2728" t="s">
        <v>6073</v>
      </c>
    </row>
    <row r="2729" spans="1:14" x14ac:dyDescent="0.25">
      <c r="A2729">
        <v>8570086</v>
      </c>
      <c r="B2729" t="s">
        <v>6074</v>
      </c>
      <c r="C2729" t="s">
        <v>85</v>
      </c>
      <c r="D2729" t="s">
        <v>86</v>
      </c>
      <c r="E2729" t="s">
        <v>87</v>
      </c>
      <c r="F2729" t="s">
        <v>6075</v>
      </c>
      <c r="G2729">
        <v>5652</v>
      </c>
      <c r="H2729" t="s">
        <v>6075</v>
      </c>
      <c r="I2729" t="s">
        <v>89</v>
      </c>
      <c r="K2729">
        <v>2522486</v>
      </c>
      <c r="L2729">
        <v>1151474</v>
      </c>
      <c r="M2729">
        <v>482</v>
      </c>
      <c r="N2729" t="s">
        <v>6076</v>
      </c>
    </row>
    <row r="2730" spans="1:14" x14ac:dyDescent="0.25">
      <c r="A2730">
        <v>8570087</v>
      </c>
      <c r="B2730" t="s">
        <v>6077</v>
      </c>
      <c r="C2730" t="s">
        <v>85</v>
      </c>
      <c r="D2730" t="s">
        <v>86</v>
      </c>
      <c r="E2730" t="s">
        <v>87</v>
      </c>
      <c r="F2730" t="s">
        <v>6075</v>
      </c>
      <c r="G2730">
        <v>5652</v>
      </c>
      <c r="H2730" t="s">
        <v>6075</v>
      </c>
      <c r="I2730" t="s">
        <v>89</v>
      </c>
      <c r="K2730">
        <v>2521900</v>
      </c>
      <c r="L2730">
        <v>1151504</v>
      </c>
      <c r="M2730">
        <v>472</v>
      </c>
      <c r="N2730" t="s">
        <v>6078</v>
      </c>
    </row>
    <row r="2731" spans="1:14" x14ac:dyDescent="0.25">
      <c r="A2731">
        <v>8570475</v>
      </c>
      <c r="B2731" t="s">
        <v>6079</v>
      </c>
      <c r="C2731" t="s">
        <v>94</v>
      </c>
      <c r="D2731" t="s">
        <v>86</v>
      </c>
      <c r="E2731" t="s">
        <v>87</v>
      </c>
      <c r="F2731" t="s">
        <v>6080</v>
      </c>
      <c r="G2731">
        <v>5830</v>
      </c>
      <c r="H2731" t="s">
        <v>6080</v>
      </c>
      <c r="I2731" t="s">
        <v>96</v>
      </c>
      <c r="K2731">
        <v>2559318</v>
      </c>
      <c r="L2731">
        <v>1177126</v>
      </c>
      <c r="M2731">
        <v>617</v>
      </c>
      <c r="N2731" t="s">
        <v>6081</v>
      </c>
    </row>
    <row r="2732" spans="1:14" x14ac:dyDescent="0.25">
      <c r="A2732">
        <v>8504998</v>
      </c>
      <c r="B2732" t="s">
        <v>6082</v>
      </c>
      <c r="C2732" t="s">
        <v>94</v>
      </c>
      <c r="D2732" t="s">
        <v>86</v>
      </c>
      <c r="E2732" t="s">
        <v>87</v>
      </c>
      <c r="F2732" t="s">
        <v>6080</v>
      </c>
      <c r="G2732">
        <v>5830</v>
      </c>
      <c r="H2732" t="s">
        <v>6083</v>
      </c>
      <c r="I2732" t="s">
        <v>96</v>
      </c>
      <c r="K2732">
        <v>2560525</v>
      </c>
      <c r="L2732">
        <v>1176159</v>
      </c>
      <c r="M2732">
        <v>720</v>
      </c>
      <c r="N2732" t="s">
        <v>6084</v>
      </c>
    </row>
    <row r="2733" spans="1:14" x14ac:dyDescent="0.25">
      <c r="A2733">
        <v>8570476</v>
      </c>
      <c r="B2733" t="s">
        <v>6085</v>
      </c>
      <c r="C2733" t="s">
        <v>94</v>
      </c>
      <c r="D2733" t="s">
        <v>86</v>
      </c>
      <c r="E2733" t="s">
        <v>87</v>
      </c>
      <c r="F2733" t="s">
        <v>6080</v>
      </c>
      <c r="G2733">
        <v>5830</v>
      </c>
      <c r="H2733" t="s">
        <v>6080</v>
      </c>
      <c r="I2733" t="s">
        <v>96</v>
      </c>
      <c r="K2733">
        <v>2560258</v>
      </c>
      <c r="L2733">
        <v>1177143</v>
      </c>
      <c r="M2733">
        <v>658</v>
      </c>
      <c r="N2733" t="s">
        <v>6086</v>
      </c>
    </row>
    <row r="2734" spans="1:14" x14ac:dyDescent="0.25">
      <c r="A2734">
        <v>8583423</v>
      </c>
      <c r="B2734" t="s">
        <v>6087</v>
      </c>
      <c r="C2734" t="s">
        <v>94</v>
      </c>
      <c r="D2734" t="s">
        <v>86</v>
      </c>
      <c r="E2734" t="s">
        <v>87</v>
      </c>
      <c r="F2734" t="s">
        <v>6080</v>
      </c>
      <c r="G2734">
        <v>5830</v>
      </c>
      <c r="H2734" t="s">
        <v>6083</v>
      </c>
      <c r="I2734" t="s">
        <v>96</v>
      </c>
      <c r="K2734">
        <v>2560368</v>
      </c>
      <c r="L2734">
        <v>1176458</v>
      </c>
      <c r="M2734">
        <v>692</v>
      </c>
      <c r="N2734" t="s">
        <v>6088</v>
      </c>
    </row>
    <row r="2735" spans="1:14" x14ac:dyDescent="0.25">
      <c r="A2735">
        <v>8504754</v>
      </c>
      <c r="B2735" t="s">
        <v>6089</v>
      </c>
      <c r="C2735" t="s">
        <v>94</v>
      </c>
      <c r="D2735" t="s">
        <v>86</v>
      </c>
      <c r="E2735" t="s">
        <v>87</v>
      </c>
      <c r="F2735" t="s">
        <v>6080</v>
      </c>
      <c r="G2735">
        <v>5830</v>
      </c>
      <c r="H2735" t="s">
        <v>6080</v>
      </c>
      <c r="I2735" t="s">
        <v>96</v>
      </c>
      <c r="K2735">
        <v>2559768</v>
      </c>
      <c r="L2735">
        <v>1177617</v>
      </c>
      <c r="M2735">
        <v>621</v>
      </c>
      <c r="N2735" t="s">
        <v>6090</v>
      </c>
    </row>
    <row r="2736" spans="1:14" x14ac:dyDescent="0.25">
      <c r="A2736">
        <v>8504981</v>
      </c>
      <c r="B2736" t="s">
        <v>6091</v>
      </c>
      <c r="C2736" t="s">
        <v>94</v>
      </c>
      <c r="D2736" t="s">
        <v>86</v>
      </c>
      <c r="E2736" t="s">
        <v>87</v>
      </c>
      <c r="F2736" t="s">
        <v>6080</v>
      </c>
      <c r="G2736">
        <v>5830</v>
      </c>
      <c r="H2736" t="s">
        <v>6092</v>
      </c>
      <c r="I2736" t="s">
        <v>96</v>
      </c>
      <c r="K2736">
        <v>2561329</v>
      </c>
      <c r="L2736">
        <v>1177651</v>
      </c>
      <c r="M2736">
        <v>687</v>
      </c>
      <c r="N2736" t="s">
        <v>6093</v>
      </c>
    </row>
    <row r="2737" spans="1:14" x14ac:dyDescent="0.25">
      <c r="A2737">
        <v>8570477</v>
      </c>
      <c r="B2737" t="s">
        <v>6094</v>
      </c>
      <c r="C2737" t="s">
        <v>94</v>
      </c>
      <c r="D2737" t="s">
        <v>86</v>
      </c>
      <c r="E2737" t="s">
        <v>87</v>
      </c>
      <c r="F2737" t="s">
        <v>6080</v>
      </c>
      <c r="G2737">
        <v>5830</v>
      </c>
      <c r="H2737" t="s">
        <v>6083</v>
      </c>
      <c r="I2737" t="s">
        <v>96</v>
      </c>
      <c r="K2737">
        <v>2560729</v>
      </c>
      <c r="L2737">
        <v>1176585</v>
      </c>
      <c r="M2737">
        <v>717</v>
      </c>
      <c r="N2737" t="s">
        <v>6095</v>
      </c>
    </row>
    <row r="2738" spans="1:14" x14ac:dyDescent="0.25">
      <c r="A2738">
        <v>8501314</v>
      </c>
      <c r="B2738" t="s">
        <v>6096</v>
      </c>
      <c r="C2738" t="s">
        <v>778</v>
      </c>
      <c r="D2738" t="s">
        <v>302</v>
      </c>
      <c r="E2738" t="s">
        <v>87</v>
      </c>
      <c r="F2738" t="s">
        <v>6097</v>
      </c>
      <c r="G2738">
        <v>5414</v>
      </c>
      <c r="H2738" t="s">
        <v>6098</v>
      </c>
      <c r="I2738" t="s">
        <v>780</v>
      </c>
      <c r="K2738">
        <v>2560474</v>
      </c>
      <c r="L2738">
        <v>1138714</v>
      </c>
      <c r="M2738">
        <v>373</v>
      </c>
      <c r="N2738" t="s">
        <v>6099</v>
      </c>
    </row>
    <row r="2739" spans="1:14" x14ac:dyDescent="0.25">
      <c r="A2739">
        <v>8595180</v>
      </c>
      <c r="B2739" t="s">
        <v>6100</v>
      </c>
      <c r="C2739" t="s">
        <v>650</v>
      </c>
      <c r="D2739" t="s">
        <v>86</v>
      </c>
      <c r="E2739" t="s">
        <v>87</v>
      </c>
      <c r="F2739" t="s">
        <v>6097</v>
      </c>
      <c r="G2739">
        <v>5414</v>
      </c>
      <c r="H2739" t="s">
        <v>6098</v>
      </c>
      <c r="I2739" t="s">
        <v>651</v>
      </c>
      <c r="K2739">
        <v>2561090.3319399999</v>
      </c>
      <c r="L2739">
        <v>1137868.6214099999</v>
      </c>
      <c r="M2739">
        <v>375</v>
      </c>
      <c r="N2739" t="s">
        <v>6101</v>
      </c>
    </row>
    <row r="2740" spans="1:14" x14ac:dyDescent="0.25">
      <c r="A2740">
        <v>8593778</v>
      </c>
      <c r="B2740" t="s">
        <v>6102</v>
      </c>
      <c r="C2740" t="s">
        <v>650</v>
      </c>
      <c r="D2740" t="s">
        <v>86</v>
      </c>
      <c r="E2740" t="s">
        <v>87</v>
      </c>
      <c r="F2740" t="s">
        <v>6097</v>
      </c>
      <c r="G2740">
        <v>5414</v>
      </c>
      <c r="H2740" t="s">
        <v>6098</v>
      </c>
      <c r="I2740" t="s">
        <v>651</v>
      </c>
      <c r="K2740">
        <v>2560618.6800000002</v>
      </c>
      <c r="L2740">
        <v>1139055.7930000001</v>
      </c>
      <c r="M2740">
        <v>383</v>
      </c>
      <c r="N2740" t="s">
        <v>6103</v>
      </c>
    </row>
    <row r="2741" spans="1:14" x14ac:dyDescent="0.25">
      <c r="A2741">
        <v>8595185</v>
      </c>
      <c r="B2741" t="s">
        <v>6104</v>
      </c>
      <c r="C2741" t="s">
        <v>650</v>
      </c>
      <c r="D2741" t="s">
        <v>86</v>
      </c>
      <c r="E2741" t="s">
        <v>87</v>
      </c>
      <c r="F2741" t="s">
        <v>6097</v>
      </c>
      <c r="G2741">
        <v>5414</v>
      </c>
      <c r="H2741" t="s">
        <v>6098</v>
      </c>
      <c r="I2741" t="s">
        <v>651</v>
      </c>
      <c r="K2741">
        <v>2560788.4369999999</v>
      </c>
      <c r="L2741">
        <v>1137607.284</v>
      </c>
      <c r="M2741">
        <v>374</v>
      </c>
      <c r="N2741" t="s">
        <v>6105</v>
      </c>
    </row>
    <row r="2742" spans="1:14" x14ac:dyDescent="0.25">
      <c r="A2742">
        <v>8509997</v>
      </c>
      <c r="B2742" t="s">
        <v>6106</v>
      </c>
      <c r="C2742" t="s">
        <v>650</v>
      </c>
      <c r="D2742" t="s">
        <v>86</v>
      </c>
      <c r="E2742" t="s">
        <v>87</v>
      </c>
      <c r="F2742" t="s">
        <v>6097</v>
      </c>
      <c r="G2742">
        <v>5414</v>
      </c>
      <c r="H2742" t="s">
        <v>6098</v>
      </c>
      <c r="I2742" t="s">
        <v>651</v>
      </c>
      <c r="K2742">
        <v>2560594.9596899999</v>
      </c>
      <c r="L2742">
        <v>1138407.6996800001</v>
      </c>
      <c r="M2742">
        <v>374</v>
      </c>
      <c r="N2742" t="s">
        <v>6107</v>
      </c>
    </row>
    <row r="2743" spans="1:14" x14ac:dyDescent="0.25">
      <c r="A2743">
        <v>8595179</v>
      </c>
      <c r="B2743" t="s">
        <v>6108</v>
      </c>
      <c r="C2743" t="s">
        <v>650</v>
      </c>
      <c r="D2743" t="s">
        <v>86</v>
      </c>
      <c r="E2743" t="s">
        <v>87</v>
      </c>
      <c r="F2743" t="s">
        <v>6097</v>
      </c>
      <c r="G2743">
        <v>5414</v>
      </c>
      <c r="H2743" t="s">
        <v>6098</v>
      </c>
      <c r="I2743" t="s">
        <v>651</v>
      </c>
      <c r="K2743">
        <v>2561255.3840000001</v>
      </c>
      <c r="L2743">
        <v>1138206.7879999999</v>
      </c>
      <c r="M2743">
        <v>376</v>
      </c>
      <c r="N2743" t="s">
        <v>6109</v>
      </c>
    </row>
    <row r="2744" spans="1:14" x14ac:dyDescent="0.25">
      <c r="A2744">
        <v>8570581</v>
      </c>
      <c r="B2744" t="s">
        <v>6110</v>
      </c>
      <c r="C2744" t="s">
        <v>94</v>
      </c>
      <c r="D2744" t="s">
        <v>86</v>
      </c>
      <c r="E2744" t="s">
        <v>87</v>
      </c>
      <c r="F2744" t="s">
        <v>6097</v>
      </c>
      <c r="G2744">
        <v>5414</v>
      </c>
      <c r="H2744" t="s">
        <v>6098</v>
      </c>
      <c r="I2744" t="s">
        <v>96</v>
      </c>
      <c r="K2744">
        <v>2560633</v>
      </c>
      <c r="L2744">
        <v>1138692</v>
      </c>
      <c r="M2744">
        <v>375</v>
      </c>
      <c r="N2744" t="s">
        <v>6111</v>
      </c>
    </row>
    <row r="2745" spans="1:14" x14ac:dyDescent="0.25">
      <c r="A2745">
        <v>8579185</v>
      </c>
      <c r="B2745" t="s">
        <v>6112</v>
      </c>
      <c r="C2745" t="s">
        <v>94</v>
      </c>
      <c r="D2745" t="s">
        <v>86</v>
      </c>
      <c r="E2745" t="s">
        <v>87</v>
      </c>
      <c r="F2745" t="s">
        <v>6097</v>
      </c>
      <c r="G2745">
        <v>5414</v>
      </c>
      <c r="H2745" t="s">
        <v>6098</v>
      </c>
      <c r="I2745" t="s">
        <v>96</v>
      </c>
      <c r="K2745">
        <v>2560249</v>
      </c>
      <c r="L2745">
        <v>1138273</v>
      </c>
      <c r="M2745">
        <v>373</v>
      </c>
      <c r="N2745" t="s">
        <v>6113</v>
      </c>
    </row>
    <row r="2746" spans="1:14" x14ac:dyDescent="0.25">
      <c r="A2746">
        <v>8593777</v>
      </c>
      <c r="B2746" t="s">
        <v>6114</v>
      </c>
      <c r="C2746" t="s">
        <v>650</v>
      </c>
      <c r="D2746" t="s">
        <v>86</v>
      </c>
      <c r="E2746" t="s">
        <v>87</v>
      </c>
      <c r="F2746" t="s">
        <v>6097</v>
      </c>
      <c r="G2746">
        <v>5414</v>
      </c>
      <c r="H2746" t="s">
        <v>6098</v>
      </c>
      <c r="I2746" t="s">
        <v>651</v>
      </c>
      <c r="K2746">
        <v>2560904.0808299999</v>
      </c>
      <c r="L2746">
        <v>1139513.0605500001</v>
      </c>
      <c r="M2746">
        <v>381</v>
      </c>
      <c r="N2746" t="s">
        <v>6115</v>
      </c>
    </row>
    <row r="2747" spans="1:14" x14ac:dyDescent="0.25">
      <c r="A2747">
        <v>8595181</v>
      </c>
      <c r="B2747" t="s">
        <v>6116</v>
      </c>
      <c r="C2747" t="s">
        <v>650</v>
      </c>
      <c r="D2747" t="s">
        <v>86</v>
      </c>
      <c r="E2747" t="s">
        <v>87</v>
      </c>
      <c r="F2747" t="s">
        <v>6097</v>
      </c>
      <c r="G2747">
        <v>5414</v>
      </c>
      <c r="H2747" t="s">
        <v>6098</v>
      </c>
      <c r="I2747" t="s">
        <v>651</v>
      </c>
      <c r="K2747">
        <v>2561016</v>
      </c>
      <c r="L2747">
        <v>1137589</v>
      </c>
      <c r="M2747">
        <v>374</v>
      </c>
      <c r="N2747" t="s">
        <v>6117</v>
      </c>
    </row>
    <row r="2748" spans="1:14" x14ac:dyDescent="0.25">
      <c r="A2748">
        <v>8595187</v>
      </c>
      <c r="B2748" t="s">
        <v>6118</v>
      </c>
      <c r="C2748" t="s">
        <v>650</v>
      </c>
      <c r="D2748" t="s">
        <v>86</v>
      </c>
      <c r="E2748" t="s">
        <v>87</v>
      </c>
      <c r="F2748" t="s">
        <v>6097</v>
      </c>
      <c r="G2748">
        <v>5414</v>
      </c>
      <c r="H2748" t="s">
        <v>6098</v>
      </c>
      <c r="I2748" t="s">
        <v>651</v>
      </c>
      <c r="K2748">
        <v>2560931.1170000001</v>
      </c>
      <c r="L2748">
        <v>1138256.686</v>
      </c>
      <c r="M2748">
        <v>374</v>
      </c>
      <c r="N2748" t="s">
        <v>6119</v>
      </c>
    </row>
    <row r="2749" spans="1:14" x14ac:dyDescent="0.25">
      <c r="A2749">
        <v>8595178</v>
      </c>
      <c r="B2749" t="s">
        <v>6120</v>
      </c>
      <c r="C2749" t="s">
        <v>650</v>
      </c>
      <c r="D2749" t="s">
        <v>86</v>
      </c>
      <c r="E2749" t="s">
        <v>87</v>
      </c>
      <c r="F2749" t="s">
        <v>6097</v>
      </c>
      <c r="G2749">
        <v>5414</v>
      </c>
      <c r="H2749" t="s">
        <v>6098</v>
      </c>
      <c r="I2749" t="s">
        <v>651</v>
      </c>
      <c r="K2749">
        <v>2560936.915</v>
      </c>
      <c r="L2749">
        <v>1138438.963</v>
      </c>
      <c r="M2749">
        <v>375</v>
      </c>
      <c r="N2749" t="s">
        <v>6121</v>
      </c>
    </row>
    <row r="2750" spans="1:14" x14ac:dyDescent="0.25">
      <c r="A2750">
        <v>8595177</v>
      </c>
      <c r="B2750" t="s">
        <v>6122</v>
      </c>
      <c r="C2750" t="s">
        <v>650</v>
      </c>
      <c r="D2750" t="s">
        <v>86</v>
      </c>
      <c r="E2750" t="s">
        <v>87</v>
      </c>
      <c r="F2750" t="s">
        <v>6097</v>
      </c>
      <c r="G2750">
        <v>5414</v>
      </c>
      <c r="H2750" t="s">
        <v>6098</v>
      </c>
      <c r="I2750" t="s">
        <v>651</v>
      </c>
      <c r="K2750">
        <v>2560841.7620000001</v>
      </c>
      <c r="L2750">
        <v>1138472.932</v>
      </c>
      <c r="M2750">
        <v>374</v>
      </c>
      <c r="N2750" t="s">
        <v>6123</v>
      </c>
    </row>
    <row r="2751" spans="1:14" x14ac:dyDescent="0.25">
      <c r="A2751">
        <v>8501303</v>
      </c>
      <c r="B2751" t="s">
        <v>6098</v>
      </c>
      <c r="C2751" t="s">
        <v>132</v>
      </c>
      <c r="D2751" t="s">
        <v>112</v>
      </c>
      <c r="E2751" t="s">
        <v>87</v>
      </c>
      <c r="F2751" t="s">
        <v>6097</v>
      </c>
      <c r="G2751">
        <v>5414</v>
      </c>
      <c r="H2751" t="s">
        <v>6098</v>
      </c>
      <c r="I2751" t="s">
        <v>133</v>
      </c>
      <c r="K2751">
        <v>2560650.2949999999</v>
      </c>
      <c r="L2751">
        <v>1138685.564</v>
      </c>
      <c r="M2751">
        <v>374.75400000000002</v>
      </c>
      <c r="N2751" t="s">
        <v>6124</v>
      </c>
    </row>
    <row r="2752" spans="1:14" x14ac:dyDescent="0.25">
      <c r="A2752">
        <v>8595182</v>
      </c>
      <c r="B2752" t="s">
        <v>6125</v>
      </c>
      <c r="C2752" t="s">
        <v>650</v>
      </c>
      <c r="D2752" t="s">
        <v>86</v>
      </c>
      <c r="E2752" t="s">
        <v>87</v>
      </c>
      <c r="F2752" t="s">
        <v>6097</v>
      </c>
      <c r="G2752">
        <v>5414</v>
      </c>
      <c r="H2752" t="s">
        <v>6098</v>
      </c>
      <c r="I2752" t="s">
        <v>651</v>
      </c>
      <c r="K2752">
        <v>2561168</v>
      </c>
      <c r="L2752">
        <v>1137502</v>
      </c>
      <c r="M2752">
        <v>373</v>
      </c>
      <c r="N2752" t="s">
        <v>6126</v>
      </c>
    </row>
    <row r="2753" spans="1:14" x14ac:dyDescent="0.25">
      <c r="A2753">
        <v>8595186</v>
      </c>
      <c r="B2753" t="s">
        <v>6127</v>
      </c>
      <c r="C2753" t="s">
        <v>650</v>
      </c>
      <c r="D2753" t="s">
        <v>86</v>
      </c>
      <c r="E2753" t="s">
        <v>87</v>
      </c>
      <c r="F2753" t="s">
        <v>6097</v>
      </c>
      <c r="G2753">
        <v>5414</v>
      </c>
      <c r="H2753" t="s">
        <v>6098</v>
      </c>
      <c r="I2753" t="s">
        <v>651</v>
      </c>
      <c r="K2753">
        <v>2560846.3029999998</v>
      </c>
      <c r="L2753">
        <v>1137870.3740000001</v>
      </c>
      <c r="M2753">
        <v>374</v>
      </c>
      <c r="N2753" t="s">
        <v>6128</v>
      </c>
    </row>
    <row r="2754" spans="1:14" x14ac:dyDescent="0.25">
      <c r="A2754">
        <v>8595184</v>
      </c>
      <c r="B2754" t="s">
        <v>6129</v>
      </c>
      <c r="C2754" t="s">
        <v>650</v>
      </c>
      <c r="D2754" t="s">
        <v>86</v>
      </c>
      <c r="E2754" t="s">
        <v>87</v>
      </c>
      <c r="F2754" t="s">
        <v>6097</v>
      </c>
      <c r="G2754">
        <v>5414</v>
      </c>
      <c r="H2754" t="s">
        <v>6098</v>
      </c>
      <c r="I2754" t="s">
        <v>651</v>
      </c>
      <c r="K2754">
        <v>2560780.2742699999</v>
      </c>
      <c r="L2754">
        <v>1137263.08971</v>
      </c>
      <c r="M2754">
        <v>374</v>
      </c>
      <c r="N2754" t="s">
        <v>6130</v>
      </c>
    </row>
    <row r="2755" spans="1:14" x14ac:dyDescent="0.25">
      <c r="A2755">
        <v>8595183</v>
      </c>
      <c r="B2755" t="s">
        <v>6131</v>
      </c>
      <c r="C2755" t="s">
        <v>650</v>
      </c>
      <c r="D2755" t="s">
        <v>86</v>
      </c>
      <c r="E2755" t="s">
        <v>87</v>
      </c>
      <c r="F2755" t="s">
        <v>6097</v>
      </c>
      <c r="G2755">
        <v>5414</v>
      </c>
      <c r="H2755" t="s">
        <v>6098</v>
      </c>
      <c r="I2755" t="s">
        <v>651</v>
      </c>
      <c r="K2755">
        <v>2561245</v>
      </c>
      <c r="L2755">
        <v>1137327</v>
      </c>
      <c r="M2755">
        <v>376</v>
      </c>
      <c r="N2755" t="s">
        <v>6132</v>
      </c>
    </row>
    <row r="2756" spans="1:14" x14ac:dyDescent="0.25">
      <c r="A2756">
        <v>8500732</v>
      </c>
      <c r="B2756" t="s">
        <v>6133</v>
      </c>
      <c r="C2756" t="s">
        <v>94</v>
      </c>
      <c r="D2756" t="s">
        <v>86</v>
      </c>
      <c r="E2756" t="s">
        <v>87</v>
      </c>
      <c r="F2756" t="s">
        <v>6134</v>
      </c>
      <c r="G2756">
        <v>5863</v>
      </c>
      <c r="H2756" t="s">
        <v>6134</v>
      </c>
      <c r="I2756" t="s">
        <v>96</v>
      </c>
      <c r="K2756">
        <v>2510938</v>
      </c>
      <c r="L2756">
        <v>1144685</v>
      </c>
      <c r="M2756">
        <v>450</v>
      </c>
      <c r="N2756" t="s">
        <v>6135</v>
      </c>
    </row>
    <row r="2757" spans="1:14" x14ac:dyDescent="0.25">
      <c r="A2757">
        <v>8507971</v>
      </c>
      <c r="B2757" t="s">
        <v>6136</v>
      </c>
      <c r="C2757" t="s">
        <v>94</v>
      </c>
      <c r="D2757" t="s">
        <v>86</v>
      </c>
      <c r="E2757" t="s">
        <v>87</v>
      </c>
      <c r="F2757" t="s">
        <v>6137</v>
      </c>
      <c r="G2757">
        <v>5539</v>
      </c>
      <c r="H2757" t="s">
        <v>6137</v>
      </c>
      <c r="I2757" t="s">
        <v>96</v>
      </c>
      <c r="K2757">
        <v>2539460</v>
      </c>
      <c r="L2757">
        <v>1170841</v>
      </c>
      <c r="M2757">
        <v>677</v>
      </c>
      <c r="N2757" t="s">
        <v>6138</v>
      </c>
    </row>
    <row r="2758" spans="1:14" x14ac:dyDescent="0.25">
      <c r="A2758">
        <v>8573549</v>
      </c>
      <c r="B2758" t="s">
        <v>6139</v>
      </c>
      <c r="C2758" t="s">
        <v>94</v>
      </c>
      <c r="D2758" t="s">
        <v>86</v>
      </c>
      <c r="E2758" t="s">
        <v>87</v>
      </c>
      <c r="F2758" t="s">
        <v>6137</v>
      </c>
      <c r="G2758">
        <v>5539</v>
      </c>
      <c r="H2758" t="s">
        <v>6137</v>
      </c>
      <c r="I2758" t="s">
        <v>96</v>
      </c>
      <c r="K2758">
        <v>2539270</v>
      </c>
      <c r="L2758">
        <v>1172329</v>
      </c>
      <c r="M2758">
        <v>651</v>
      </c>
      <c r="N2758" t="s">
        <v>6140</v>
      </c>
    </row>
    <row r="2759" spans="1:14" x14ac:dyDescent="0.25">
      <c r="A2759">
        <v>8570298</v>
      </c>
      <c r="B2759" t="s">
        <v>6141</v>
      </c>
      <c r="C2759" t="s">
        <v>94</v>
      </c>
      <c r="D2759" t="s">
        <v>86</v>
      </c>
      <c r="E2759" t="s">
        <v>87</v>
      </c>
      <c r="F2759" t="s">
        <v>6137</v>
      </c>
      <c r="G2759">
        <v>5539</v>
      </c>
      <c r="H2759" t="s">
        <v>6137</v>
      </c>
      <c r="I2759" t="s">
        <v>96</v>
      </c>
      <c r="K2759">
        <v>2539354</v>
      </c>
      <c r="L2759">
        <v>1169770</v>
      </c>
      <c r="M2759">
        <v>673</v>
      </c>
      <c r="N2759" t="s">
        <v>6142</v>
      </c>
    </row>
    <row r="2760" spans="1:14" x14ac:dyDescent="0.25">
      <c r="A2760">
        <v>8501980</v>
      </c>
      <c r="B2760" t="s">
        <v>6143</v>
      </c>
      <c r="C2760" t="s">
        <v>94</v>
      </c>
      <c r="D2760" t="s">
        <v>86</v>
      </c>
      <c r="E2760" t="s">
        <v>87</v>
      </c>
      <c r="F2760" t="s">
        <v>6137</v>
      </c>
      <c r="G2760">
        <v>5539</v>
      </c>
      <c r="H2760" t="s">
        <v>6137</v>
      </c>
      <c r="I2760" t="s">
        <v>96</v>
      </c>
      <c r="K2760">
        <v>2539411</v>
      </c>
      <c r="L2760">
        <v>1171590</v>
      </c>
      <c r="M2760">
        <v>667</v>
      </c>
      <c r="N2760" t="s">
        <v>6144</v>
      </c>
    </row>
    <row r="2761" spans="1:14" x14ac:dyDescent="0.25">
      <c r="A2761">
        <v>8570293</v>
      </c>
      <c r="B2761" t="s">
        <v>6145</v>
      </c>
      <c r="C2761" t="s">
        <v>94</v>
      </c>
      <c r="D2761" t="s">
        <v>86</v>
      </c>
      <c r="E2761" t="s">
        <v>87</v>
      </c>
      <c r="F2761" t="s">
        <v>6137</v>
      </c>
      <c r="G2761">
        <v>5539</v>
      </c>
      <c r="H2761" t="s">
        <v>6137</v>
      </c>
      <c r="I2761" t="s">
        <v>96</v>
      </c>
      <c r="K2761">
        <v>2539412</v>
      </c>
      <c r="L2761">
        <v>1171281</v>
      </c>
      <c r="M2761">
        <v>670</v>
      </c>
      <c r="N2761" t="s">
        <v>6146</v>
      </c>
    </row>
    <row r="2762" spans="1:14" x14ac:dyDescent="0.25">
      <c r="A2762">
        <v>8504163</v>
      </c>
      <c r="B2762" t="s">
        <v>6147</v>
      </c>
      <c r="C2762" t="s">
        <v>94</v>
      </c>
      <c r="D2762" t="s">
        <v>86</v>
      </c>
      <c r="E2762" t="s">
        <v>87</v>
      </c>
      <c r="F2762" t="s">
        <v>6148</v>
      </c>
      <c r="G2762">
        <v>5692</v>
      </c>
      <c r="H2762" t="s">
        <v>6148</v>
      </c>
      <c r="I2762" t="s">
        <v>96</v>
      </c>
      <c r="K2762">
        <v>2549741</v>
      </c>
      <c r="L2762">
        <v>1163931</v>
      </c>
      <c r="M2762">
        <v>675</v>
      </c>
      <c r="N2762" t="s">
        <v>6149</v>
      </c>
    </row>
    <row r="2763" spans="1:14" x14ac:dyDescent="0.25">
      <c r="A2763">
        <v>8591934</v>
      </c>
      <c r="B2763" t="s">
        <v>6150</v>
      </c>
      <c r="C2763" t="s">
        <v>94</v>
      </c>
      <c r="D2763" t="s">
        <v>86</v>
      </c>
      <c r="E2763" t="s">
        <v>87</v>
      </c>
      <c r="F2763" t="s">
        <v>6148</v>
      </c>
      <c r="G2763">
        <v>5692</v>
      </c>
      <c r="H2763" t="s">
        <v>6148</v>
      </c>
      <c r="I2763" t="s">
        <v>96</v>
      </c>
      <c r="K2763">
        <v>2549792</v>
      </c>
      <c r="L2763">
        <v>1164320</v>
      </c>
      <c r="M2763">
        <v>666</v>
      </c>
      <c r="N2763" t="s">
        <v>6151</v>
      </c>
    </row>
    <row r="2764" spans="1:14" x14ac:dyDescent="0.25">
      <c r="A2764">
        <v>8511099</v>
      </c>
      <c r="B2764" t="s">
        <v>6152</v>
      </c>
      <c r="C2764" t="s">
        <v>94</v>
      </c>
      <c r="D2764" t="s">
        <v>86</v>
      </c>
      <c r="E2764" t="s">
        <v>87</v>
      </c>
      <c r="F2764" t="s">
        <v>6148</v>
      </c>
      <c r="G2764">
        <v>5692</v>
      </c>
      <c r="H2764" t="s">
        <v>6148</v>
      </c>
      <c r="I2764" t="s">
        <v>96</v>
      </c>
      <c r="K2764">
        <v>2549237</v>
      </c>
      <c r="L2764">
        <v>1164200</v>
      </c>
      <c r="M2764">
        <v>735</v>
      </c>
      <c r="N2764" t="s">
        <v>6153</v>
      </c>
    </row>
    <row r="2765" spans="1:14" x14ac:dyDescent="0.25">
      <c r="A2765">
        <v>8588153</v>
      </c>
      <c r="B2765" t="s">
        <v>6154</v>
      </c>
      <c r="C2765" t="s">
        <v>94</v>
      </c>
      <c r="D2765" t="s">
        <v>86</v>
      </c>
      <c r="E2765" t="s">
        <v>87</v>
      </c>
      <c r="F2765" t="s">
        <v>6148</v>
      </c>
      <c r="G2765">
        <v>5692</v>
      </c>
      <c r="H2765" t="s">
        <v>6148</v>
      </c>
      <c r="I2765" t="s">
        <v>96</v>
      </c>
      <c r="K2765">
        <v>2548643</v>
      </c>
      <c r="L2765">
        <v>1164094</v>
      </c>
      <c r="M2765">
        <v>685</v>
      </c>
      <c r="N2765" t="s">
        <v>6155</v>
      </c>
    </row>
    <row r="2766" spans="1:14" x14ac:dyDescent="0.25">
      <c r="A2766">
        <v>8557078</v>
      </c>
      <c r="B2766" t="s">
        <v>6156</v>
      </c>
      <c r="C2766" t="s">
        <v>94</v>
      </c>
      <c r="D2766" t="s">
        <v>86</v>
      </c>
      <c r="E2766" t="s">
        <v>87</v>
      </c>
      <c r="F2766" t="s">
        <v>6148</v>
      </c>
      <c r="G2766">
        <v>5692</v>
      </c>
      <c r="H2766" t="s">
        <v>6148</v>
      </c>
      <c r="I2766" t="s">
        <v>96</v>
      </c>
      <c r="K2766">
        <v>2549073</v>
      </c>
      <c r="L2766">
        <v>1163680</v>
      </c>
      <c r="M2766">
        <v>735</v>
      </c>
      <c r="N2766" t="s">
        <v>6157</v>
      </c>
    </row>
    <row r="2767" spans="1:14" x14ac:dyDescent="0.25">
      <c r="A2767">
        <v>8593779</v>
      </c>
      <c r="B2767" t="s">
        <v>6158</v>
      </c>
      <c r="C2767" t="s">
        <v>242</v>
      </c>
      <c r="D2767" t="s">
        <v>86</v>
      </c>
      <c r="E2767" t="s">
        <v>87</v>
      </c>
      <c r="F2767" t="s">
        <v>6159</v>
      </c>
      <c r="G2767">
        <v>5503</v>
      </c>
      <c r="H2767" t="s">
        <v>6159</v>
      </c>
      <c r="I2767" t="s">
        <v>243</v>
      </c>
      <c r="K2767">
        <v>2531275.4665000001</v>
      </c>
      <c r="L2767">
        <v>1159311.6505199999</v>
      </c>
      <c r="M2767">
        <v>480</v>
      </c>
      <c r="N2767" t="s">
        <v>6160</v>
      </c>
    </row>
    <row r="2768" spans="1:14" x14ac:dyDescent="0.25">
      <c r="A2768">
        <v>8593782</v>
      </c>
      <c r="B2768" t="s">
        <v>6161</v>
      </c>
      <c r="C2768" t="s">
        <v>242</v>
      </c>
      <c r="D2768" t="s">
        <v>86</v>
      </c>
      <c r="E2768" t="s">
        <v>87</v>
      </c>
      <c r="F2768" t="s">
        <v>6159</v>
      </c>
      <c r="G2768">
        <v>5503</v>
      </c>
      <c r="H2768" t="s">
        <v>6159</v>
      </c>
      <c r="I2768" t="s">
        <v>243</v>
      </c>
      <c r="K2768">
        <v>2530452</v>
      </c>
      <c r="L2768">
        <v>1158837</v>
      </c>
      <c r="M2768">
        <v>409</v>
      </c>
      <c r="N2768" t="s">
        <v>6162</v>
      </c>
    </row>
    <row r="2769" spans="1:14" x14ac:dyDescent="0.25">
      <c r="A2769">
        <v>8515507</v>
      </c>
      <c r="B2769" t="s">
        <v>6163</v>
      </c>
      <c r="C2769" t="s">
        <v>132</v>
      </c>
      <c r="E2769" t="s">
        <v>87</v>
      </c>
      <c r="F2769" t="s">
        <v>6159</v>
      </c>
      <c r="G2769">
        <v>5503</v>
      </c>
      <c r="H2769" t="s">
        <v>6159</v>
      </c>
      <c r="I2769" t="s">
        <v>133</v>
      </c>
      <c r="J2769" t="s">
        <v>130</v>
      </c>
      <c r="K2769">
        <v>2530407.2089999998</v>
      </c>
      <c r="L2769">
        <v>1158732.841</v>
      </c>
      <c r="M2769">
        <v>406</v>
      </c>
      <c r="N2769" t="s">
        <v>6164</v>
      </c>
    </row>
    <row r="2770" spans="1:14" x14ac:dyDescent="0.25">
      <c r="A2770">
        <v>8515506</v>
      </c>
      <c r="B2770" t="s">
        <v>6165</v>
      </c>
      <c r="C2770" t="s">
        <v>132</v>
      </c>
      <c r="E2770" t="s">
        <v>87</v>
      </c>
      <c r="F2770" t="s">
        <v>6159</v>
      </c>
      <c r="G2770">
        <v>5503</v>
      </c>
      <c r="H2770" t="s">
        <v>6159</v>
      </c>
      <c r="I2770" t="s">
        <v>133</v>
      </c>
      <c r="K2770">
        <v>2530263.2740000002</v>
      </c>
      <c r="L2770">
        <v>1157859.2450000001</v>
      </c>
      <c r="M2770">
        <v>401.9</v>
      </c>
      <c r="N2770" t="s">
        <v>6166</v>
      </c>
    </row>
    <row r="2771" spans="1:14" x14ac:dyDescent="0.25">
      <c r="A2771">
        <v>8593781</v>
      </c>
      <c r="B2771" t="s">
        <v>6167</v>
      </c>
      <c r="C2771" t="s">
        <v>242</v>
      </c>
      <c r="D2771" t="s">
        <v>86</v>
      </c>
      <c r="E2771" t="s">
        <v>87</v>
      </c>
      <c r="F2771" t="s">
        <v>6159</v>
      </c>
      <c r="G2771">
        <v>5503</v>
      </c>
      <c r="H2771" t="s">
        <v>6159</v>
      </c>
      <c r="I2771" t="s">
        <v>243</v>
      </c>
      <c r="K2771">
        <v>2531065.8898299998</v>
      </c>
      <c r="L2771">
        <v>1158810.8880799999</v>
      </c>
      <c r="M2771">
        <v>478</v>
      </c>
      <c r="N2771" t="s">
        <v>6168</v>
      </c>
    </row>
    <row r="2772" spans="1:14" x14ac:dyDescent="0.25">
      <c r="A2772">
        <v>8593780</v>
      </c>
      <c r="B2772" t="s">
        <v>6169</v>
      </c>
      <c r="C2772" t="s">
        <v>242</v>
      </c>
      <c r="D2772" t="s">
        <v>86</v>
      </c>
      <c r="E2772" t="s">
        <v>87</v>
      </c>
      <c r="F2772" t="s">
        <v>6159</v>
      </c>
      <c r="G2772">
        <v>5503</v>
      </c>
      <c r="H2772" t="s">
        <v>6159</v>
      </c>
      <c r="I2772" t="s">
        <v>243</v>
      </c>
      <c r="K2772">
        <v>2530730.4713300001</v>
      </c>
      <c r="L2772">
        <v>1159105.8075900001</v>
      </c>
      <c r="M2772">
        <v>427</v>
      </c>
      <c r="N2772" t="s">
        <v>6170</v>
      </c>
    </row>
    <row r="2773" spans="1:14" x14ac:dyDescent="0.25">
      <c r="A2773">
        <v>8501116</v>
      </c>
      <c r="B2773" t="s">
        <v>6159</v>
      </c>
      <c r="C2773" t="s">
        <v>132</v>
      </c>
      <c r="D2773" t="s">
        <v>112</v>
      </c>
      <c r="E2773" t="s">
        <v>87</v>
      </c>
      <c r="F2773" t="s">
        <v>6159</v>
      </c>
      <c r="G2773">
        <v>5503</v>
      </c>
      <c r="H2773" t="s">
        <v>6159</v>
      </c>
      <c r="I2773" t="s">
        <v>133</v>
      </c>
      <c r="K2773">
        <v>2530406.4449999998</v>
      </c>
      <c r="L2773">
        <v>1158733.8459999999</v>
      </c>
      <c r="M2773">
        <v>406.76100000000002</v>
      </c>
      <c r="N2773" t="s">
        <v>6171</v>
      </c>
    </row>
    <row r="2774" spans="1:14" x14ac:dyDescent="0.25">
      <c r="A2774">
        <v>8594270</v>
      </c>
      <c r="B2774" t="s">
        <v>6172</v>
      </c>
      <c r="C2774" t="s">
        <v>242</v>
      </c>
      <c r="D2774" t="s">
        <v>86</v>
      </c>
      <c r="E2774" t="s">
        <v>87</v>
      </c>
      <c r="F2774" t="s">
        <v>6159</v>
      </c>
      <c r="G2774">
        <v>5503</v>
      </c>
      <c r="H2774" t="s">
        <v>3534</v>
      </c>
      <c r="I2774" t="s">
        <v>243</v>
      </c>
      <c r="K2774">
        <v>2531907.2000000002</v>
      </c>
      <c r="L2774">
        <v>1157602.3999999999</v>
      </c>
      <c r="M2774">
        <v>473</v>
      </c>
      <c r="N2774" t="s">
        <v>6173</v>
      </c>
    </row>
    <row r="2775" spans="1:14" x14ac:dyDescent="0.25">
      <c r="A2775">
        <v>8501091</v>
      </c>
      <c r="B2775" t="s">
        <v>6174</v>
      </c>
      <c r="C2775" t="s">
        <v>353</v>
      </c>
      <c r="D2775" t="s">
        <v>112</v>
      </c>
      <c r="E2775" t="s">
        <v>87</v>
      </c>
      <c r="F2775" t="s">
        <v>6174</v>
      </c>
      <c r="G2775">
        <v>5653</v>
      </c>
      <c r="H2775" t="s">
        <v>6174</v>
      </c>
      <c r="I2775" t="s">
        <v>354</v>
      </c>
      <c r="K2775">
        <v>2525921.7659999998</v>
      </c>
      <c r="L2775">
        <v>1153069.2690000001</v>
      </c>
      <c r="M2775">
        <v>468.4</v>
      </c>
      <c r="N2775" t="s">
        <v>6175</v>
      </c>
    </row>
    <row r="2776" spans="1:14" x14ac:dyDescent="0.25">
      <c r="A2776">
        <v>8501080</v>
      </c>
      <c r="B2776" t="s">
        <v>6176</v>
      </c>
      <c r="C2776" t="s">
        <v>353</v>
      </c>
      <c r="D2776" t="s">
        <v>112</v>
      </c>
      <c r="E2776" t="s">
        <v>87</v>
      </c>
      <c r="F2776" t="s">
        <v>6174</v>
      </c>
      <c r="G2776">
        <v>5653</v>
      </c>
      <c r="H2776" t="s">
        <v>6174</v>
      </c>
      <c r="I2776" t="s">
        <v>354</v>
      </c>
      <c r="K2776">
        <v>2525112.9389999998</v>
      </c>
      <c r="L2776">
        <v>1153375.017</v>
      </c>
      <c r="M2776">
        <v>497.9</v>
      </c>
      <c r="N2776" t="s">
        <v>6177</v>
      </c>
    </row>
    <row r="2777" spans="1:14" x14ac:dyDescent="0.25">
      <c r="A2777">
        <v>8510997</v>
      </c>
      <c r="B2777" t="s">
        <v>6178</v>
      </c>
      <c r="C2777" t="s">
        <v>353</v>
      </c>
      <c r="D2777" t="s">
        <v>86</v>
      </c>
      <c r="E2777" t="s">
        <v>87</v>
      </c>
      <c r="F2777" t="s">
        <v>6174</v>
      </c>
      <c r="G2777">
        <v>5653</v>
      </c>
      <c r="H2777" t="s">
        <v>6174</v>
      </c>
      <c r="I2777" t="s">
        <v>354</v>
      </c>
      <c r="K2777">
        <v>2526011.1405799999</v>
      </c>
      <c r="L2777">
        <v>1153111.47649</v>
      </c>
      <c r="M2777">
        <v>474</v>
      </c>
      <c r="N2777" t="s">
        <v>6179</v>
      </c>
    </row>
    <row r="2778" spans="1:14" x14ac:dyDescent="0.25">
      <c r="A2778">
        <v>8510995</v>
      </c>
      <c r="B2778" t="s">
        <v>6180</v>
      </c>
      <c r="C2778" t="s">
        <v>85</v>
      </c>
      <c r="D2778" t="s">
        <v>86</v>
      </c>
      <c r="E2778" t="s">
        <v>87</v>
      </c>
      <c r="F2778" t="s">
        <v>6174</v>
      </c>
      <c r="G2778">
        <v>5653</v>
      </c>
      <c r="H2778" t="s">
        <v>6174</v>
      </c>
      <c r="I2778" t="s">
        <v>89</v>
      </c>
      <c r="K2778">
        <v>2525144.2550900001</v>
      </c>
      <c r="L2778">
        <v>1153411.4897400001</v>
      </c>
      <c r="M2778">
        <v>499</v>
      </c>
      <c r="N2778" t="s">
        <v>6181</v>
      </c>
    </row>
    <row r="2779" spans="1:14" x14ac:dyDescent="0.25">
      <c r="A2779">
        <v>8570262</v>
      </c>
      <c r="B2779" t="s">
        <v>6182</v>
      </c>
      <c r="C2779" t="s">
        <v>94</v>
      </c>
      <c r="D2779" t="s">
        <v>86</v>
      </c>
      <c r="E2779" t="s">
        <v>87</v>
      </c>
      <c r="F2779" t="s">
        <v>6183</v>
      </c>
      <c r="G2779">
        <v>5937</v>
      </c>
      <c r="H2779" t="s">
        <v>6183</v>
      </c>
      <c r="I2779" t="s">
        <v>96</v>
      </c>
      <c r="K2779">
        <v>2534336</v>
      </c>
      <c r="L2779">
        <v>1186209</v>
      </c>
      <c r="M2779">
        <v>521</v>
      </c>
      <c r="N2779" t="s">
        <v>6184</v>
      </c>
    </row>
    <row r="2780" spans="1:14" x14ac:dyDescent="0.25">
      <c r="A2780">
        <v>8570260</v>
      </c>
      <c r="B2780" t="s">
        <v>6185</v>
      </c>
      <c r="C2780" t="s">
        <v>94</v>
      </c>
      <c r="D2780" t="s">
        <v>86</v>
      </c>
      <c r="E2780" t="s">
        <v>87</v>
      </c>
      <c r="F2780" t="s">
        <v>6183</v>
      </c>
      <c r="G2780">
        <v>5937</v>
      </c>
      <c r="H2780" t="s">
        <v>6183</v>
      </c>
      <c r="I2780" t="s">
        <v>96</v>
      </c>
      <c r="K2780">
        <v>2533361</v>
      </c>
      <c r="L2780">
        <v>1185640</v>
      </c>
      <c r="M2780">
        <v>548</v>
      </c>
      <c r="N2780" t="s">
        <v>6186</v>
      </c>
    </row>
    <row r="2781" spans="1:14" x14ac:dyDescent="0.25">
      <c r="A2781">
        <v>8570261</v>
      </c>
      <c r="B2781" t="s">
        <v>6187</v>
      </c>
      <c r="C2781" t="s">
        <v>94</v>
      </c>
      <c r="D2781" t="s">
        <v>86</v>
      </c>
      <c r="E2781" t="s">
        <v>87</v>
      </c>
      <c r="F2781" t="s">
        <v>6183</v>
      </c>
      <c r="G2781">
        <v>5937</v>
      </c>
      <c r="H2781" t="s">
        <v>6183</v>
      </c>
      <c r="I2781" t="s">
        <v>96</v>
      </c>
      <c r="K2781">
        <v>2533600</v>
      </c>
      <c r="L2781">
        <v>1185722</v>
      </c>
      <c r="M2781">
        <v>535</v>
      </c>
      <c r="N2781" t="s">
        <v>6188</v>
      </c>
    </row>
    <row r="2782" spans="1:14" x14ac:dyDescent="0.25">
      <c r="A2782">
        <v>8582157</v>
      </c>
      <c r="B2782" t="s">
        <v>6189</v>
      </c>
      <c r="C2782" t="s">
        <v>338</v>
      </c>
      <c r="D2782" t="s">
        <v>86</v>
      </c>
      <c r="E2782" t="s">
        <v>87</v>
      </c>
      <c r="F2782" t="s">
        <v>6190</v>
      </c>
      <c r="G2782">
        <v>5766</v>
      </c>
      <c r="H2782" t="s">
        <v>6190</v>
      </c>
      <c r="I2782" t="s">
        <v>340</v>
      </c>
      <c r="J2782" t="s">
        <v>6191</v>
      </c>
      <c r="K2782">
        <v>2533052</v>
      </c>
      <c r="L2782">
        <v>1183851</v>
      </c>
      <c r="M2782">
        <v>565</v>
      </c>
      <c r="N2782" t="s">
        <v>6192</v>
      </c>
    </row>
    <row r="2783" spans="1:14" x14ac:dyDescent="0.25">
      <c r="A2783">
        <v>8583764</v>
      </c>
      <c r="B2783" t="s">
        <v>6193</v>
      </c>
      <c r="C2783" t="s">
        <v>94</v>
      </c>
      <c r="D2783" t="s">
        <v>86</v>
      </c>
      <c r="E2783" t="s">
        <v>87</v>
      </c>
      <c r="F2783" t="s">
        <v>6190</v>
      </c>
      <c r="G2783">
        <v>5766</v>
      </c>
      <c r="H2783" t="s">
        <v>6190</v>
      </c>
      <c r="I2783" t="s">
        <v>96</v>
      </c>
      <c r="K2783">
        <v>2532461</v>
      </c>
      <c r="L2783">
        <v>1184024</v>
      </c>
      <c r="M2783">
        <v>589</v>
      </c>
      <c r="N2783" t="s">
        <v>6194</v>
      </c>
    </row>
    <row r="2784" spans="1:14" x14ac:dyDescent="0.25">
      <c r="A2784">
        <v>8507973</v>
      </c>
      <c r="B2784" t="s">
        <v>6195</v>
      </c>
      <c r="C2784" t="s">
        <v>94</v>
      </c>
      <c r="D2784" t="s">
        <v>86</v>
      </c>
      <c r="E2784" t="s">
        <v>87</v>
      </c>
      <c r="F2784" t="s">
        <v>6190</v>
      </c>
      <c r="G2784">
        <v>5766</v>
      </c>
      <c r="H2784" t="s">
        <v>6190</v>
      </c>
      <c r="I2784" t="s">
        <v>96</v>
      </c>
      <c r="K2784">
        <v>2532119</v>
      </c>
      <c r="L2784">
        <v>1184448</v>
      </c>
      <c r="M2784">
        <v>590</v>
      </c>
      <c r="N2784" t="s">
        <v>6196</v>
      </c>
    </row>
    <row r="2785" spans="1:14" x14ac:dyDescent="0.25">
      <c r="A2785">
        <v>8504294</v>
      </c>
      <c r="B2785" t="s">
        <v>6190</v>
      </c>
      <c r="C2785" t="s">
        <v>338</v>
      </c>
      <c r="D2785" t="s">
        <v>112</v>
      </c>
      <c r="E2785" t="s">
        <v>87</v>
      </c>
      <c r="F2785" t="s">
        <v>6190</v>
      </c>
      <c r="G2785">
        <v>5766</v>
      </c>
      <c r="H2785" t="s">
        <v>6190</v>
      </c>
      <c r="I2785" t="s">
        <v>372</v>
      </c>
      <c r="K2785">
        <v>2532453.1614000001</v>
      </c>
      <c r="L2785">
        <v>1184004.4791999999</v>
      </c>
      <c r="M2785">
        <v>589.6</v>
      </c>
      <c r="N2785" t="s">
        <v>6197</v>
      </c>
    </row>
    <row r="2786" spans="1:14" x14ac:dyDescent="0.25">
      <c r="A2786">
        <v>8504164</v>
      </c>
      <c r="B2786" t="s">
        <v>6198</v>
      </c>
      <c r="C2786" t="s">
        <v>94</v>
      </c>
      <c r="D2786" t="s">
        <v>86</v>
      </c>
      <c r="E2786" t="s">
        <v>87</v>
      </c>
      <c r="F2786" t="s">
        <v>6199</v>
      </c>
      <c r="G2786">
        <v>5803</v>
      </c>
      <c r="H2786" t="s">
        <v>6199</v>
      </c>
      <c r="I2786" t="s">
        <v>96</v>
      </c>
      <c r="K2786">
        <v>2549527</v>
      </c>
      <c r="L2786">
        <v>1162846</v>
      </c>
      <c r="M2786">
        <v>689</v>
      </c>
      <c r="N2786" t="s">
        <v>6200</v>
      </c>
    </row>
    <row r="2787" spans="1:14" x14ac:dyDescent="0.25">
      <c r="A2787">
        <v>8557059</v>
      </c>
      <c r="B2787" t="s">
        <v>6201</v>
      </c>
      <c r="C2787" t="s">
        <v>94</v>
      </c>
      <c r="D2787" t="s">
        <v>86</v>
      </c>
      <c r="E2787" t="s">
        <v>87</v>
      </c>
      <c r="F2787" t="s">
        <v>6199</v>
      </c>
      <c r="G2787">
        <v>5803</v>
      </c>
      <c r="H2787" t="s">
        <v>6199</v>
      </c>
      <c r="I2787" t="s">
        <v>96</v>
      </c>
      <c r="K2787">
        <v>2550382</v>
      </c>
      <c r="L2787">
        <v>1162925</v>
      </c>
      <c r="M2787">
        <v>711</v>
      </c>
      <c r="N2787" t="s">
        <v>6202</v>
      </c>
    </row>
    <row r="2788" spans="1:14" x14ac:dyDescent="0.25">
      <c r="A2788">
        <v>8557060</v>
      </c>
      <c r="B2788" t="s">
        <v>6203</v>
      </c>
      <c r="C2788" t="s">
        <v>94</v>
      </c>
      <c r="D2788" t="s">
        <v>86</v>
      </c>
      <c r="E2788" t="s">
        <v>87</v>
      </c>
      <c r="F2788" t="s">
        <v>6199</v>
      </c>
      <c r="G2788">
        <v>5803</v>
      </c>
      <c r="H2788" t="s">
        <v>6199</v>
      </c>
      <c r="I2788" t="s">
        <v>96</v>
      </c>
      <c r="K2788">
        <v>2550481</v>
      </c>
      <c r="L2788">
        <v>1163644</v>
      </c>
      <c r="M2788">
        <v>704</v>
      </c>
      <c r="N2788" t="s">
        <v>6204</v>
      </c>
    </row>
    <row r="2789" spans="1:14" x14ac:dyDescent="0.25">
      <c r="A2789">
        <v>8501269</v>
      </c>
      <c r="B2789" t="s">
        <v>6205</v>
      </c>
      <c r="C2789" t="s">
        <v>85</v>
      </c>
      <c r="D2789" t="s">
        <v>86</v>
      </c>
      <c r="E2789" t="s">
        <v>87</v>
      </c>
      <c r="F2789" t="s">
        <v>6206</v>
      </c>
      <c r="G2789">
        <v>5654</v>
      </c>
      <c r="H2789" t="s">
        <v>6206</v>
      </c>
      <c r="I2789" t="s">
        <v>89</v>
      </c>
      <c r="K2789">
        <v>2526643.4035700001</v>
      </c>
      <c r="L2789">
        <v>1158382.40169</v>
      </c>
      <c r="M2789">
        <v>528.1</v>
      </c>
      <c r="N2789" t="s">
        <v>6207</v>
      </c>
    </row>
    <row r="2790" spans="1:14" x14ac:dyDescent="0.25">
      <c r="A2790">
        <v>8510538</v>
      </c>
      <c r="B2790" t="s">
        <v>6208</v>
      </c>
      <c r="C2790" t="s">
        <v>353</v>
      </c>
      <c r="D2790" t="s">
        <v>86</v>
      </c>
      <c r="E2790" t="s">
        <v>87</v>
      </c>
      <c r="F2790" t="s">
        <v>6206</v>
      </c>
      <c r="G2790">
        <v>5654</v>
      </c>
      <c r="H2790" t="s">
        <v>6206</v>
      </c>
      <c r="I2790" t="s">
        <v>354</v>
      </c>
      <c r="K2790">
        <v>2526709.7024900001</v>
      </c>
      <c r="L2790">
        <v>1158498.64108</v>
      </c>
      <c r="M2790">
        <v>527</v>
      </c>
      <c r="N2790" t="s">
        <v>6209</v>
      </c>
    </row>
    <row r="2791" spans="1:14" x14ac:dyDescent="0.25">
      <c r="A2791">
        <v>8504892</v>
      </c>
      <c r="B2791" t="s">
        <v>6210</v>
      </c>
      <c r="C2791" t="s">
        <v>297</v>
      </c>
      <c r="D2791" t="s">
        <v>86</v>
      </c>
      <c r="E2791" t="s">
        <v>87</v>
      </c>
      <c r="F2791" t="s">
        <v>6211</v>
      </c>
      <c r="G2791">
        <v>5464</v>
      </c>
      <c r="H2791" t="s">
        <v>6212</v>
      </c>
      <c r="I2791" t="s">
        <v>298</v>
      </c>
      <c r="K2791">
        <v>2571273.0764000001</v>
      </c>
      <c r="L2791">
        <v>1199312.1107600001</v>
      </c>
      <c r="M2791">
        <v>485.2</v>
      </c>
      <c r="N2791" t="s">
        <v>6213</v>
      </c>
    </row>
    <row r="2792" spans="1:14" x14ac:dyDescent="0.25">
      <c r="A2792">
        <v>8580758</v>
      </c>
      <c r="B2792" t="s">
        <v>6214</v>
      </c>
      <c r="C2792" t="s">
        <v>94</v>
      </c>
      <c r="D2792" t="s">
        <v>86</v>
      </c>
      <c r="E2792" t="s">
        <v>87</v>
      </c>
      <c r="F2792" t="s">
        <v>6211</v>
      </c>
      <c r="G2792">
        <v>5464</v>
      </c>
      <c r="H2792" t="s">
        <v>6215</v>
      </c>
      <c r="I2792" t="s">
        <v>96</v>
      </c>
      <c r="K2792">
        <v>2568720</v>
      </c>
      <c r="L2792">
        <v>1195997</v>
      </c>
      <c r="M2792">
        <v>430</v>
      </c>
      <c r="N2792" t="s">
        <v>6216</v>
      </c>
    </row>
    <row r="2793" spans="1:14" x14ac:dyDescent="0.25">
      <c r="A2793">
        <v>8511230</v>
      </c>
      <c r="B2793" t="s">
        <v>6217</v>
      </c>
      <c r="C2793" t="s">
        <v>94</v>
      </c>
      <c r="D2793" t="s">
        <v>86</v>
      </c>
      <c r="E2793" t="s">
        <v>87</v>
      </c>
      <c r="F2793" t="s">
        <v>6211</v>
      </c>
      <c r="G2793">
        <v>5464</v>
      </c>
      <c r="H2793" t="s">
        <v>6218</v>
      </c>
      <c r="I2793" t="s">
        <v>96</v>
      </c>
      <c r="K2793">
        <v>2569540.1835599998</v>
      </c>
      <c r="L2793">
        <v>1198155.10115</v>
      </c>
      <c r="M2793">
        <v>519</v>
      </c>
      <c r="N2793" t="s">
        <v>6219</v>
      </c>
    </row>
    <row r="2794" spans="1:14" x14ac:dyDescent="0.25">
      <c r="A2794">
        <v>8579745</v>
      </c>
      <c r="B2794" t="s">
        <v>6220</v>
      </c>
      <c r="C2794" t="s">
        <v>94</v>
      </c>
      <c r="D2794" t="s">
        <v>86</v>
      </c>
      <c r="E2794" t="s">
        <v>87</v>
      </c>
      <c r="F2794" t="s">
        <v>6211</v>
      </c>
      <c r="G2794">
        <v>5464</v>
      </c>
      <c r="H2794" t="s">
        <v>6221</v>
      </c>
      <c r="I2794" t="s">
        <v>96</v>
      </c>
      <c r="K2794">
        <v>2568222</v>
      </c>
      <c r="L2794">
        <v>1196666</v>
      </c>
      <c r="M2794">
        <v>484</v>
      </c>
      <c r="N2794" t="s">
        <v>6222</v>
      </c>
    </row>
    <row r="2795" spans="1:14" x14ac:dyDescent="0.25">
      <c r="A2795">
        <v>8583725</v>
      </c>
      <c r="B2795" t="s">
        <v>6223</v>
      </c>
      <c r="C2795" t="s">
        <v>94</v>
      </c>
      <c r="D2795" t="s">
        <v>86</v>
      </c>
      <c r="E2795" t="s">
        <v>87</v>
      </c>
      <c r="F2795" t="s">
        <v>6211</v>
      </c>
      <c r="G2795">
        <v>5464</v>
      </c>
      <c r="H2795" t="s">
        <v>6218</v>
      </c>
      <c r="I2795" t="s">
        <v>96</v>
      </c>
      <c r="K2795">
        <v>2570000</v>
      </c>
      <c r="L2795">
        <v>1197776</v>
      </c>
      <c r="M2795">
        <v>434</v>
      </c>
      <c r="N2795" t="s">
        <v>6224</v>
      </c>
    </row>
    <row r="2796" spans="1:14" x14ac:dyDescent="0.25">
      <c r="A2796">
        <v>8570519</v>
      </c>
      <c r="B2796" t="s">
        <v>6225</v>
      </c>
      <c r="C2796" t="s">
        <v>94</v>
      </c>
      <c r="D2796" t="s">
        <v>86</v>
      </c>
      <c r="E2796" t="s">
        <v>87</v>
      </c>
      <c r="F2796" t="s">
        <v>6211</v>
      </c>
      <c r="G2796">
        <v>5464</v>
      </c>
      <c r="H2796" t="s">
        <v>6226</v>
      </c>
      <c r="I2796" t="s">
        <v>96</v>
      </c>
      <c r="K2796">
        <v>2567527</v>
      </c>
      <c r="L2796">
        <v>1196411</v>
      </c>
      <c r="M2796">
        <v>502</v>
      </c>
      <c r="N2796" t="s">
        <v>6227</v>
      </c>
    </row>
    <row r="2797" spans="1:14" x14ac:dyDescent="0.25">
      <c r="A2797">
        <v>8570517</v>
      </c>
      <c r="B2797" t="s">
        <v>6228</v>
      </c>
      <c r="C2797" t="s">
        <v>94</v>
      </c>
      <c r="D2797" t="s">
        <v>86</v>
      </c>
      <c r="E2797" t="s">
        <v>87</v>
      </c>
      <c r="F2797" t="s">
        <v>6211</v>
      </c>
      <c r="G2797">
        <v>5464</v>
      </c>
      <c r="H2797" t="s">
        <v>6229</v>
      </c>
      <c r="I2797" t="s">
        <v>96</v>
      </c>
      <c r="K2797">
        <v>2565857</v>
      </c>
      <c r="L2797">
        <v>1195072</v>
      </c>
      <c r="M2797">
        <v>473</v>
      </c>
      <c r="N2797" t="s">
        <v>6230</v>
      </c>
    </row>
    <row r="2798" spans="1:14" x14ac:dyDescent="0.25">
      <c r="A2798">
        <v>8570524</v>
      </c>
      <c r="B2798" t="s">
        <v>6231</v>
      </c>
      <c r="C2798" t="s">
        <v>94</v>
      </c>
      <c r="D2798" t="s">
        <v>86</v>
      </c>
      <c r="E2798" t="s">
        <v>87</v>
      </c>
      <c r="F2798" t="s">
        <v>6211</v>
      </c>
      <c r="G2798">
        <v>5464</v>
      </c>
      <c r="H2798" t="s">
        <v>6232</v>
      </c>
      <c r="I2798" t="s">
        <v>96</v>
      </c>
      <c r="K2798">
        <v>2568369</v>
      </c>
      <c r="L2798">
        <v>1197123</v>
      </c>
      <c r="M2798">
        <v>533</v>
      </c>
      <c r="N2798" t="s">
        <v>6233</v>
      </c>
    </row>
    <row r="2799" spans="1:14" x14ac:dyDescent="0.25">
      <c r="A2799">
        <v>8570522</v>
      </c>
      <c r="B2799" t="s">
        <v>6234</v>
      </c>
      <c r="C2799" t="s">
        <v>94</v>
      </c>
      <c r="D2799" t="s">
        <v>86</v>
      </c>
      <c r="E2799" t="s">
        <v>87</v>
      </c>
      <c r="F2799" t="s">
        <v>6211</v>
      </c>
      <c r="G2799">
        <v>5464</v>
      </c>
      <c r="H2799" t="s">
        <v>6218</v>
      </c>
      <c r="I2799" t="s">
        <v>96</v>
      </c>
      <c r="K2799">
        <v>2569200</v>
      </c>
      <c r="L2799">
        <v>1197132</v>
      </c>
      <c r="M2799">
        <v>434</v>
      </c>
      <c r="N2799" t="s">
        <v>6235</v>
      </c>
    </row>
    <row r="2800" spans="1:14" x14ac:dyDescent="0.25">
      <c r="A2800">
        <v>8570523</v>
      </c>
      <c r="B2800" t="s">
        <v>6236</v>
      </c>
      <c r="C2800" t="s">
        <v>94</v>
      </c>
      <c r="D2800" t="s">
        <v>86</v>
      </c>
      <c r="E2800" t="s">
        <v>87</v>
      </c>
      <c r="F2800" t="s">
        <v>6211</v>
      </c>
      <c r="G2800">
        <v>5464</v>
      </c>
      <c r="H2800" t="s">
        <v>6218</v>
      </c>
      <c r="I2800" t="s">
        <v>96</v>
      </c>
      <c r="K2800">
        <v>2569579</v>
      </c>
      <c r="L2800">
        <v>1197938</v>
      </c>
      <c r="M2800">
        <v>516</v>
      </c>
      <c r="N2800" t="s">
        <v>6237</v>
      </c>
    </row>
    <row r="2801" spans="1:14" x14ac:dyDescent="0.25">
      <c r="A2801">
        <v>8570526</v>
      </c>
      <c r="B2801" t="s">
        <v>6238</v>
      </c>
      <c r="C2801" t="s">
        <v>94</v>
      </c>
      <c r="D2801" t="s">
        <v>86</v>
      </c>
      <c r="E2801" t="s">
        <v>87</v>
      </c>
      <c r="F2801" t="s">
        <v>6211</v>
      </c>
      <c r="G2801">
        <v>5464</v>
      </c>
      <c r="H2801" t="s">
        <v>6239</v>
      </c>
      <c r="I2801" t="s">
        <v>96</v>
      </c>
      <c r="K2801">
        <v>2565135</v>
      </c>
      <c r="L2801">
        <v>1197368</v>
      </c>
      <c r="M2801">
        <v>497</v>
      </c>
      <c r="N2801" t="s">
        <v>6240</v>
      </c>
    </row>
    <row r="2802" spans="1:14" x14ac:dyDescent="0.25">
      <c r="A2802">
        <v>8570525</v>
      </c>
      <c r="B2802" t="s">
        <v>6241</v>
      </c>
      <c r="C2802" t="s">
        <v>94</v>
      </c>
      <c r="D2802" t="s">
        <v>86</v>
      </c>
      <c r="E2802" t="s">
        <v>87</v>
      </c>
      <c r="F2802" t="s">
        <v>6211</v>
      </c>
      <c r="G2802">
        <v>5464</v>
      </c>
      <c r="H2802" t="s">
        <v>6242</v>
      </c>
      <c r="I2802" t="s">
        <v>96</v>
      </c>
      <c r="K2802">
        <v>2567433</v>
      </c>
      <c r="L2802">
        <v>1197352</v>
      </c>
      <c r="M2802">
        <v>565</v>
      </c>
      <c r="N2802" t="s">
        <v>6243</v>
      </c>
    </row>
    <row r="2803" spans="1:14" x14ac:dyDescent="0.25">
      <c r="A2803">
        <v>8504575</v>
      </c>
      <c r="B2803" t="s">
        <v>6218</v>
      </c>
      <c r="C2803" t="s">
        <v>301</v>
      </c>
      <c r="D2803" t="s">
        <v>302</v>
      </c>
      <c r="E2803" t="s">
        <v>87</v>
      </c>
      <c r="F2803" t="s">
        <v>6211</v>
      </c>
      <c r="G2803">
        <v>5464</v>
      </c>
      <c r="H2803" t="s">
        <v>6218</v>
      </c>
      <c r="I2803" t="s">
        <v>303</v>
      </c>
      <c r="K2803">
        <v>2569445.67594</v>
      </c>
      <c r="L2803">
        <v>1197118.3787</v>
      </c>
      <c r="M2803">
        <v>431</v>
      </c>
      <c r="N2803" t="s">
        <v>6244</v>
      </c>
    </row>
    <row r="2804" spans="1:14" x14ac:dyDescent="0.25">
      <c r="A2804">
        <v>8570511</v>
      </c>
      <c r="B2804" t="s">
        <v>6245</v>
      </c>
      <c r="C2804" t="s">
        <v>297</v>
      </c>
      <c r="D2804" t="s">
        <v>86</v>
      </c>
      <c r="E2804" t="s">
        <v>87</v>
      </c>
      <c r="F2804" t="s">
        <v>6211</v>
      </c>
      <c r="G2804">
        <v>5464</v>
      </c>
      <c r="H2804" t="s">
        <v>6212</v>
      </c>
      <c r="I2804" t="s">
        <v>298</v>
      </c>
      <c r="K2804">
        <v>2570975.5914599998</v>
      </c>
      <c r="L2804">
        <v>1198709.80963</v>
      </c>
      <c r="M2804">
        <v>440.8</v>
      </c>
      <c r="N2804" t="s">
        <v>6246</v>
      </c>
    </row>
    <row r="2805" spans="1:14" x14ac:dyDescent="0.25">
      <c r="A2805">
        <v>8570521</v>
      </c>
      <c r="B2805" t="s">
        <v>6247</v>
      </c>
      <c r="C2805" t="s">
        <v>94</v>
      </c>
      <c r="D2805" t="s">
        <v>86</v>
      </c>
      <c r="E2805" t="s">
        <v>87</v>
      </c>
      <c r="F2805" t="s">
        <v>6211</v>
      </c>
      <c r="G2805">
        <v>5464</v>
      </c>
      <c r="H2805" t="s">
        <v>6215</v>
      </c>
      <c r="I2805" t="s">
        <v>96</v>
      </c>
      <c r="K2805">
        <v>2568309</v>
      </c>
      <c r="L2805">
        <v>1196359</v>
      </c>
      <c r="M2805">
        <v>435</v>
      </c>
      <c r="N2805" t="s">
        <v>6248</v>
      </c>
    </row>
    <row r="2806" spans="1:14" x14ac:dyDescent="0.25">
      <c r="A2806">
        <v>8510998</v>
      </c>
      <c r="B2806" t="s">
        <v>6249</v>
      </c>
      <c r="C2806" t="s">
        <v>353</v>
      </c>
      <c r="D2806" t="s">
        <v>86</v>
      </c>
      <c r="E2806" t="s">
        <v>87</v>
      </c>
      <c r="F2806" t="s">
        <v>6250</v>
      </c>
      <c r="G2806">
        <v>5655</v>
      </c>
      <c r="H2806" t="s">
        <v>6250</v>
      </c>
      <c r="I2806" t="s">
        <v>354</v>
      </c>
      <c r="K2806">
        <v>2522512.6600500001</v>
      </c>
      <c r="L2806">
        <v>1152460.82809</v>
      </c>
      <c r="M2806">
        <v>516</v>
      </c>
      <c r="N2806" t="s">
        <v>6251</v>
      </c>
    </row>
    <row r="2807" spans="1:14" x14ac:dyDescent="0.25">
      <c r="A2807">
        <v>8501093</v>
      </c>
      <c r="B2807" t="s">
        <v>6250</v>
      </c>
      <c r="C2807" t="s">
        <v>353</v>
      </c>
      <c r="D2807" t="s">
        <v>112</v>
      </c>
      <c r="E2807" t="s">
        <v>87</v>
      </c>
      <c r="F2807" t="s">
        <v>6250</v>
      </c>
      <c r="G2807">
        <v>5655</v>
      </c>
      <c r="H2807" t="s">
        <v>6250</v>
      </c>
      <c r="I2807" t="s">
        <v>354</v>
      </c>
      <c r="K2807">
        <v>2522396.2310000001</v>
      </c>
      <c r="L2807">
        <v>1152574.564</v>
      </c>
      <c r="M2807">
        <v>523.5</v>
      </c>
      <c r="N2807" t="s">
        <v>6252</v>
      </c>
    </row>
    <row r="2808" spans="1:14" x14ac:dyDescent="0.25">
      <c r="A2808">
        <v>8511467</v>
      </c>
      <c r="B2808" t="s">
        <v>6253</v>
      </c>
      <c r="C2808" t="s">
        <v>94</v>
      </c>
      <c r="D2808" t="s">
        <v>86</v>
      </c>
      <c r="E2808" t="s">
        <v>87</v>
      </c>
      <c r="F2808" t="s">
        <v>6250</v>
      </c>
      <c r="G2808">
        <v>5655</v>
      </c>
      <c r="H2808" t="s">
        <v>6250</v>
      </c>
      <c r="I2808" t="s">
        <v>96</v>
      </c>
      <c r="K2808">
        <v>2521769.5426099999</v>
      </c>
      <c r="L2808">
        <v>1152447.8332700001</v>
      </c>
      <c r="M2808">
        <v>564</v>
      </c>
      <c r="N2808" t="s">
        <v>6254</v>
      </c>
    </row>
    <row r="2809" spans="1:14" x14ac:dyDescent="0.25">
      <c r="A2809">
        <v>8511466</v>
      </c>
      <c r="B2809" t="s">
        <v>6255</v>
      </c>
      <c r="C2809" t="s">
        <v>94</v>
      </c>
      <c r="D2809" t="s">
        <v>86</v>
      </c>
      <c r="E2809" t="s">
        <v>87</v>
      </c>
      <c r="F2809" t="s">
        <v>6250</v>
      </c>
      <c r="G2809">
        <v>5655</v>
      </c>
      <c r="H2809" t="s">
        <v>6250</v>
      </c>
      <c r="I2809" t="s">
        <v>96</v>
      </c>
      <c r="K2809">
        <v>2522392.19435</v>
      </c>
      <c r="L2809">
        <v>1152559.0526999999</v>
      </c>
      <c r="M2809">
        <v>524</v>
      </c>
      <c r="N2809" t="s">
        <v>6256</v>
      </c>
    </row>
    <row r="2810" spans="1:14" x14ac:dyDescent="0.25">
      <c r="A2810">
        <v>8511680</v>
      </c>
      <c r="B2810" t="s">
        <v>6257</v>
      </c>
      <c r="C2810" t="s">
        <v>94</v>
      </c>
      <c r="D2810" t="s">
        <v>86</v>
      </c>
      <c r="E2810" t="s">
        <v>87</v>
      </c>
      <c r="F2810" t="s">
        <v>6250</v>
      </c>
      <c r="G2810">
        <v>5655</v>
      </c>
      <c r="H2810" t="s">
        <v>6250</v>
      </c>
      <c r="I2810" t="s">
        <v>96</v>
      </c>
      <c r="K2810">
        <v>2521637.6685199998</v>
      </c>
      <c r="L2810">
        <v>1151707.0151500001</v>
      </c>
      <c r="M2810">
        <v>500.5</v>
      </c>
      <c r="N2810" t="s">
        <v>6258</v>
      </c>
    </row>
    <row r="2811" spans="1:14" x14ac:dyDescent="0.25">
      <c r="A2811">
        <v>8504200</v>
      </c>
      <c r="B2811" t="s">
        <v>6259</v>
      </c>
      <c r="C2811" t="s">
        <v>132</v>
      </c>
      <c r="D2811" t="s">
        <v>112</v>
      </c>
      <c r="E2811" t="s">
        <v>87</v>
      </c>
      <c r="F2811" t="s">
        <v>6259</v>
      </c>
      <c r="G2811">
        <v>5938</v>
      </c>
      <c r="H2811" t="s">
        <v>6259</v>
      </c>
      <c r="I2811" t="s">
        <v>133</v>
      </c>
      <c r="K2811">
        <v>2539084.2579999999</v>
      </c>
      <c r="L2811">
        <v>1181463.254</v>
      </c>
      <c r="M2811">
        <v>434.37</v>
      </c>
      <c r="N2811" t="s">
        <v>6260</v>
      </c>
    </row>
    <row r="2812" spans="1:14" x14ac:dyDescent="0.25">
      <c r="A2812">
        <v>8580576</v>
      </c>
      <c r="B2812" t="s">
        <v>6261</v>
      </c>
      <c r="C2812" t="s">
        <v>94</v>
      </c>
      <c r="D2812" t="s">
        <v>86</v>
      </c>
      <c r="E2812" t="s">
        <v>87</v>
      </c>
      <c r="F2812" t="s">
        <v>6259</v>
      </c>
      <c r="G2812">
        <v>5938</v>
      </c>
      <c r="H2812" t="s">
        <v>6262</v>
      </c>
      <c r="I2812" t="s">
        <v>96</v>
      </c>
      <c r="K2812">
        <v>2539021</v>
      </c>
      <c r="L2812">
        <v>1178012</v>
      </c>
      <c r="M2812">
        <v>450</v>
      </c>
      <c r="N2812" t="s">
        <v>6263</v>
      </c>
    </row>
    <row r="2813" spans="1:14" x14ac:dyDescent="0.25">
      <c r="A2813">
        <v>8575840</v>
      </c>
      <c r="B2813" t="s">
        <v>6264</v>
      </c>
      <c r="C2813" t="s">
        <v>94</v>
      </c>
      <c r="D2813" t="s">
        <v>86</v>
      </c>
      <c r="E2813" t="s">
        <v>87</v>
      </c>
      <c r="F2813" t="s">
        <v>6259</v>
      </c>
      <c r="G2813">
        <v>5938</v>
      </c>
      <c r="H2813" t="s">
        <v>6259</v>
      </c>
      <c r="I2813" t="s">
        <v>96</v>
      </c>
      <c r="K2813">
        <v>2538772</v>
      </c>
      <c r="L2813">
        <v>1181530</v>
      </c>
      <c r="M2813">
        <v>432</v>
      </c>
      <c r="N2813" t="s">
        <v>6265</v>
      </c>
    </row>
    <row r="2814" spans="1:14" x14ac:dyDescent="0.25">
      <c r="A2814">
        <v>8579294</v>
      </c>
      <c r="B2814" t="s">
        <v>6266</v>
      </c>
      <c r="C2814" t="s">
        <v>338</v>
      </c>
      <c r="D2814" t="s">
        <v>86</v>
      </c>
      <c r="E2814" t="s">
        <v>87</v>
      </c>
      <c r="F2814" t="s">
        <v>6259</v>
      </c>
      <c r="G2814">
        <v>5938</v>
      </c>
      <c r="H2814" t="s">
        <v>6259</v>
      </c>
      <c r="I2814" t="s">
        <v>340</v>
      </c>
      <c r="K2814">
        <v>2538779</v>
      </c>
      <c r="L2814">
        <v>1181358.0009999999</v>
      </c>
      <c r="M2814">
        <v>434</v>
      </c>
      <c r="N2814" t="s">
        <v>6267</v>
      </c>
    </row>
    <row r="2815" spans="1:14" x14ac:dyDescent="0.25">
      <c r="A2815">
        <v>8579298</v>
      </c>
      <c r="B2815" t="s">
        <v>6268</v>
      </c>
      <c r="C2815" t="s">
        <v>338</v>
      </c>
      <c r="D2815" t="s">
        <v>86</v>
      </c>
      <c r="E2815" t="s">
        <v>87</v>
      </c>
      <c r="F2815" t="s">
        <v>6259</v>
      </c>
      <c r="G2815">
        <v>5938</v>
      </c>
      <c r="H2815" t="s">
        <v>6259</v>
      </c>
      <c r="I2815" t="s">
        <v>340</v>
      </c>
      <c r="K2815">
        <v>2537266.88533</v>
      </c>
      <c r="L2815">
        <v>1181100.9024100001</v>
      </c>
      <c r="M2815">
        <v>436</v>
      </c>
      <c r="N2815" t="s">
        <v>6269</v>
      </c>
    </row>
    <row r="2816" spans="1:14" x14ac:dyDescent="0.25">
      <c r="A2816">
        <v>8512246</v>
      </c>
      <c r="B2816" t="s">
        <v>6270</v>
      </c>
      <c r="C2816" t="s">
        <v>132</v>
      </c>
      <c r="E2816" t="s">
        <v>87</v>
      </c>
      <c r="F2816" t="s">
        <v>6259</v>
      </c>
      <c r="G2816">
        <v>5938</v>
      </c>
      <c r="H2816" t="s">
        <v>6259</v>
      </c>
      <c r="I2816" t="s">
        <v>133</v>
      </c>
      <c r="K2816">
        <v>2539274.6</v>
      </c>
      <c r="L2816">
        <v>1179915.5</v>
      </c>
      <c r="M2816">
        <v>437.6</v>
      </c>
      <c r="N2816" t="s">
        <v>6271</v>
      </c>
    </row>
    <row r="2817" spans="1:14" x14ac:dyDescent="0.25">
      <c r="A2817">
        <v>8579295</v>
      </c>
      <c r="B2817" t="s">
        <v>6272</v>
      </c>
      <c r="C2817" t="s">
        <v>338</v>
      </c>
      <c r="D2817" t="s">
        <v>86</v>
      </c>
      <c r="E2817" t="s">
        <v>87</v>
      </c>
      <c r="F2817" t="s">
        <v>6259</v>
      </c>
      <c r="G2817">
        <v>5938</v>
      </c>
      <c r="H2817" t="s">
        <v>6259</v>
      </c>
      <c r="I2817" t="s">
        <v>340</v>
      </c>
      <c r="K2817">
        <v>2538354.9792900002</v>
      </c>
      <c r="L2817">
        <v>1180988.9597400001</v>
      </c>
      <c r="M2817">
        <v>432.2</v>
      </c>
      <c r="N2817" t="s">
        <v>6273</v>
      </c>
    </row>
    <row r="2818" spans="1:14" x14ac:dyDescent="0.25">
      <c r="A2818">
        <v>8594049</v>
      </c>
      <c r="B2818" t="s">
        <v>6274</v>
      </c>
      <c r="C2818" t="s">
        <v>338</v>
      </c>
      <c r="D2818" t="s">
        <v>86</v>
      </c>
      <c r="E2818" t="s">
        <v>87</v>
      </c>
      <c r="F2818" t="s">
        <v>6259</v>
      </c>
      <c r="G2818">
        <v>5938</v>
      </c>
      <c r="H2818" t="s">
        <v>6259</v>
      </c>
      <c r="I2818" t="s">
        <v>340</v>
      </c>
      <c r="K2818">
        <v>2538234.9359900001</v>
      </c>
      <c r="L2818">
        <v>1180434.21845</v>
      </c>
      <c r="M2818">
        <v>434</v>
      </c>
      <c r="N2818" t="s">
        <v>6275</v>
      </c>
    </row>
    <row r="2819" spans="1:14" x14ac:dyDescent="0.25">
      <c r="A2819">
        <v>8594055</v>
      </c>
      <c r="B2819" t="s">
        <v>6276</v>
      </c>
      <c r="C2819" t="s">
        <v>338</v>
      </c>
      <c r="D2819" t="s">
        <v>86</v>
      </c>
      <c r="E2819" t="s">
        <v>87</v>
      </c>
      <c r="F2819" t="s">
        <v>6259</v>
      </c>
      <c r="G2819">
        <v>5938</v>
      </c>
      <c r="H2819" t="s">
        <v>6259</v>
      </c>
      <c r="I2819" t="s">
        <v>340</v>
      </c>
      <c r="K2819">
        <v>2539732.0840599998</v>
      </c>
      <c r="L2819">
        <v>1180155.59855</v>
      </c>
      <c r="M2819">
        <v>438</v>
      </c>
      <c r="N2819" t="s">
        <v>6277</v>
      </c>
    </row>
    <row r="2820" spans="1:14" x14ac:dyDescent="0.25">
      <c r="A2820">
        <v>8594021</v>
      </c>
      <c r="B2820" t="s">
        <v>6278</v>
      </c>
      <c r="C2820" t="s">
        <v>338</v>
      </c>
      <c r="D2820" t="s">
        <v>86</v>
      </c>
      <c r="E2820" t="s">
        <v>87</v>
      </c>
      <c r="F2820" t="s">
        <v>6259</v>
      </c>
      <c r="G2820">
        <v>5938</v>
      </c>
      <c r="H2820" t="s">
        <v>6259</v>
      </c>
      <c r="I2820" t="s">
        <v>340</v>
      </c>
      <c r="K2820">
        <v>2539454</v>
      </c>
      <c r="L2820">
        <v>1180935.0009999999</v>
      </c>
      <c r="M2820">
        <v>435</v>
      </c>
      <c r="N2820" t="s">
        <v>6279</v>
      </c>
    </row>
    <row r="2821" spans="1:14" x14ac:dyDescent="0.25">
      <c r="A2821">
        <v>8594041</v>
      </c>
      <c r="B2821" t="s">
        <v>6280</v>
      </c>
      <c r="C2821" t="s">
        <v>338</v>
      </c>
      <c r="D2821" t="s">
        <v>86</v>
      </c>
      <c r="E2821" t="s">
        <v>87</v>
      </c>
      <c r="F2821" t="s">
        <v>6259</v>
      </c>
      <c r="G2821">
        <v>5938</v>
      </c>
      <c r="H2821" t="s">
        <v>6259</v>
      </c>
      <c r="I2821" t="s">
        <v>340</v>
      </c>
      <c r="K2821">
        <v>2540423</v>
      </c>
      <c r="L2821">
        <v>1180487</v>
      </c>
      <c r="M2821">
        <v>506</v>
      </c>
      <c r="N2821" t="s">
        <v>6281</v>
      </c>
    </row>
    <row r="2822" spans="1:14" x14ac:dyDescent="0.25">
      <c r="A2822">
        <v>8594031</v>
      </c>
      <c r="B2822" t="s">
        <v>6282</v>
      </c>
      <c r="C2822" t="s">
        <v>338</v>
      </c>
      <c r="D2822" t="s">
        <v>86</v>
      </c>
      <c r="E2822" t="s">
        <v>87</v>
      </c>
      <c r="F2822" t="s">
        <v>6259</v>
      </c>
      <c r="G2822">
        <v>5938</v>
      </c>
      <c r="H2822" t="s">
        <v>6259</v>
      </c>
      <c r="I2822" t="s">
        <v>340</v>
      </c>
      <c r="K2822">
        <v>2539171</v>
      </c>
      <c r="L2822">
        <v>1181196.0009999999</v>
      </c>
      <c r="M2822">
        <v>434</v>
      </c>
      <c r="N2822" t="s">
        <v>6283</v>
      </c>
    </row>
    <row r="2823" spans="1:14" x14ac:dyDescent="0.25">
      <c r="A2823">
        <v>8507265</v>
      </c>
      <c r="B2823" t="s">
        <v>6284</v>
      </c>
      <c r="C2823" t="s">
        <v>338</v>
      </c>
      <c r="D2823" t="s">
        <v>86</v>
      </c>
      <c r="E2823" t="s">
        <v>87</v>
      </c>
      <c r="F2823" t="s">
        <v>6259</v>
      </c>
      <c r="G2823">
        <v>5938</v>
      </c>
      <c r="H2823" t="s">
        <v>6259</v>
      </c>
      <c r="I2823" t="s">
        <v>340</v>
      </c>
      <c r="K2823">
        <v>2539336.6845300002</v>
      </c>
      <c r="L2823">
        <v>1181696.4205799999</v>
      </c>
      <c r="M2823">
        <v>432</v>
      </c>
      <c r="N2823" t="s">
        <v>6285</v>
      </c>
    </row>
    <row r="2824" spans="1:14" x14ac:dyDescent="0.25">
      <c r="A2824">
        <v>8507267</v>
      </c>
      <c r="B2824" t="s">
        <v>6286</v>
      </c>
      <c r="C2824" t="s">
        <v>338</v>
      </c>
      <c r="D2824" t="s">
        <v>86</v>
      </c>
      <c r="E2824" t="s">
        <v>87</v>
      </c>
      <c r="F2824" t="s">
        <v>6259</v>
      </c>
      <c r="G2824">
        <v>5938</v>
      </c>
      <c r="H2824" t="s">
        <v>6259</v>
      </c>
      <c r="I2824" t="s">
        <v>340</v>
      </c>
      <c r="K2824">
        <v>2538536.26235</v>
      </c>
      <c r="L2824">
        <v>1182246.18615</v>
      </c>
      <c r="M2824">
        <v>433</v>
      </c>
      <c r="N2824" t="s">
        <v>6287</v>
      </c>
    </row>
    <row r="2825" spans="1:14" x14ac:dyDescent="0.25">
      <c r="A2825">
        <v>8595068</v>
      </c>
      <c r="B2825" t="s">
        <v>6288</v>
      </c>
      <c r="C2825" t="s">
        <v>338</v>
      </c>
      <c r="D2825" t="s">
        <v>86</v>
      </c>
      <c r="E2825" t="s">
        <v>87</v>
      </c>
      <c r="F2825" t="s">
        <v>6259</v>
      </c>
      <c r="G2825">
        <v>5938</v>
      </c>
      <c r="H2825" t="s">
        <v>6259</v>
      </c>
      <c r="I2825" t="s">
        <v>340</v>
      </c>
      <c r="K2825">
        <v>2538442</v>
      </c>
      <c r="L2825">
        <v>1181229</v>
      </c>
      <c r="M2825">
        <v>434</v>
      </c>
      <c r="N2825" t="s">
        <v>6289</v>
      </c>
    </row>
    <row r="2826" spans="1:14" x14ac:dyDescent="0.25">
      <c r="A2826">
        <v>8507685</v>
      </c>
      <c r="B2826" t="s">
        <v>6290</v>
      </c>
      <c r="C2826" t="s">
        <v>94</v>
      </c>
      <c r="D2826" t="s">
        <v>86</v>
      </c>
      <c r="E2826" t="s">
        <v>87</v>
      </c>
      <c r="F2826" t="s">
        <v>6259</v>
      </c>
      <c r="G2826">
        <v>5938</v>
      </c>
      <c r="H2826" t="s">
        <v>6262</v>
      </c>
      <c r="I2826" t="s">
        <v>96</v>
      </c>
      <c r="K2826">
        <v>2538605</v>
      </c>
      <c r="L2826">
        <v>1177797</v>
      </c>
      <c r="M2826">
        <v>509</v>
      </c>
      <c r="N2826" t="s">
        <v>6291</v>
      </c>
    </row>
    <row r="2827" spans="1:14" x14ac:dyDescent="0.25">
      <c r="A2827">
        <v>8519346</v>
      </c>
      <c r="B2827" t="s">
        <v>6292</v>
      </c>
      <c r="C2827" t="s">
        <v>338</v>
      </c>
      <c r="E2827" t="s">
        <v>87</v>
      </c>
      <c r="F2827" t="s">
        <v>6259</v>
      </c>
      <c r="G2827">
        <v>5938</v>
      </c>
      <c r="H2827" t="s">
        <v>6259</v>
      </c>
      <c r="I2827" t="s">
        <v>372</v>
      </c>
      <c r="J2827" t="s">
        <v>130</v>
      </c>
      <c r="K2827">
        <v>2539079</v>
      </c>
      <c r="L2827">
        <v>1181460.0009999999</v>
      </c>
      <c r="M2827">
        <v>435</v>
      </c>
      <c r="N2827" t="s">
        <v>6293</v>
      </c>
    </row>
    <row r="2828" spans="1:14" x14ac:dyDescent="0.25">
      <c r="A2828">
        <v>8579760</v>
      </c>
      <c r="B2828" t="s">
        <v>6294</v>
      </c>
      <c r="C2828" t="s">
        <v>94</v>
      </c>
      <c r="D2828" t="s">
        <v>86</v>
      </c>
      <c r="E2828" t="s">
        <v>87</v>
      </c>
      <c r="F2828" t="s">
        <v>6259</v>
      </c>
      <c r="G2828">
        <v>5938</v>
      </c>
      <c r="H2828" t="s">
        <v>6259</v>
      </c>
      <c r="I2828" t="s">
        <v>96</v>
      </c>
      <c r="K2828">
        <v>2539219</v>
      </c>
      <c r="L2828">
        <v>1178860</v>
      </c>
      <c r="M2828">
        <v>440</v>
      </c>
      <c r="N2828" t="s">
        <v>6295</v>
      </c>
    </row>
    <row r="2829" spans="1:14" x14ac:dyDescent="0.25">
      <c r="A2829">
        <v>8515370</v>
      </c>
      <c r="B2829" t="s">
        <v>6296</v>
      </c>
      <c r="C2829" t="s">
        <v>132</v>
      </c>
      <c r="E2829" t="s">
        <v>87</v>
      </c>
      <c r="F2829" t="s">
        <v>6259</v>
      </c>
      <c r="G2829">
        <v>5938</v>
      </c>
      <c r="H2829" t="s">
        <v>6259</v>
      </c>
      <c r="I2829" t="s">
        <v>133</v>
      </c>
      <c r="J2829" t="s">
        <v>130</v>
      </c>
      <c r="K2829">
        <v>2539540.6039999998</v>
      </c>
      <c r="L2829">
        <v>1181301.5490000001</v>
      </c>
      <c r="M2829">
        <v>436.3</v>
      </c>
      <c r="N2829" t="s">
        <v>6297</v>
      </c>
    </row>
    <row r="2830" spans="1:14" x14ac:dyDescent="0.25">
      <c r="A2830">
        <v>8594051</v>
      </c>
      <c r="B2830" t="s">
        <v>6298</v>
      </c>
      <c r="C2830" t="s">
        <v>338</v>
      </c>
      <c r="D2830" t="s">
        <v>86</v>
      </c>
      <c r="E2830" t="s">
        <v>87</v>
      </c>
      <c r="F2830" t="s">
        <v>6259</v>
      </c>
      <c r="G2830">
        <v>5938</v>
      </c>
      <c r="H2830" t="s">
        <v>6259</v>
      </c>
      <c r="I2830" t="s">
        <v>340</v>
      </c>
      <c r="K2830">
        <v>2540741.72596</v>
      </c>
      <c r="L2830">
        <v>1181081.19184</v>
      </c>
      <c r="M2830">
        <v>467</v>
      </c>
      <c r="N2830" t="s">
        <v>6299</v>
      </c>
    </row>
    <row r="2831" spans="1:14" x14ac:dyDescent="0.25">
      <c r="A2831">
        <v>8594056</v>
      </c>
      <c r="B2831" t="s">
        <v>6300</v>
      </c>
      <c r="C2831" t="s">
        <v>338</v>
      </c>
      <c r="D2831" t="s">
        <v>86</v>
      </c>
      <c r="E2831" t="s">
        <v>87</v>
      </c>
      <c r="F2831" t="s">
        <v>6259</v>
      </c>
      <c r="G2831">
        <v>5938</v>
      </c>
      <c r="H2831" t="s">
        <v>6259</v>
      </c>
      <c r="I2831" t="s">
        <v>340</v>
      </c>
      <c r="K2831">
        <v>2539774</v>
      </c>
      <c r="L2831">
        <v>1181079</v>
      </c>
      <c r="M2831">
        <v>435</v>
      </c>
      <c r="N2831" t="s">
        <v>6301</v>
      </c>
    </row>
    <row r="2832" spans="1:14" x14ac:dyDescent="0.25">
      <c r="A2832">
        <v>8594018</v>
      </c>
      <c r="B2832" t="s">
        <v>6302</v>
      </c>
      <c r="C2832" t="s">
        <v>338</v>
      </c>
      <c r="D2832" t="s">
        <v>86</v>
      </c>
      <c r="E2832" t="s">
        <v>87</v>
      </c>
      <c r="F2832" t="s">
        <v>6259</v>
      </c>
      <c r="G2832">
        <v>5938</v>
      </c>
      <c r="H2832" t="s">
        <v>6259</v>
      </c>
      <c r="I2832" t="s">
        <v>340</v>
      </c>
      <c r="K2832">
        <v>2539582.3089700001</v>
      </c>
      <c r="L2832">
        <v>1180341.11142</v>
      </c>
      <c r="M2832">
        <v>435</v>
      </c>
      <c r="N2832" t="s">
        <v>6303</v>
      </c>
    </row>
    <row r="2833" spans="1:14" x14ac:dyDescent="0.25">
      <c r="A2833">
        <v>8594042</v>
      </c>
      <c r="B2833" t="s">
        <v>6304</v>
      </c>
      <c r="C2833" t="s">
        <v>338</v>
      </c>
      <c r="D2833" t="s">
        <v>86</v>
      </c>
      <c r="E2833" t="s">
        <v>87</v>
      </c>
      <c r="F2833" t="s">
        <v>6259</v>
      </c>
      <c r="G2833">
        <v>5938</v>
      </c>
      <c r="H2833" t="s">
        <v>6259</v>
      </c>
      <c r="I2833" t="s">
        <v>340</v>
      </c>
      <c r="J2833" t="s">
        <v>6305</v>
      </c>
      <c r="K2833">
        <v>2538872</v>
      </c>
      <c r="L2833">
        <v>1181920</v>
      </c>
      <c r="M2833">
        <v>433</v>
      </c>
      <c r="N2833" t="s">
        <v>6306</v>
      </c>
    </row>
    <row r="2834" spans="1:14" x14ac:dyDescent="0.25">
      <c r="A2834">
        <v>8594025</v>
      </c>
      <c r="B2834" t="s">
        <v>6307</v>
      </c>
      <c r="C2834" t="s">
        <v>338</v>
      </c>
      <c r="D2834" t="s">
        <v>86</v>
      </c>
      <c r="E2834" t="s">
        <v>87</v>
      </c>
      <c r="F2834" t="s">
        <v>6259</v>
      </c>
      <c r="G2834">
        <v>5938</v>
      </c>
      <c r="H2834" t="s">
        <v>6259</v>
      </c>
      <c r="I2834" t="s">
        <v>340</v>
      </c>
      <c r="K2834">
        <v>2540252.57785</v>
      </c>
      <c r="L2834">
        <v>1179848.02715</v>
      </c>
      <c r="M2834">
        <v>474</v>
      </c>
      <c r="N2834" t="s">
        <v>6308</v>
      </c>
    </row>
    <row r="2835" spans="1:14" x14ac:dyDescent="0.25">
      <c r="A2835">
        <v>8594046</v>
      </c>
      <c r="B2835" t="s">
        <v>6309</v>
      </c>
      <c r="C2835" t="s">
        <v>338</v>
      </c>
      <c r="D2835" t="s">
        <v>86</v>
      </c>
      <c r="E2835" t="s">
        <v>87</v>
      </c>
      <c r="F2835" t="s">
        <v>6259</v>
      </c>
      <c r="G2835">
        <v>5938</v>
      </c>
      <c r="H2835" t="s">
        <v>6259</v>
      </c>
      <c r="I2835" t="s">
        <v>340</v>
      </c>
      <c r="K2835">
        <v>2539274</v>
      </c>
      <c r="L2835">
        <v>1180402.0009999999</v>
      </c>
      <c r="M2835">
        <v>434</v>
      </c>
      <c r="N2835" t="s">
        <v>6310</v>
      </c>
    </row>
    <row r="2836" spans="1:14" x14ac:dyDescent="0.25">
      <c r="A2836">
        <v>8594029</v>
      </c>
      <c r="B2836" t="s">
        <v>6311</v>
      </c>
      <c r="C2836" t="s">
        <v>338</v>
      </c>
      <c r="D2836" t="s">
        <v>86</v>
      </c>
      <c r="E2836" t="s">
        <v>87</v>
      </c>
      <c r="F2836" t="s">
        <v>6259</v>
      </c>
      <c r="G2836">
        <v>5938</v>
      </c>
      <c r="H2836" t="s">
        <v>6259</v>
      </c>
      <c r="I2836" t="s">
        <v>340</v>
      </c>
      <c r="K2836">
        <v>2537941</v>
      </c>
      <c r="L2836">
        <v>1181425</v>
      </c>
      <c r="M2836">
        <v>434</v>
      </c>
      <c r="N2836" t="s">
        <v>6312</v>
      </c>
    </row>
    <row r="2837" spans="1:14" x14ac:dyDescent="0.25">
      <c r="A2837">
        <v>8594044</v>
      </c>
      <c r="B2837" t="s">
        <v>6313</v>
      </c>
      <c r="C2837" t="s">
        <v>338</v>
      </c>
      <c r="D2837" t="s">
        <v>86</v>
      </c>
      <c r="E2837" t="s">
        <v>87</v>
      </c>
      <c r="F2837" t="s">
        <v>6259</v>
      </c>
      <c r="G2837">
        <v>5938</v>
      </c>
      <c r="H2837" t="s">
        <v>6259</v>
      </c>
      <c r="I2837" t="s">
        <v>340</v>
      </c>
      <c r="K2837">
        <v>2539289</v>
      </c>
      <c r="L2837">
        <v>1180106</v>
      </c>
      <c r="M2837">
        <v>435</v>
      </c>
      <c r="N2837" t="s">
        <v>6314</v>
      </c>
    </row>
    <row r="2838" spans="1:14" x14ac:dyDescent="0.25">
      <c r="A2838">
        <v>8595161</v>
      </c>
      <c r="B2838" t="s">
        <v>6315</v>
      </c>
      <c r="C2838" t="s">
        <v>338</v>
      </c>
      <c r="D2838" t="s">
        <v>86</v>
      </c>
      <c r="E2838" t="s">
        <v>87</v>
      </c>
      <c r="F2838" t="s">
        <v>6259</v>
      </c>
      <c r="G2838">
        <v>5938</v>
      </c>
      <c r="H2838" t="s">
        <v>6259</v>
      </c>
      <c r="I2838" t="s">
        <v>340</v>
      </c>
      <c r="K2838">
        <v>2539427.7067900002</v>
      </c>
      <c r="L2838">
        <v>1179303.57223</v>
      </c>
      <c r="M2838">
        <v>438</v>
      </c>
      <c r="N2838" t="s">
        <v>6316</v>
      </c>
    </row>
    <row r="2839" spans="1:14" x14ac:dyDescent="0.25">
      <c r="A2839">
        <v>8595065</v>
      </c>
      <c r="B2839" t="s">
        <v>6317</v>
      </c>
      <c r="C2839" t="s">
        <v>338</v>
      </c>
      <c r="D2839" t="s">
        <v>86</v>
      </c>
      <c r="E2839" t="s">
        <v>87</v>
      </c>
      <c r="F2839" t="s">
        <v>6259</v>
      </c>
      <c r="G2839">
        <v>5938</v>
      </c>
      <c r="H2839" t="s">
        <v>6259</v>
      </c>
      <c r="I2839" t="s">
        <v>340</v>
      </c>
      <c r="K2839">
        <v>2539189</v>
      </c>
      <c r="L2839">
        <v>1179639</v>
      </c>
      <c r="M2839">
        <v>436</v>
      </c>
      <c r="N2839" t="s">
        <v>6318</v>
      </c>
    </row>
    <row r="2840" spans="1:14" x14ac:dyDescent="0.25">
      <c r="A2840">
        <v>8570290</v>
      </c>
      <c r="B2840" t="s">
        <v>6319</v>
      </c>
      <c r="C2840" t="s">
        <v>94</v>
      </c>
      <c r="D2840" t="s">
        <v>86</v>
      </c>
      <c r="E2840" t="s">
        <v>87</v>
      </c>
      <c r="F2840" t="s">
        <v>6259</v>
      </c>
      <c r="G2840">
        <v>5938</v>
      </c>
      <c r="H2840" t="s">
        <v>6259</v>
      </c>
      <c r="I2840" t="s">
        <v>96</v>
      </c>
      <c r="K2840">
        <v>2539843</v>
      </c>
      <c r="L2840">
        <v>1179764</v>
      </c>
      <c r="M2840">
        <v>439</v>
      </c>
      <c r="N2840" t="s">
        <v>6320</v>
      </c>
    </row>
    <row r="2841" spans="1:14" x14ac:dyDescent="0.25">
      <c r="A2841">
        <v>8570318</v>
      </c>
      <c r="B2841" t="s">
        <v>6321</v>
      </c>
      <c r="C2841" t="s">
        <v>338</v>
      </c>
      <c r="D2841" t="s">
        <v>86</v>
      </c>
      <c r="E2841" t="s">
        <v>87</v>
      </c>
      <c r="F2841" t="s">
        <v>6259</v>
      </c>
      <c r="G2841">
        <v>5938</v>
      </c>
      <c r="H2841" t="s">
        <v>6259</v>
      </c>
      <c r="I2841" t="s">
        <v>340</v>
      </c>
      <c r="K2841">
        <v>2540449</v>
      </c>
      <c r="L2841">
        <v>1181113.0009999999</v>
      </c>
      <c r="M2841">
        <v>444</v>
      </c>
      <c r="N2841" t="s">
        <v>6322</v>
      </c>
    </row>
    <row r="2842" spans="1:14" x14ac:dyDescent="0.25">
      <c r="A2842">
        <v>8507652</v>
      </c>
      <c r="B2842" t="s">
        <v>6323</v>
      </c>
      <c r="C2842" t="s">
        <v>94</v>
      </c>
      <c r="D2842" t="s">
        <v>86</v>
      </c>
      <c r="E2842" t="s">
        <v>87</v>
      </c>
      <c r="F2842" t="s">
        <v>6259</v>
      </c>
      <c r="G2842">
        <v>5938</v>
      </c>
      <c r="H2842" t="s">
        <v>6262</v>
      </c>
      <c r="I2842" t="s">
        <v>96</v>
      </c>
      <c r="K2842">
        <v>2538906</v>
      </c>
      <c r="L2842">
        <v>1178377</v>
      </c>
      <c r="M2842">
        <v>448</v>
      </c>
      <c r="N2842" t="s">
        <v>6324</v>
      </c>
    </row>
    <row r="2843" spans="1:14" x14ac:dyDescent="0.25">
      <c r="A2843">
        <v>8507659</v>
      </c>
      <c r="B2843" t="s">
        <v>6325</v>
      </c>
      <c r="C2843" t="s">
        <v>94</v>
      </c>
      <c r="D2843" t="s">
        <v>86</v>
      </c>
      <c r="E2843" t="s">
        <v>87</v>
      </c>
      <c r="F2843" t="s">
        <v>6259</v>
      </c>
      <c r="G2843">
        <v>5938</v>
      </c>
      <c r="H2843" t="s">
        <v>6259</v>
      </c>
      <c r="I2843" t="s">
        <v>96</v>
      </c>
      <c r="K2843">
        <v>2539981</v>
      </c>
      <c r="L2843">
        <v>1180090</v>
      </c>
      <c r="M2843">
        <v>446</v>
      </c>
      <c r="N2843" t="s">
        <v>6326</v>
      </c>
    </row>
    <row r="2844" spans="1:14" x14ac:dyDescent="0.25">
      <c r="A2844">
        <v>8570240</v>
      </c>
      <c r="B2844" t="s">
        <v>6327</v>
      </c>
      <c r="C2844" t="s">
        <v>94</v>
      </c>
      <c r="D2844" t="s">
        <v>86</v>
      </c>
      <c r="E2844" t="s">
        <v>87</v>
      </c>
      <c r="F2844" t="s">
        <v>6259</v>
      </c>
      <c r="G2844">
        <v>5938</v>
      </c>
      <c r="H2844" t="s">
        <v>6259</v>
      </c>
      <c r="I2844" t="s">
        <v>96</v>
      </c>
      <c r="K2844">
        <v>2538035</v>
      </c>
      <c r="L2844">
        <v>1181171</v>
      </c>
      <c r="M2844">
        <v>434</v>
      </c>
      <c r="N2844" t="s">
        <v>6328</v>
      </c>
    </row>
    <row r="2845" spans="1:14" x14ac:dyDescent="0.25">
      <c r="A2845">
        <v>8504144</v>
      </c>
      <c r="B2845" t="s">
        <v>6329</v>
      </c>
      <c r="C2845" t="s">
        <v>132</v>
      </c>
      <c r="E2845" t="s">
        <v>87</v>
      </c>
      <c r="F2845" t="s">
        <v>6259</v>
      </c>
      <c r="G2845">
        <v>5938</v>
      </c>
      <c r="H2845" t="s">
        <v>6259</v>
      </c>
      <c r="I2845" t="s">
        <v>133</v>
      </c>
      <c r="K2845">
        <v>2540717.2579999999</v>
      </c>
      <c r="L2845">
        <v>1181514.0360000001</v>
      </c>
      <c r="M2845">
        <v>433.54599999999999</v>
      </c>
      <c r="N2845" t="s">
        <v>6330</v>
      </c>
    </row>
    <row r="2846" spans="1:14" x14ac:dyDescent="0.25">
      <c r="A2846">
        <v>8594016</v>
      </c>
      <c r="B2846" t="s">
        <v>6331</v>
      </c>
      <c r="C2846" t="s">
        <v>338</v>
      </c>
      <c r="D2846" t="s">
        <v>86</v>
      </c>
      <c r="E2846" t="s">
        <v>87</v>
      </c>
      <c r="F2846" t="s">
        <v>6259</v>
      </c>
      <c r="G2846">
        <v>5938</v>
      </c>
      <c r="H2846" t="s">
        <v>6259</v>
      </c>
      <c r="I2846" t="s">
        <v>340</v>
      </c>
      <c r="K2846">
        <v>2538240.8313699998</v>
      </c>
      <c r="L2846">
        <v>1181603.0067199999</v>
      </c>
      <c r="M2846">
        <v>434</v>
      </c>
      <c r="N2846" t="s">
        <v>6332</v>
      </c>
    </row>
    <row r="2847" spans="1:14" x14ac:dyDescent="0.25">
      <c r="A2847">
        <v>8594023</v>
      </c>
      <c r="B2847" t="s">
        <v>6333</v>
      </c>
      <c r="C2847" t="s">
        <v>338</v>
      </c>
      <c r="D2847" t="s">
        <v>86</v>
      </c>
      <c r="E2847" t="s">
        <v>87</v>
      </c>
      <c r="F2847" t="s">
        <v>6259</v>
      </c>
      <c r="G2847">
        <v>5938</v>
      </c>
      <c r="H2847" t="s">
        <v>6259</v>
      </c>
      <c r="I2847" t="s">
        <v>340</v>
      </c>
      <c r="K2847">
        <v>2538703</v>
      </c>
      <c r="L2847">
        <v>1182179.0009999999</v>
      </c>
      <c r="M2847">
        <v>432</v>
      </c>
      <c r="N2847" t="s">
        <v>6334</v>
      </c>
    </row>
    <row r="2848" spans="1:14" x14ac:dyDescent="0.25">
      <c r="A2848">
        <v>8594022</v>
      </c>
      <c r="B2848" t="s">
        <v>6335</v>
      </c>
      <c r="C2848" t="s">
        <v>338</v>
      </c>
      <c r="D2848" t="s">
        <v>86</v>
      </c>
      <c r="E2848" t="s">
        <v>87</v>
      </c>
      <c r="F2848" t="s">
        <v>6259</v>
      </c>
      <c r="G2848">
        <v>5938</v>
      </c>
      <c r="H2848" t="s">
        <v>6259</v>
      </c>
      <c r="I2848" t="s">
        <v>340</v>
      </c>
      <c r="K2848">
        <v>2538584.36332</v>
      </c>
      <c r="L2848">
        <v>1182387.9200800001</v>
      </c>
      <c r="M2848">
        <v>432</v>
      </c>
      <c r="N2848" t="s">
        <v>6336</v>
      </c>
    </row>
    <row r="2849" spans="1:14" x14ac:dyDescent="0.25">
      <c r="A2849">
        <v>8594020</v>
      </c>
      <c r="B2849" t="s">
        <v>6337</v>
      </c>
      <c r="C2849" t="s">
        <v>338</v>
      </c>
      <c r="D2849" t="s">
        <v>86</v>
      </c>
      <c r="E2849" t="s">
        <v>87</v>
      </c>
      <c r="F2849" t="s">
        <v>6259</v>
      </c>
      <c r="G2849">
        <v>5938</v>
      </c>
      <c r="H2849" t="s">
        <v>6259</v>
      </c>
      <c r="I2849" t="s">
        <v>340</v>
      </c>
      <c r="K2849">
        <v>2540926.5975700002</v>
      </c>
      <c r="L2849">
        <v>1180835.19683</v>
      </c>
      <c r="M2849">
        <v>500</v>
      </c>
      <c r="N2849" t="s">
        <v>6338</v>
      </c>
    </row>
    <row r="2850" spans="1:14" x14ac:dyDescent="0.25">
      <c r="A2850">
        <v>8594027</v>
      </c>
      <c r="B2850" t="s">
        <v>6339</v>
      </c>
      <c r="C2850" t="s">
        <v>338</v>
      </c>
      <c r="D2850" t="s">
        <v>86</v>
      </c>
      <c r="E2850" t="s">
        <v>87</v>
      </c>
      <c r="F2850" t="s">
        <v>6259</v>
      </c>
      <c r="G2850">
        <v>5938</v>
      </c>
      <c r="H2850" t="s">
        <v>6259</v>
      </c>
      <c r="I2850" t="s">
        <v>340</v>
      </c>
      <c r="K2850">
        <v>2539394</v>
      </c>
      <c r="L2850">
        <v>1179780</v>
      </c>
      <c r="M2850">
        <v>436</v>
      </c>
      <c r="N2850" t="s">
        <v>6340</v>
      </c>
    </row>
    <row r="2851" spans="1:14" x14ac:dyDescent="0.25">
      <c r="A2851">
        <v>8594026</v>
      </c>
      <c r="B2851" t="s">
        <v>6341</v>
      </c>
      <c r="C2851" t="s">
        <v>338</v>
      </c>
      <c r="D2851" t="s">
        <v>86</v>
      </c>
      <c r="E2851" t="s">
        <v>87</v>
      </c>
      <c r="F2851" t="s">
        <v>6259</v>
      </c>
      <c r="G2851">
        <v>5938</v>
      </c>
      <c r="H2851" t="s">
        <v>6259</v>
      </c>
      <c r="I2851" t="s">
        <v>340</v>
      </c>
      <c r="K2851">
        <v>2538401</v>
      </c>
      <c r="L2851">
        <v>1180562.0009999999</v>
      </c>
      <c r="M2851">
        <v>434</v>
      </c>
      <c r="N2851" t="s">
        <v>6342</v>
      </c>
    </row>
    <row r="2852" spans="1:14" x14ac:dyDescent="0.25">
      <c r="A2852">
        <v>8594040</v>
      </c>
      <c r="B2852" t="s">
        <v>6343</v>
      </c>
      <c r="C2852" t="s">
        <v>338</v>
      </c>
      <c r="D2852" t="s">
        <v>86</v>
      </c>
      <c r="E2852" t="s">
        <v>87</v>
      </c>
      <c r="F2852" t="s">
        <v>6259</v>
      </c>
      <c r="G2852">
        <v>5938</v>
      </c>
      <c r="H2852" t="s">
        <v>6259</v>
      </c>
      <c r="I2852" t="s">
        <v>340</v>
      </c>
      <c r="K2852">
        <v>2539473</v>
      </c>
      <c r="L2852">
        <v>1180455</v>
      </c>
      <c r="M2852">
        <v>433</v>
      </c>
      <c r="N2852" t="s">
        <v>6344</v>
      </c>
    </row>
    <row r="2853" spans="1:14" x14ac:dyDescent="0.25">
      <c r="A2853">
        <v>8594038</v>
      </c>
      <c r="B2853" t="s">
        <v>6345</v>
      </c>
      <c r="C2853" t="s">
        <v>338</v>
      </c>
      <c r="D2853" t="s">
        <v>86</v>
      </c>
      <c r="E2853" t="s">
        <v>87</v>
      </c>
      <c r="F2853" t="s">
        <v>6259</v>
      </c>
      <c r="G2853">
        <v>5938</v>
      </c>
      <c r="H2853" t="s">
        <v>6259</v>
      </c>
      <c r="I2853" t="s">
        <v>340</v>
      </c>
      <c r="K2853">
        <v>2538706.5521900002</v>
      </c>
      <c r="L2853">
        <v>1182329.9121399999</v>
      </c>
      <c r="M2853">
        <v>432</v>
      </c>
      <c r="N2853" t="s">
        <v>6346</v>
      </c>
    </row>
    <row r="2854" spans="1:14" x14ac:dyDescent="0.25">
      <c r="A2854">
        <v>8595069</v>
      </c>
      <c r="B2854" t="s">
        <v>6347</v>
      </c>
      <c r="C2854" t="s">
        <v>338</v>
      </c>
      <c r="D2854" t="s">
        <v>86</v>
      </c>
      <c r="E2854" t="s">
        <v>87</v>
      </c>
      <c r="F2854" t="s">
        <v>6259</v>
      </c>
      <c r="G2854">
        <v>5938</v>
      </c>
      <c r="H2854" t="s">
        <v>6259</v>
      </c>
      <c r="I2854" t="s">
        <v>340</v>
      </c>
      <c r="K2854">
        <v>2538641</v>
      </c>
      <c r="L2854">
        <v>1181040</v>
      </c>
      <c r="M2854">
        <v>434</v>
      </c>
      <c r="N2854" t="s">
        <v>6348</v>
      </c>
    </row>
    <row r="2855" spans="1:14" x14ac:dyDescent="0.25">
      <c r="A2855">
        <v>8570250</v>
      </c>
      <c r="B2855" t="s">
        <v>6349</v>
      </c>
      <c r="C2855" t="s">
        <v>94</v>
      </c>
      <c r="D2855" t="s">
        <v>86</v>
      </c>
      <c r="E2855" t="s">
        <v>87</v>
      </c>
      <c r="F2855" t="s">
        <v>6259</v>
      </c>
      <c r="G2855">
        <v>5938</v>
      </c>
      <c r="H2855" t="s">
        <v>6259</v>
      </c>
      <c r="I2855" t="s">
        <v>96</v>
      </c>
      <c r="K2855">
        <v>2538146</v>
      </c>
      <c r="L2855">
        <v>1182513</v>
      </c>
      <c r="M2855">
        <v>435</v>
      </c>
      <c r="N2855" t="s">
        <v>6350</v>
      </c>
    </row>
    <row r="2856" spans="1:14" x14ac:dyDescent="0.25">
      <c r="A2856">
        <v>8570249</v>
      </c>
      <c r="B2856" t="s">
        <v>6351</v>
      </c>
      <c r="C2856" t="s">
        <v>94</v>
      </c>
      <c r="D2856" t="s">
        <v>86</v>
      </c>
      <c r="E2856" t="s">
        <v>87</v>
      </c>
      <c r="F2856" t="s">
        <v>6259</v>
      </c>
      <c r="G2856">
        <v>5938</v>
      </c>
      <c r="H2856" t="s">
        <v>6259</v>
      </c>
      <c r="I2856" t="s">
        <v>96</v>
      </c>
      <c r="K2856">
        <v>2538368</v>
      </c>
      <c r="L2856">
        <v>1182049</v>
      </c>
      <c r="M2856">
        <v>436</v>
      </c>
      <c r="N2856" t="s">
        <v>6352</v>
      </c>
    </row>
    <row r="2857" spans="1:14" x14ac:dyDescent="0.25">
      <c r="A2857">
        <v>8570289</v>
      </c>
      <c r="B2857" t="s">
        <v>6353</v>
      </c>
      <c r="C2857" t="s">
        <v>94</v>
      </c>
      <c r="D2857" t="s">
        <v>86</v>
      </c>
      <c r="E2857" t="s">
        <v>87</v>
      </c>
      <c r="F2857" t="s">
        <v>6259</v>
      </c>
      <c r="G2857">
        <v>5938</v>
      </c>
      <c r="H2857" t="s">
        <v>6259</v>
      </c>
      <c r="I2857" t="s">
        <v>96</v>
      </c>
      <c r="K2857">
        <v>2539730</v>
      </c>
      <c r="L2857">
        <v>1180454</v>
      </c>
      <c r="M2857">
        <v>437</v>
      </c>
      <c r="N2857" t="s">
        <v>6354</v>
      </c>
    </row>
    <row r="2858" spans="1:14" x14ac:dyDescent="0.25">
      <c r="A2858">
        <v>8579289</v>
      </c>
      <c r="B2858" t="s">
        <v>6355</v>
      </c>
      <c r="C2858" t="s">
        <v>338</v>
      </c>
      <c r="D2858" t="s">
        <v>86</v>
      </c>
      <c r="E2858" t="s">
        <v>87</v>
      </c>
      <c r="F2858" t="s">
        <v>6259</v>
      </c>
      <c r="G2858">
        <v>5938</v>
      </c>
      <c r="H2858" t="s">
        <v>6259</v>
      </c>
      <c r="I2858" t="s">
        <v>340</v>
      </c>
      <c r="K2858">
        <v>2540150</v>
      </c>
      <c r="L2858">
        <v>1181090.0009999999</v>
      </c>
      <c r="M2858">
        <v>434</v>
      </c>
      <c r="N2858" t="s">
        <v>6356</v>
      </c>
    </row>
    <row r="2859" spans="1:14" x14ac:dyDescent="0.25">
      <c r="A2859">
        <v>8582051</v>
      </c>
      <c r="B2859" t="s">
        <v>6357</v>
      </c>
      <c r="C2859" t="s">
        <v>338</v>
      </c>
      <c r="D2859" t="s">
        <v>86</v>
      </c>
      <c r="E2859" t="s">
        <v>87</v>
      </c>
      <c r="F2859" t="s">
        <v>6259</v>
      </c>
      <c r="G2859">
        <v>5938</v>
      </c>
      <c r="H2859" t="s">
        <v>6259</v>
      </c>
      <c r="I2859" t="s">
        <v>340</v>
      </c>
      <c r="K2859">
        <v>2539921</v>
      </c>
      <c r="L2859">
        <v>1181037.0009999999</v>
      </c>
      <c r="M2859">
        <v>434</v>
      </c>
      <c r="N2859" t="s">
        <v>6358</v>
      </c>
    </row>
    <row r="2860" spans="1:14" x14ac:dyDescent="0.25">
      <c r="A2860">
        <v>8507263</v>
      </c>
      <c r="B2860" t="s">
        <v>6359</v>
      </c>
      <c r="C2860" t="s">
        <v>338</v>
      </c>
      <c r="D2860" t="s">
        <v>86</v>
      </c>
      <c r="E2860" t="s">
        <v>87</v>
      </c>
      <c r="F2860" t="s">
        <v>6259</v>
      </c>
      <c r="G2860">
        <v>5938</v>
      </c>
      <c r="H2860" t="s">
        <v>6259</v>
      </c>
      <c r="I2860" t="s">
        <v>340</v>
      </c>
      <c r="K2860">
        <v>2539180</v>
      </c>
      <c r="L2860">
        <v>1179738</v>
      </c>
      <c r="M2860">
        <v>436</v>
      </c>
      <c r="N2860" t="s">
        <v>6360</v>
      </c>
    </row>
    <row r="2861" spans="1:14" x14ac:dyDescent="0.25">
      <c r="A2861">
        <v>8504774</v>
      </c>
      <c r="B2861" t="s">
        <v>6361</v>
      </c>
      <c r="C2861" t="s">
        <v>94</v>
      </c>
      <c r="D2861" t="s">
        <v>86</v>
      </c>
      <c r="E2861" t="s">
        <v>87</v>
      </c>
      <c r="F2861" t="s">
        <v>6259</v>
      </c>
      <c r="G2861">
        <v>5938</v>
      </c>
      <c r="H2861" t="s">
        <v>6259</v>
      </c>
      <c r="I2861" t="s">
        <v>96</v>
      </c>
      <c r="K2861">
        <v>2539030</v>
      </c>
      <c r="L2861">
        <v>1181424</v>
      </c>
      <c r="M2861">
        <v>434</v>
      </c>
      <c r="N2861" t="s">
        <v>6362</v>
      </c>
    </row>
    <row r="2862" spans="1:14" x14ac:dyDescent="0.25">
      <c r="A2862">
        <v>8530263</v>
      </c>
      <c r="B2862" t="s">
        <v>6363</v>
      </c>
      <c r="C2862" t="s">
        <v>338</v>
      </c>
      <c r="D2862" t="s">
        <v>112</v>
      </c>
      <c r="E2862" t="s">
        <v>87</v>
      </c>
      <c r="F2862" t="s">
        <v>6259</v>
      </c>
      <c r="G2862">
        <v>5938</v>
      </c>
      <c r="H2862" t="s">
        <v>6259</v>
      </c>
      <c r="I2862" t="s">
        <v>372</v>
      </c>
      <c r="K2862">
        <v>2538385.0821000002</v>
      </c>
      <c r="L2862">
        <v>1182298.3071999999</v>
      </c>
      <c r="M2862">
        <v>435.5</v>
      </c>
      <c r="N2862" t="s">
        <v>6364</v>
      </c>
    </row>
    <row r="2863" spans="1:14" x14ac:dyDescent="0.25">
      <c r="A2863">
        <v>8570239</v>
      </c>
      <c r="B2863" t="s">
        <v>6365</v>
      </c>
      <c r="C2863" t="s">
        <v>338</v>
      </c>
      <c r="D2863" t="s">
        <v>86</v>
      </c>
      <c r="E2863" t="s">
        <v>87</v>
      </c>
      <c r="F2863" t="s">
        <v>6259</v>
      </c>
      <c r="G2863">
        <v>5938</v>
      </c>
      <c r="H2863" t="s">
        <v>6259</v>
      </c>
      <c r="I2863" t="s">
        <v>340</v>
      </c>
      <c r="K2863">
        <v>2538485.99345</v>
      </c>
      <c r="L2863">
        <v>1181493.79498</v>
      </c>
      <c r="M2863">
        <v>433</v>
      </c>
      <c r="N2863" t="s">
        <v>6366</v>
      </c>
    </row>
    <row r="2864" spans="1:14" x14ac:dyDescent="0.25">
      <c r="A2864">
        <v>8594054</v>
      </c>
      <c r="B2864" t="s">
        <v>6367</v>
      </c>
      <c r="C2864" t="s">
        <v>338</v>
      </c>
      <c r="D2864" t="s">
        <v>86</v>
      </c>
      <c r="E2864" t="s">
        <v>87</v>
      </c>
      <c r="F2864" t="s">
        <v>6259</v>
      </c>
      <c r="G2864">
        <v>5938</v>
      </c>
      <c r="H2864" t="s">
        <v>6259</v>
      </c>
      <c r="I2864" t="s">
        <v>340</v>
      </c>
      <c r="K2864">
        <v>2539285.406</v>
      </c>
      <c r="L2864">
        <v>1180765.7990000001</v>
      </c>
      <c r="M2864">
        <v>436</v>
      </c>
      <c r="N2864" t="s">
        <v>6368</v>
      </c>
    </row>
    <row r="2865" spans="1:14" x14ac:dyDescent="0.25">
      <c r="A2865">
        <v>8594053</v>
      </c>
      <c r="B2865" t="s">
        <v>6369</v>
      </c>
      <c r="C2865" t="s">
        <v>338</v>
      </c>
      <c r="D2865" t="s">
        <v>86</v>
      </c>
      <c r="E2865" t="s">
        <v>87</v>
      </c>
      <c r="F2865" t="s">
        <v>6259</v>
      </c>
      <c r="G2865">
        <v>5938</v>
      </c>
      <c r="H2865" t="s">
        <v>6259</v>
      </c>
      <c r="I2865" t="s">
        <v>340</v>
      </c>
      <c r="K2865">
        <v>2538631.06348</v>
      </c>
      <c r="L2865">
        <v>1182059.2166500001</v>
      </c>
      <c r="M2865">
        <v>430</v>
      </c>
      <c r="N2865" t="s">
        <v>6370</v>
      </c>
    </row>
    <row r="2866" spans="1:14" x14ac:dyDescent="0.25">
      <c r="A2866">
        <v>8594052</v>
      </c>
      <c r="B2866" t="s">
        <v>6371</v>
      </c>
      <c r="C2866" t="s">
        <v>338</v>
      </c>
      <c r="D2866" t="s">
        <v>86</v>
      </c>
      <c r="E2866" t="s">
        <v>87</v>
      </c>
      <c r="F2866" t="s">
        <v>6259</v>
      </c>
      <c r="G2866">
        <v>5938</v>
      </c>
      <c r="H2866" t="s">
        <v>6259</v>
      </c>
      <c r="I2866" t="s">
        <v>340</v>
      </c>
      <c r="K2866">
        <v>2540116.2883199998</v>
      </c>
      <c r="L2866">
        <v>1180423.2939599999</v>
      </c>
      <c r="M2866">
        <v>465</v>
      </c>
      <c r="N2866" t="s">
        <v>6372</v>
      </c>
    </row>
    <row r="2867" spans="1:14" x14ac:dyDescent="0.25">
      <c r="A2867">
        <v>8594017</v>
      </c>
      <c r="B2867" t="s">
        <v>6373</v>
      </c>
      <c r="C2867" t="s">
        <v>338</v>
      </c>
      <c r="D2867" t="s">
        <v>86</v>
      </c>
      <c r="E2867" t="s">
        <v>87</v>
      </c>
      <c r="F2867" t="s">
        <v>6259</v>
      </c>
      <c r="G2867">
        <v>5938</v>
      </c>
      <c r="H2867" t="s">
        <v>6259</v>
      </c>
      <c r="I2867" t="s">
        <v>340</v>
      </c>
      <c r="K2867">
        <v>2538539</v>
      </c>
      <c r="L2867">
        <v>1180615.0009999999</v>
      </c>
      <c r="M2867">
        <v>433</v>
      </c>
      <c r="N2867" t="s">
        <v>6374</v>
      </c>
    </row>
    <row r="2868" spans="1:14" x14ac:dyDescent="0.25">
      <c r="A2868">
        <v>8594037</v>
      </c>
      <c r="B2868" t="s">
        <v>6375</v>
      </c>
      <c r="C2868" t="s">
        <v>338</v>
      </c>
      <c r="D2868" t="s">
        <v>86</v>
      </c>
      <c r="E2868" t="s">
        <v>87</v>
      </c>
      <c r="F2868" t="s">
        <v>6259</v>
      </c>
      <c r="G2868">
        <v>5938</v>
      </c>
      <c r="H2868" t="s">
        <v>6259</v>
      </c>
      <c r="I2868" t="s">
        <v>340</v>
      </c>
      <c r="K2868">
        <v>2538122</v>
      </c>
      <c r="L2868">
        <v>1181806</v>
      </c>
      <c r="M2868">
        <v>434</v>
      </c>
      <c r="N2868" t="s">
        <v>6376</v>
      </c>
    </row>
    <row r="2869" spans="1:14" x14ac:dyDescent="0.25">
      <c r="A2869">
        <v>8594024</v>
      </c>
      <c r="B2869" t="s">
        <v>6377</v>
      </c>
      <c r="C2869" t="s">
        <v>338</v>
      </c>
      <c r="D2869" t="s">
        <v>86</v>
      </c>
      <c r="E2869" t="s">
        <v>87</v>
      </c>
      <c r="F2869" t="s">
        <v>6259</v>
      </c>
      <c r="G2869">
        <v>5938</v>
      </c>
      <c r="H2869" t="s">
        <v>6259</v>
      </c>
      <c r="I2869" t="s">
        <v>340</v>
      </c>
      <c r="K2869">
        <v>2538721.5481199999</v>
      </c>
      <c r="L2869">
        <v>1180847.80859</v>
      </c>
      <c r="M2869">
        <v>433</v>
      </c>
      <c r="N2869" t="s">
        <v>6378</v>
      </c>
    </row>
    <row r="2870" spans="1:14" x14ac:dyDescent="0.25">
      <c r="A2870">
        <v>8594030</v>
      </c>
      <c r="B2870" t="s">
        <v>6379</v>
      </c>
      <c r="C2870" t="s">
        <v>338</v>
      </c>
      <c r="D2870" t="s">
        <v>86</v>
      </c>
      <c r="E2870" t="s">
        <v>87</v>
      </c>
      <c r="F2870" t="s">
        <v>6259</v>
      </c>
      <c r="G2870">
        <v>5938</v>
      </c>
      <c r="H2870" t="s">
        <v>6259</v>
      </c>
      <c r="I2870" t="s">
        <v>340</v>
      </c>
      <c r="K2870">
        <v>2538650.6702899998</v>
      </c>
      <c r="L2870">
        <v>1181563.2266800001</v>
      </c>
      <c r="M2870">
        <v>435</v>
      </c>
      <c r="N2870" t="s">
        <v>6380</v>
      </c>
    </row>
    <row r="2871" spans="1:14" x14ac:dyDescent="0.25">
      <c r="A2871">
        <v>8594028</v>
      </c>
      <c r="B2871" t="s">
        <v>6381</v>
      </c>
      <c r="C2871" t="s">
        <v>338</v>
      </c>
      <c r="D2871" t="s">
        <v>86</v>
      </c>
      <c r="E2871" t="s">
        <v>87</v>
      </c>
      <c r="F2871" t="s">
        <v>6259</v>
      </c>
      <c r="G2871">
        <v>5938</v>
      </c>
      <c r="H2871" t="s">
        <v>6259</v>
      </c>
      <c r="I2871" t="s">
        <v>340</v>
      </c>
      <c r="K2871">
        <v>2539091.88821</v>
      </c>
      <c r="L2871">
        <v>1180023.22327</v>
      </c>
      <c r="M2871">
        <v>434</v>
      </c>
      <c r="N2871" t="s">
        <v>6382</v>
      </c>
    </row>
    <row r="2872" spans="1:14" x14ac:dyDescent="0.25">
      <c r="A2872">
        <v>8594035</v>
      </c>
      <c r="B2872" t="s">
        <v>6383</v>
      </c>
      <c r="C2872" t="s">
        <v>338</v>
      </c>
      <c r="D2872" t="s">
        <v>86</v>
      </c>
      <c r="E2872" t="s">
        <v>87</v>
      </c>
      <c r="F2872" t="s">
        <v>6259</v>
      </c>
      <c r="G2872">
        <v>5938</v>
      </c>
      <c r="H2872" t="s">
        <v>6259</v>
      </c>
      <c r="I2872" t="s">
        <v>340</v>
      </c>
      <c r="K2872">
        <v>2540914.36772</v>
      </c>
      <c r="L2872">
        <v>1180639.0201900001</v>
      </c>
      <c r="M2872">
        <v>525</v>
      </c>
      <c r="N2872" t="s">
        <v>6384</v>
      </c>
    </row>
    <row r="2873" spans="1:14" x14ac:dyDescent="0.25">
      <c r="A2873">
        <v>8594032</v>
      </c>
      <c r="B2873" t="s">
        <v>6385</v>
      </c>
      <c r="C2873" t="s">
        <v>338</v>
      </c>
      <c r="D2873" t="s">
        <v>86</v>
      </c>
      <c r="E2873" t="s">
        <v>87</v>
      </c>
      <c r="F2873" t="s">
        <v>6259</v>
      </c>
      <c r="G2873">
        <v>5938</v>
      </c>
      <c r="H2873" t="s">
        <v>6259</v>
      </c>
      <c r="I2873" t="s">
        <v>340</v>
      </c>
      <c r="K2873">
        <v>2538287</v>
      </c>
      <c r="L2873">
        <v>1182218.0009999999</v>
      </c>
      <c r="M2873">
        <v>435</v>
      </c>
      <c r="N2873" t="s">
        <v>6386</v>
      </c>
    </row>
    <row r="2874" spans="1:14" x14ac:dyDescent="0.25">
      <c r="A2874">
        <v>8596076</v>
      </c>
      <c r="B2874" t="s">
        <v>6387</v>
      </c>
      <c r="C2874" t="s">
        <v>338</v>
      </c>
      <c r="D2874" t="s">
        <v>86</v>
      </c>
      <c r="E2874" t="s">
        <v>87</v>
      </c>
      <c r="F2874" t="s">
        <v>6259</v>
      </c>
      <c r="G2874">
        <v>5938</v>
      </c>
      <c r="H2874" t="s">
        <v>6259</v>
      </c>
      <c r="I2874" t="s">
        <v>340</v>
      </c>
      <c r="K2874">
        <v>2541019.5040600002</v>
      </c>
      <c r="L2874">
        <v>1181350.64148</v>
      </c>
      <c r="M2874">
        <v>475</v>
      </c>
      <c r="N2874" t="s">
        <v>6388</v>
      </c>
    </row>
    <row r="2875" spans="1:14" x14ac:dyDescent="0.25">
      <c r="A2875">
        <v>8505429</v>
      </c>
      <c r="B2875" t="s">
        <v>6389</v>
      </c>
      <c r="C2875" t="s">
        <v>338</v>
      </c>
      <c r="D2875" t="s">
        <v>86</v>
      </c>
      <c r="E2875" t="s">
        <v>87</v>
      </c>
      <c r="F2875" t="s">
        <v>6259</v>
      </c>
      <c r="G2875">
        <v>5938</v>
      </c>
      <c r="H2875" t="s">
        <v>6259</v>
      </c>
      <c r="I2875" t="s">
        <v>340</v>
      </c>
      <c r="K2875">
        <v>2539170.6347599998</v>
      </c>
      <c r="L2875">
        <v>1181828.03908</v>
      </c>
      <c r="M2875">
        <v>432</v>
      </c>
      <c r="N2875" t="s">
        <v>6390</v>
      </c>
    </row>
    <row r="2876" spans="1:14" x14ac:dyDescent="0.25">
      <c r="A2876">
        <v>8594062</v>
      </c>
      <c r="B2876" t="s">
        <v>6391</v>
      </c>
      <c r="C2876" t="s">
        <v>338</v>
      </c>
      <c r="D2876" t="s">
        <v>86</v>
      </c>
      <c r="E2876" t="s">
        <v>87</v>
      </c>
      <c r="F2876" t="s">
        <v>6259</v>
      </c>
      <c r="G2876">
        <v>5938</v>
      </c>
      <c r="H2876" t="s">
        <v>6259</v>
      </c>
      <c r="I2876" t="s">
        <v>340</v>
      </c>
      <c r="K2876">
        <v>2539420</v>
      </c>
      <c r="L2876">
        <v>1181196</v>
      </c>
      <c r="M2876">
        <v>434</v>
      </c>
      <c r="N2876" t="s">
        <v>6392</v>
      </c>
    </row>
    <row r="2877" spans="1:14" x14ac:dyDescent="0.25">
      <c r="A2877">
        <v>8594061</v>
      </c>
      <c r="B2877" t="s">
        <v>6393</v>
      </c>
      <c r="C2877" t="s">
        <v>338</v>
      </c>
      <c r="D2877" t="s">
        <v>86</v>
      </c>
      <c r="E2877" t="s">
        <v>87</v>
      </c>
      <c r="F2877" t="s">
        <v>6259</v>
      </c>
      <c r="G2877">
        <v>5938</v>
      </c>
      <c r="H2877" t="s">
        <v>6259</v>
      </c>
      <c r="I2877" t="s">
        <v>340</v>
      </c>
      <c r="K2877">
        <v>2537791.2448999998</v>
      </c>
      <c r="L2877">
        <v>1181717.2458800001</v>
      </c>
      <c r="M2877">
        <v>433.4</v>
      </c>
      <c r="N2877" t="s">
        <v>6394</v>
      </c>
    </row>
    <row r="2878" spans="1:14" x14ac:dyDescent="0.25">
      <c r="A2878">
        <v>8594050</v>
      </c>
      <c r="B2878" t="s">
        <v>6395</v>
      </c>
      <c r="C2878" t="s">
        <v>338</v>
      </c>
      <c r="D2878" t="s">
        <v>86</v>
      </c>
      <c r="E2878" t="s">
        <v>87</v>
      </c>
      <c r="F2878" t="s">
        <v>6259</v>
      </c>
      <c r="G2878">
        <v>5938</v>
      </c>
      <c r="H2878" t="s">
        <v>6259</v>
      </c>
      <c r="I2878" t="s">
        <v>340</v>
      </c>
      <c r="K2878">
        <v>2540170.6608299999</v>
      </c>
      <c r="L2878">
        <v>1179959.66359</v>
      </c>
      <c r="M2878">
        <v>460</v>
      </c>
      <c r="N2878" t="s">
        <v>6396</v>
      </c>
    </row>
    <row r="2879" spans="1:14" x14ac:dyDescent="0.25">
      <c r="A2879">
        <v>8594043</v>
      </c>
      <c r="B2879" t="s">
        <v>6397</v>
      </c>
      <c r="C2879" t="s">
        <v>338</v>
      </c>
      <c r="D2879" t="s">
        <v>86</v>
      </c>
      <c r="E2879" t="s">
        <v>87</v>
      </c>
      <c r="F2879" t="s">
        <v>6259</v>
      </c>
      <c r="G2879">
        <v>5938</v>
      </c>
      <c r="H2879" t="s">
        <v>6259</v>
      </c>
      <c r="I2879" t="s">
        <v>340</v>
      </c>
      <c r="K2879">
        <v>2539236.6421599998</v>
      </c>
      <c r="L2879">
        <v>1181032.68958</v>
      </c>
      <c r="M2879">
        <v>435</v>
      </c>
      <c r="N2879" t="s">
        <v>6398</v>
      </c>
    </row>
    <row r="2880" spans="1:14" x14ac:dyDescent="0.25">
      <c r="A2880">
        <v>8594047</v>
      </c>
      <c r="B2880" t="s">
        <v>6399</v>
      </c>
      <c r="C2880" t="s">
        <v>338</v>
      </c>
      <c r="D2880" t="s">
        <v>86</v>
      </c>
      <c r="E2880" t="s">
        <v>87</v>
      </c>
      <c r="F2880" t="s">
        <v>6259</v>
      </c>
      <c r="G2880">
        <v>5938</v>
      </c>
      <c r="H2880" t="s">
        <v>6259</v>
      </c>
      <c r="I2880" t="s">
        <v>340</v>
      </c>
      <c r="J2880" t="s">
        <v>6400</v>
      </c>
      <c r="K2880">
        <v>2537882.95976</v>
      </c>
      <c r="L2880">
        <v>1182088.1397599999</v>
      </c>
      <c r="M2880">
        <v>434</v>
      </c>
      <c r="N2880" t="s">
        <v>6401</v>
      </c>
    </row>
    <row r="2881" spans="1:14" x14ac:dyDescent="0.25">
      <c r="A2881">
        <v>8594039</v>
      </c>
      <c r="B2881" t="s">
        <v>6402</v>
      </c>
      <c r="C2881" t="s">
        <v>338</v>
      </c>
      <c r="D2881" t="s">
        <v>86</v>
      </c>
      <c r="E2881" t="s">
        <v>87</v>
      </c>
      <c r="F2881" t="s">
        <v>6259</v>
      </c>
      <c r="G2881">
        <v>5938</v>
      </c>
      <c r="H2881" t="s">
        <v>6259</v>
      </c>
      <c r="I2881" t="s">
        <v>340</v>
      </c>
      <c r="K2881">
        <v>2538964.4503100002</v>
      </c>
      <c r="L2881">
        <v>1180177.0632100001</v>
      </c>
      <c r="M2881">
        <v>434</v>
      </c>
      <c r="N2881" t="s">
        <v>6403</v>
      </c>
    </row>
    <row r="2882" spans="1:14" x14ac:dyDescent="0.25">
      <c r="A2882">
        <v>8504558</v>
      </c>
      <c r="B2882" t="s">
        <v>6404</v>
      </c>
      <c r="C2882" t="s">
        <v>301</v>
      </c>
      <c r="D2882" t="s">
        <v>302</v>
      </c>
      <c r="E2882" t="s">
        <v>87</v>
      </c>
      <c r="F2882" t="s">
        <v>6259</v>
      </c>
      <c r="G2882">
        <v>5938</v>
      </c>
      <c r="H2882" t="s">
        <v>6259</v>
      </c>
      <c r="I2882" t="s">
        <v>303</v>
      </c>
      <c r="K2882">
        <v>2539070.33666</v>
      </c>
      <c r="L2882">
        <v>1182083.4446700001</v>
      </c>
      <c r="M2882">
        <v>431</v>
      </c>
      <c r="N2882" t="s">
        <v>6405</v>
      </c>
    </row>
    <row r="2883" spans="1:14" x14ac:dyDescent="0.25">
      <c r="A2883">
        <v>8595066</v>
      </c>
      <c r="B2883" t="s">
        <v>6406</v>
      </c>
      <c r="C2883" t="s">
        <v>338</v>
      </c>
      <c r="D2883" t="s">
        <v>86</v>
      </c>
      <c r="E2883" t="s">
        <v>87</v>
      </c>
      <c r="F2883" t="s">
        <v>6259</v>
      </c>
      <c r="G2883">
        <v>5938</v>
      </c>
      <c r="H2883" t="s">
        <v>6259</v>
      </c>
      <c r="I2883" t="s">
        <v>340</v>
      </c>
      <c r="K2883">
        <v>2539097</v>
      </c>
      <c r="L2883">
        <v>1179010</v>
      </c>
      <c r="M2883">
        <v>441</v>
      </c>
      <c r="N2883" t="s">
        <v>6407</v>
      </c>
    </row>
    <row r="2884" spans="1:14" x14ac:dyDescent="0.25">
      <c r="A2884">
        <v>8595070</v>
      </c>
      <c r="B2884" t="s">
        <v>6408</v>
      </c>
      <c r="C2884" t="s">
        <v>338</v>
      </c>
      <c r="D2884" t="s">
        <v>86</v>
      </c>
      <c r="E2884" t="s">
        <v>87</v>
      </c>
      <c r="F2884" t="s">
        <v>6259</v>
      </c>
      <c r="G2884">
        <v>5938</v>
      </c>
      <c r="H2884" t="s">
        <v>6259</v>
      </c>
      <c r="I2884" t="s">
        <v>340</v>
      </c>
      <c r="K2884">
        <v>2539039.0904199998</v>
      </c>
      <c r="L2884">
        <v>1180498.4720999999</v>
      </c>
      <c r="M2884">
        <v>435</v>
      </c>
      <c r="N2884" t="s">
        <v>6409</v>
      </c>
    </row>
    <row r="2885" spans="1:14" x14ac:dyDescent="0.25">
      <c r="A2885">
        <v>8570288</v>
      </c>
      <c r="B2885" t="s">
        <v>6410</v>
      </c>
      <c r="C2885" t="s">
        <v>94</v>
      </c>
      <c r="D2885" t="s">
        <v>86</v>
      </c>
      <c r="E2885" t="s">
        <v>87</v>
      </c>
      <c r="F2885" t="s">
        <v>6259</v>
      </c>
      <c r="G2885">
        <v>5938</v>
      </c>
      <c r="H2885" t="s">
        <v>6259</v>
      </c>
      <c r="I2885" t="s">
        <v>96</v>
      </c>
      <c r="K2885">
        <v>2539634</v>
      </c>
      <c r="L2885">
        <v>1180796</v>
      </c>
      <c r="M2885">
        <v>437</v>
      </c>
      <c r="N2885" t="s">
        <v>6411</v>
      </c>
    </row>
    <row r="2886" spans="1:14" x14ac:dyDescent="0.25">
      <c r="A2886">
        <v>8512573</v>
      </c>
      <c r="B2886" t="s">
        <v>6412</v>
      </c>
      <c r="C2886" t="s">
        <v>338</v>
      </c>
      <c r="D2886" t="s">
        <v>86</v>
      </c>
      <c r="E2886" t="s">
        <v>87</v>
      </c>
      <c r="F2886" t="s">
        <v>6259</v>
      </c>
      <c r="G2886">
        <v>5938</v>
      </c>
      <c r="H2886" t="s">
        <v>6259</v>
      </c>
      <c r="I2886" t="s">
        <v>340</v>
      </c>
      <c r="K2886">
        <v>2538783.3887</v>
      </c>
      <c r="L2886">
        <v>1181186.10886</v>
      </c>
      <c r="M2886">
        <v>434.2</v>
      </c>
      <c r="N2886" t="s">
        <v>6413</v>
      </c>
    </row>
    <row r="2887" spans="1:14" x14ac:dyDescent="0.25">
      <c r="A2887">
        <v>8582674</v>
      </c>
      <c r="B2887" t="s">
        <v>6414</v>
      </c>
      <c r="C2887" t="s">
        <v>94</v>
      </c>
      <c r="D2887" t="s">
        <v>86</v>
      </c>
      <c r="E2887" t="s">
        <v>87</v>
      </c>
      <c r="F2887" t="s">
        <v>6415</v>
      </c>
      <c r="G2887">
        <v>5939</v>
      </c>
      <c r="H2887" t="s">
        <v>6415</v>
      </c>
      <c r="I2887" t="s">
        <v>96</v>
      </c>
      <c r="K2887">
        <v>2545911</v>
      </c>
      <c r="L2887">
        <v>1182147</v>
      </c>
      <c r="M2887">
        <v>442</v>
      </c>
      <c r="N2887" t="s">
        <v>6416</v>
      </c>
    </row>
    <row r="2888" spans="1:14" x14ac:dyDescent="0.25">
      <c r="A2888">
        <v>8582675</v>
      </c>
      <c r="B2888" t="s">
        <v>6417</v>
      </c>
      <c r="C2888" t="s">
        <v>94</v>
      </c>
      <c r="D2888" t="s">
        <v>86</v>
      </c>
      <c r="E2888" t="s">
        <v>87</v>
      </c>
      <c r="F2888" t="s">
        <v>6415</v>
      </c>
      <c r="G2888">
        <v>5939</v>
      </c>
      <c r="H2888" t="s">
        <v>6415</v>
      </c>
      <c r="I2888" t="s">
        <v>96</v>
      </c>
      <c r="K2888">
        <v>2546939</v>
      </c>
      <c r="L2888">
        <v>1183009</v>
      </c>
      <c r="M2888">
        <v>438</v>
      </c>
      <c r="N2888" t="s">
        <v>6418</v>
      </c>
    </row>
    <row r="2889" spans="1:14" x14ac:dyDescent="0.25">
      <c r="A2889">
        <v>8583791</v>
      </c>
      <c r="B2889" t="s">
        <v>6419</v>
      </c>
      <c r="C2889" t="s">
        <v>94</v>
      </c>
      <c r="D2889" t="s">
        <v>86</v>
      </c>
      <c r="E2889" t="s">
        <v>87</v>
      </c>
      <c r="F2889" t="s">
        <v>6415</v>
      </c>
      <c r="G2889">
        <v>5939</v>
      </c>
      <c r="H2889" t="s">
        <v>6415</v>
      </c>
      <c r="I2889" t="s">
        <v>96</v>
      </c>
      <c r="K2889">
        <v>2547202</v>
      </c>
      <c r="L2889">
        <v>1183520</v>
      </c>
      <c r="M2889">
        <v>434</v>
      </c>
      <c r="N2889" t="s">
        <v>6420</v>
      </c>
    </row>
    <row r="2890" spans="1:14" x14ac:dyDescent="0.25">
      <c r="A2890">
        <v>8504130</v>
      </c>
      <c r="B2890" t="s">
        <v>6415</v>
      </c>
      <c r="C2890" t="s">
        <v>132</v>
      </c>
      <c r="D2890" t="s">
        <v>112</v>
      </c>
      <c r="E2890" t="s">
        <v>87</v>
      </c>
      <c r="F2890" t="s">
        <v>6415</v>
      </c>
      <c r="G2890">
        <v>5939</v>
      </c>
      <c r="H2890" t="s">
        <v>6415</v>
      </c>
      <c r="I2890" t="s">
        <v>133</v>
      </c>
      <c r="K2890">
        <v>2547178.1170000001</v>
      </c>
      <c r="L2890">
        <v>1183535.273</v>
      </c>
      <c r="M2890">
        <v>433.96</v>
      </c>
      <c r="N2890" t="s">
        <v>6421</v>
      </c>
    </row>
    <row r="2891" spans="1:14" x14ac:dyDescent="0.25">
      <c r="A2891">
        <v>8570386</v>
      </c>
      <c r="B2891" t="s">
        <v>6422</v>
      </c>
      <c r="C2891" t="s">
        <v>94</v>
      </c>
      <c r="D2891" t="s">
        <v>86</v>
      </c>
      <c r="E2891" t="s">
        <v>87</v>
      </c>
      <c r="F2891" t="s">
        <v>6415</v>
      </c>
      <c r="G2891">
        <v>5939</v>
      </c>
      <c r="H2891" t="s">
        <v>6415</v>
      </c>
      <c r="I2891" t="s">
        <v>96</v>
      </c>
      <c r="K2891">
        <v>2547752</v>
      </c>
      <c r="L2891">
        <v>1182938</v>
      </c>
      <c r="M2891">
        <v>463</v>
      </c>
      <c r="N2891" t="s">
        <v>6423</v>
      </c>
    </row>
    <row r="2892" spans="1:14" x14ac:dyDescent="0.25">
      <c r="A2892">
        <v>8510156</v>
      </c>
      <c r="B2892" t="s">
        <v>6424</v>
      </c>
      <c r="C2892" t="s">
        <v>297</v>
      </c>
      <c r="D2892" t="s">
        <v>86</v>
      </c>
      <c r="E2892" t="s">
        <v>87</v>
      </c>
      <c r="F2892" t="s">
        <v>6415</v>
      </c>
      <c r="G2892">
        <v>5939</v>
      </c>
      <c r="H2892" t="s">
        <v>6415</v>
      </c>
      <c r="I2892" t="s">
        <v>298</v>
      </c>
      <c r="K2892">
        <v>2547059</v>
      </c>
      <c r="L2892">
        <v>1183406</v>
      </c>
      <c r="M2892">
        <v>435.5</v>
      </c>
      <c r="N2892" t="s">
        <v>6425</v>
      </c>
    </row>
    <row r="2893" spans="1:14" x14ac:dyDescent="0.25">
      <c r="A2893">
        <v>8570385</v>
      </c>
      <c r="B2893" t="s">
        <v>6426</v>
      </c>
      <c r="C2893" t="s">
        <v>94</v>
      </c>
      <c r="D2893" t="s">
        <v>86</v>
      </c>
      <c r="E2893" t="s">
        <v>87</v>
      </c>
      <c r="F2893" t="s">
        <v>6415</v>
      </c>
      <c r="G2893">
        <v>5939</v>
      </c>
      <c r="H2893" t="s">
        <v>6415</v>
      </c>
      <c r="I2893" t="s">
        <v>96</v>
      </c>
      <c r="K2893">
        <v>2547329</v>
      </c>
      <c r="L2893">
        <v>1182908</v>
      </c>
      <c r="M2893">
        <v>440</v>
      </c>
      <c r="N2893" t="s">
        <v>6427</v>
      </c>
    </row>
    <row r="2894" spans="1:14" x14ac:dyDescent="0.25">
      <c r="A2894">
        <v>8579739</v>
      </c>
      <c r="B2894" t="s">
        <v>6428</v>
      </c>
      <c r="C2894" t="s">
        <v>94</v>
      </c>
      <c r="D2894" t="s">
        <v>86</v>
      </c>
      <c r="E2894" t="s">
        <v>87</v>
      </c>
      <c r="F2894" t="s">
        <v>6415</v>
      </c>
      <c r="G2894">
        <v>5939</v>
      </c>
      <c r="H2894" t="s">
        <v>6415</v>
      </c>
      <c r="I2894" t="s">
        <v>96</v>
      </c>
      <c r="K2894">
        <v>2546970</v>
      </c>
      <c r="L2894">
        <v>1183293</v>
      </c>
      <c r="M2894">
        <v>437</v>
      </c>
      <c r="N2894" t="s">
        <v>6429</v>
      </c>
    </row>
    <row r="2895" spans="1:14" x14ac:dyDescent="0.25">
      <c r="A2895">
        <v>8507687</v>
      </c>
      <c r="B2895" t="s">
        <v>6430</v>
      </c>
      <c r="C2895" t="s">
        <v>94</v>
      </c>
      <c r="D2895" t="s">
        <v>86</v>
      </c>
      <c r="E2895" t="s">
        <v>87</v>
      </c>
      <c r="F2895" t="s">
        <v>6415</v>
      </c>
      <c r="G2895">
        <v>5939</v>
      </c>
      <c r="H2895" t="s">
        <v>6415</v>
      </c>
      <c r="I2895" t="s">
        <v>96</v>
      </c>
      <c r="K2895">
        <v>2545079</v>
      </c>
      <c r="L2895">
        <v>1181398</v>
      </c>
      <c r="M2895">
        <v>454</v>
      </c>
      <c r="N2895" t="s">
        <v>6431</v>
      </c>
    </row>
    <row r="2896" spans="1:14" x14ac:dyDescent="0.25">
      <c r="A2896">
        <v>8582237</v>
      </c>
      <c r="B2896" t="s">
        <v>6432</v>
      </c>
      <c r="C2896" t="s">
        <v>101</v>
      </c>
      <c r="D2896" t="s">
        <v>86</v>
      </c>
      <c r="E2896" t="s">
        <v>87</v>
      </c>
      <c r="F2896" t="s">
        <v>6433</v>
      </c>
      <c r="G2896">
        <v>5415</v>
      </c>
      <c r="H2896" t="s">
        <v>6433</v>
      </c>
      <c r="I2896" t="s">
        <v>103</v>
      </c>
      <c r="J2896" t="s">
        <v>108</v>
      </c>
      <c r="K2896">
        <v>2561302</v>
      </c>
      <c r="L2896">
        <v>1132590</v>
      </c>
      <c r="M2896">
        <v>382</v>
      </c>
      <c r="N2896" t="s">
        <v>6434</v>
      </c>
    </row>
    <row r="2897" spans="1:14" x14ac:dyDescent="0.25">
      <c r="A2897">
        <v>8510325</v>
      </c>
      <c r="B2897" t="s">
        <v>6435</v>
      </c>
      <c r="C2897" t="s">
        <v>101</v>
      </c>
      <c r="D2897" t="s">
        <v>86</v>
      </c>
      <c r="E2897" t="s">
        <v>87</v>
      </c>
      <c r="F2897" t="s">
        <v>6433</v>
      </c>
      <c r="G2897">
        <v>5415</v>
      </c>
      <c r="H2897" t="s">
        <v>6433</v>
      </c>
      <c r="I2897" t="s">
        <v>103</v>
      </c>
      <c r="K2897">
        <v>2561016.2446400002</v>
      </c>
      <c r="L2897">
        <v>1132185.29553</v>
      </c>
      <c r="M2897">
        <v>380</v>
      </c>
      <c r="N2897" t="s">
        <v>6436</v>
      </c>
    </row>
    <row r="2898" spans="1:14" x14ac:dyDescent="0.25">
      <c r="A2898">
        <v>8510319</v>
      </c>
      <c r="B2898" t="s">
        <v>6437</v>
      </c>
      <c r="C2898" t="s">
        <v>101</v>
      </c>
      <c r="D2898" t="s">
        <v>86</v>
      </c>
      <c r="E2898" t="s">
        <v>87</v>
      </c>
      <c r="F2898" t="s">
        <v>6433</v>
      </c>
      <c r="G2898">
        <v>5415</v>
      </c>
      <c r="H2898" t="s">
        <v>6433</v>
      </c>
      <c r="I2898" t="s">
        <v>103</v>
      </c>
      <c r="K2898">
        <v>2562860.5666</v>
      </c>
      <c r="L2898">
        <v>1131238.00926</v>
      </c>
      <c r="M2898">
        <v>432</v>
      </c>
      <c r="N2898" t="s">
        <v>6438</v>
      </c>
    </row>
    <row r="2899" spans="1:14" x14ac:dyDescent="0.25">
      <c r="A2899">
        <v>8570604</v>
      </c>
      <c r="B2899" t="s">
        <v>6439</v>
      </c>
      <c r="C2899" t="s">
        <v>101</v>
      </c>
      <c r="D2899" t="s">
        <v>86</v>
      </c>
      <c r="E2899" t="s">
        <v>87</v>
      </c>
      <c r="F2899" t="s">
        <v>6433</v>
      </c>
      <c r="G2899">
        <v>5415</v>
      </c>
      <c r="H2899" t="s">
        <v>6433</v>
      </c>
      <c r="I2899" t="s">
        <v>103</v>
      </c>
      <c r="K2899">
        <v>2563492</v>
      </c>
      <c r="L2899">
        <v>1131767</v>
      </c>
      <c r="M2899">
        <v>584</v>
      </c>
      <c r="N2899" t="s">
        <v>6440</v>
      </c>
    </row>
    <row r="2900" spans="1:14" x14ac:dyDescent="0.25">
      <c r="A2900">
        <v>8510328</v>
      </c>
      <c r="B2900" t="s">
        <v>6441</v>
      </c>
      <c r="C2900" t="s">
        <v>101</v>
      </c>
      <c r="D2900" t="s">
        <v>86</v>
      </c>
      <c r="E2900" t="s">
        <v>87</v>
      </c>
      <c r="F2900" t="s">
        <v>6433</v>
      </c>
      <c r="G2900">
        <v>5415</v>
      </c>
      <c r="H2900" t="s">
        <v>6433</v>
      </c>
      <c r="I2900" t="s">
        <v>103</v>
      </c>
      <c r="K2900">
        <v>2561198.0630199998</v>
      </c>
      <c r="L2900">
        <v>1132816.3013500001</v>
      </c>
      <c r="M2900">
        <v>381</v>
      </c>
      <c r="N2900" t="s">
        <v>6442</v>
      </c>
    </row>
    <row r="2901" spans="1:14" x14ac:dyDescent="0.25">
      <c r="A2901">
        <v>8587746</v>
      </c>
      <c r="B2901" t="s">
        <v>6443</v>
      </c>
      <c r="C2901" t="s">
        <v>101</v>
      </c>
      <c r="D2901" t="s">
        <v>86</v>
      </c>
      <c r="E2901" t="s">
        <v>87</v>
      </c>
      <c r="F2901" t="s">
        <v>6433</v>
      </c>
      <c r="G2901">
        <v>5415</v>
      </c>
      <c r="H2901" t="s">
        <v>6433</v>
      </c>
      <c r="I2901" t="s">
        <v>103</v>
      </c>
      <c r="K2901">
        <v>2562785</v>
      </c>
      <c r="L2901">
        <v>1130992</v>
      </c>
      <c r="M2901">
        <v>408</v>
      </c>
      <c r="N2901" t="s">
        <v>6444</v>
      </c>
    </row>
    <row r="2902" spans="1:14" x14ac:dyDescent="0.25">
      <c r="A2902">
        <v>8570602</v>
      </c>
      <c r="B2902" t="s">
        <v>6445</v>
      </c>
      <c r="C2902" t="s">
        <v>101</v>
      </c>
      <c r="D2902" t="s">
        <v>86</v>
      </c>
      <c r="E2902" t="s">
        <v>87</v>
      </c>
      <c r="F2902" t="s">
        <v>6433</v>
      </c>
      <c r="G2902">
        <v>5415</v>
      </c>
      <c r="H2902" t="s">
        <v>6433</v>
      </c>
      <c r="I2902" t="s">
        <v>103</v>
      </c>
      <c r="K2902">
        <v>2563250</v>
      </c>
      <c r="L2902">
        <v>1131000</v>
      </c>
      <c r="M2902">
        <v>441</v>
      </c>
      <c r="N2902" t="s">
        <v>6446</v>
      </c>
    </row>
    <row r="2903" spans="1:14" x14ac:dyDescent="0.25">
      <c r="A2903">
        <v>8591834</v>
      </c>
      <c r="B2903" t="s">
        <v>6447</v>
      </c>
      <c r="C2903" t="s">
        <v>101</v>
      </c>
      <c r="D2903" t="s">
        <v>86</v>
      </c>
      <c r="E2903" t="s">
        <v>87</v>
      </c>
      <c r="F2903" t="s">
        <v>6433</v>
      </c>
      <c r="G2903">
        <v>5415</v>
      </c>
      <c r="H2903" t="s">
        <v>6433</v>
      </c>
      <c r="I2903" t="s">
        <v>103</v>
      </c>
      <c r="K2903">
        <v>2561680.48062</v>
      </c>
      <c r="L2903">
        <v>1132877.3238599999</v>
      </c>
      <c r="M2903">
        <v>382</v>
      </c>
      <c r="N2903" t="s">
        <v>6448</v>
      </c>
    </row>
    <row r="2904" spans="1:14" x14ac:dyDescent="0.25">
      <c r="A2904">
        <v>8504660</v>
      </c>
      <c r="B2904" t="s">
        <v>6449</v>
      </c>
      <c r="C2904" t="s">
        <v>101</v>
      </c>
      <c r="D2904" t="s">
        <v>86</v>
      </c>
      <c r="E2904" t="s">
        <v>87</v>
      </c>
      <c r="F2904" t="s">
        <v>6433</v>
      </c>
      <c r="G2904">
        <v>5415</v>
      </c>
      <c r="H2904" t="s">
        <v>6433</v>
      </c>
      <c r="I2904" t="s">
        <v>103</v>
      </c>
      <c r="K2904">
        <v>2563391</v>
      </c>
      <c r="L2904">
        <v>1131436</v>
      </c>
      <c r="M2904">
        <v>518</v>
      </c>
      <c r="N2904" t="s">
        <v>6450</v>
      </c>
    </row>
    <row r="2905" spans="1:14" x14ac:dyDescent="0.25">
      <c r="A2905">
        <v>8595963</v>
      </c>
      <c r="B2905" t="s">
        <v>6451</v>
      </c>
      <c r="C2905" t="s">
        <v>101</v>
      </c>
      <c r="D2905" t="s">
        <v>86</v>
      </c>
      <c r="E2905" t="s">
        <v>87</v>
      </c>
      <c r="F2905" t="s">
        <v>6433</v>
      </c>
      <c r="G2905">
        <v>5415</v>
      </c>
      <c r="H2905" t="s">
        <v>6433</v>
      </c>
      <c r="I2905" t="s">
        <v>103</v>
      </c>
      <c r="K2905">
        <v>2563239</v>
      </c>
      <c r="L2905">
        <v>1130679</v>
      </c>
      <c r="M2905">
        <v>404</v>
      </c>
      <c r="N2905" t="s">
        <v>6452</v>
      </c>
    </row>
    <row r="2906" spans="1:14" x14ac:dyDescent="0.25">
      <c r="A2906">
        <v>8570603</v>
      </c>
      <c r="B2906" t="s">
        <v>6453</v>
      </c>
      <c r="C2906" t="s">
        <v>101</v>
      </c>
      <c r="D2906" t="s">
        <v>86</v>
      </c>
      <c r="E2906" t="s">
        <v>87</v>
      </c>
      <c r="F2906" t="s">
        <v>6433</v>
      </c>
      <c r="G2906">
        <v>5415</v>
      </c>
      <c r="H2906" t="s">
        <v>6433</v>
      </c>
      <c r="I2906" t="s">
        <v>103</v>
      </c>
      <c r="K2906">
        <v>2563063</v>
      </c>
      <c r="L2906">
        <v>1131238</v>
      </c>
      <c r="M2906">
        <v>449</v>
      </c>
      <c r="N2906" t="s">
        <v>6454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H31"/>
  <sheetViews>
    <sheetView workbookViewId="0">
      <selection activeCell="Z1" sqref="Z1"/>
    </sheetView>
  </sheetViews>
  <sheetFormatPr baseColWidth="10" defaultColWidth="11.42578125" defaultRowHeight="15" x14ac:dyDescent="0.25"/>
  <cols>
    <col min="1" max="1" width="17" customWidth="1"/>
    <col min="2" max="2" width="37.140625" customWidth="1"/>
    <col min="3" max="3" width="35.140625" bestFit="1" customWidth="1"/>
  </cols>
  <sheetData>
    <row r="1" spans="1:8" ht="15.75" customHeight="1" x14ac:dyDescent="0.25">
      <c r="A1" t="s">
        <v>70</v>
      </c>
      <c r="B1" t="s">
        <v>13</v>
      </c>
      <c r="G1" t="s">
        <v>6456</v>
      </c>
      <c r="H1" s="9" t="s">
        <v>6457</v>
      </c>
    </row>
    <row r="2" spans="1:8" x14ac:dyDescent="0.25">
      <c r="A2" t="s">
        <v>28</v>
      </c>
      <c r="B2">
        <v>70</v>
      </c>
    </row>
    <row r="3" spans="1:8" x14ac:dyDescent="0.25">
      <c r="A3" t="s">
        <v>32</v>
      </c>
      <c r="B3">
        <v>250</v>
      </c>
    </row>
    <row r="4" spans="1:8" x14ac:dyDescent="0.25">
      <c r="A4" t="s">
        <v>36</v>
      </c>
      <c r="B4">
        <v>310</v>
      </c>
    </row>
    <row r="5" spans="1:8" x14ac:dyDescent="0.25">
      <c r="A5" t="s">
        <v>40</v>
      </c>
      <c r="B5">
        <v>35</v>
      </c>
    </row>
    <row r="6" spans="1:8" x14ac:dyDescent="0.25">
      <c r="A6" t="s">
        <v>41</v>
      </c>
      <c r="B6">
        <v>600</v>
      </c>
    </row>
    <row r="7" spans="1:8" x14ac:dyDescent="0.25">
      <c r="A7" t="s">
        <v>42</v>
      </c>
      <c r="B7">
        <v>480</v>
      </c>
    </row>
    <row r="8" spans="1:8" x14ac:dyDescent="0.25">
      <c r="A8" t="s">
        <v>43</v>
      </c>
      <c r="B8">
        <v>280</v>
      </c>
    </row>
    <row r="9" spans="1:8" x14ac:dyDescent="0.25">
      <c r="A9" t="s">
        <v>44</v>
      </c>
      <c r="B9">
        <v>550</v>
      </c>
    </row>
    <row r="10" spans="1:8" x14ac:dyDescent="0.25">
      <c r="A10" t="s">
        <v>45</v>
      </c>
      <c r="B10">
        <v>180</v>
      </c>
    </row>
    <row r="11" spans="1:8" x14ac:dyDescent="0.25">
      <c r="A11" t="s">
        <v>46</v>
      </c>
      <c r="B11">
        <v>140</v>
      </c>
    </row>
    <row r="12" spans="1:8" x14ac:dyDescent="0.25">
      <c r="A12" t="s">
        <v>47</v>
      </c>
      <c r="B12">
        <v>220</v>
      </c>
    </row>
    <row r="13" spans="1:8" x14ac:dyDescent="0.25">
      <c r="A13" t="s">
        <v>48</v>
      </c>
      <c r="B13">
        <v>460</v>
      </c>
    </row>
    <row r="14" spans="1:8" x14ac:dyDescent="0.25">
      <c r="A14" t="s">
        <v>49</v>
      </c>
      <c r="B14">
        <v>750</v>
      </c>
    </row>
    <row r="15" spans="1:8" x14ac:dyDescent="0.25">
      <c r="A15" t="s">
        <v>50</v>
      </c>
      <c r="B15">
        <v>110</v>
      </c>
    </row>
    <row r="16" spans="1:8" x14ac:dyDescent="0.25">
      <c r="A16" t="s">
        <v>51</v>
      </c>
      <c r="B16">
        <v>130</v>
      </c>
    </row>
    <row r="17" spans="1:2" x14ac:dyDescent="0.25">
      <c r="A17" t="s">
        <v>52</v>
      </c>
      <c r="B17">
        <v>8500</v>
      </c>
    </row>
    <row r="18" spans="1:2" x14ac:dyDescent="0.25">
      <c r="A18" t="s">
        <v>53</v>
      </c>
      <c r="B18">
        <v>850</v>
      </c>
    </row>
    <row r="19" spans="1:2" x14ac:dyDescent="0.25">
      <c r="A19" t="s">
        <v>54</v>
      </c>
      <c r="B19">
        <v>250</v>
      </c>
    </row>
    <row r="20" spans="1:2" x14ac:dyDescent="0.25">
      <c r="A20" t="s">
        <v>55</v>
      </c>
      <c r="B20">
        <v>600</v>
      </c>
    </row>
    <row r="21" spans="1:2" x14ac:dyDescent="0.25">
      <c r="A21" t="s">
        <v>56</v>
      </c>
      <c r="B21">
        <v>1600</v>
      </c>
    </row>
    <row r="22" spans="1:2" x14ac:dyDescent="0.25">
      <c r="A22" t="s">
        <v>57</v>
      </c>
      <c r="B22">
        <v>230</v>
      </c>
    </row>
    <row r="23" spans="1:2" x14ac:dyDescent="0.25">
      <c r="A23" t="s">
        <v>58</v>
      </c>
      <c r="B23">
        <v>650</v>
      </c>
    </row>
    <row r="24" spans="1:2" x14ac:dyDescent="0.25">
      <c r="A24" t="s">
        <v>59</v>
      </c>
      <c r="B24">
        <v>1100</v>
      </c>
    </row>
    <row r="25" spans="1:2" x14ac:dyDescent="0.25">
      <c r="A25" t="s">
        <v>60</v>
      </c>
      <c r="B25">
        <v>950</v>
      </c>
    </row>
    <row r="26" spans="1:2" x14ac:dyDescent="0.25">
      <c r="A26" t="s">
        <v>61</v>
      </c>
      <c r="B26">
        <v>40</v>
      </c>
    </row>
    <row r="27" spans="1:2" x14ac:dyDescent="0.25">
      <c r="A27" t="s">
        <v>62</v>
      </c>
      <c r="B27">
        <v>350</v>
      </c>
    </row>
    <row r="28" spans="1:2" x14ac:dyDescent="0.25">
      <c r="A28" t="s">
        <v>63</v>
      </c>
      <c r="B28">
        <v>300</v>
      </c>
    </row>
    <row r="29" spans="1:2" x14ac:dyDescent="0.25">
      <c r="A29" t="s">
        <v>64</v>
      </c>
      <c r="B29">
        <v>320</v>
      </c>
    </row>
    <row r="30" spans="1:2" x14ac:dyDescent="0.25">
      <c r="A30" t="s">
        <v>65</v>
      </c>
      <c r="B30">
        <v>80</v>
      </c>
    </row>
    <row r="31" spans="1:2" x14ac:dyDescent="0.25">
      <c r="A31" s="14" t="s">
        <v>66</v>
      </c>
      <c r="B31">
        <v>450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sheetPr>
  <dimension ref="A1:S31"/>
  <sheetViews>
    <sheetView topLeftCell="D1" workbookViewId="0">
      <selection activeCell="Z1" sqref="Z1"/>
    </sheetView>
  </sheetViews>
  <sheetFormatPr baseColWidth="10" defaultColWidth="11.42578125" defaultRowHeight="15" x14ac:dyDescent="0.25"/>
  <cols>
    <col min="1" max="1" width="15" customWidth="1"/>
  </cols>
  <sheetData>
    <row r="1" spans="1:19" ht="15" customHeight="1" x14ac:dyDescent="0.25">
      <c r="A1" t="s">
        <v>70</v>
      </c>
      <c r="B1" t="s">
        <v>14</v>
      </c>
      <c r="C1" t="s">
        <v>6458</v>
      </c>
      <c r="F1" s="10" t="s">
        <v>6459</v>
      </c>
      <c r="I1" s="9" t="s">
        <v>6460</v>
      </c>
      <c r="S1" t="s">
        <v>6461</v>
      </c>
    </row>
    <row r="2" spans="1:19" ht="15" customHeight="1" x14ac:dyDescent="0.25">
      <c r="A2" t="s">
        <v>28</v>
      </c>
      <c r="B2">
        <v>25</v>
      </c>
      <c r="C2" t="s">
        <v>6462</v>
      </c>
    </row>
    <row r="3" spans="1:19" ht="15" customHeight="1" x14ac:dyDescent="0.25">
      <c r="A3" t="s">
        <v>32</v>
      </c>
      <c r="B3">
        <v>40</v>
      </c>
      <c r="C3" t="s">
        <v>6462</v>
      </c>
      <c r="F3" s="9"/>
    </row>
    <row r="4" spans="1:19" ht="15" customHeight="1" x14ac:dyDescent="0.25">
      <c r="A4" t="s">
        <v>36</v>
      </c>
      <c r="B4">
        <v>35</v>
      </c>
      <c r="C4" t="s">
        <v>6462</v>
      </c>
    </row>
    <row r="5" spans="1:19" ht="15" customHeight="1" x14ac:dyDescent="0.25">
      <c r="A5" t="s">
        <v>40</v>
      </c>
      <c r="B5">
        <v>25</v>
      </c>
      <c r="C5" t="s">
        <v>6463</v>
      </c>
    </row>
    <row r="6" spans="1:19" ht="15" customHeight="1" x14ac:dyDescent="0.25">
      <c r="A6" t="s">
        <v>41</v>
      </c>
      <c r="B6">
        <v>35</v>
      </c>
      <c r="C6" t="s">
        <v>6462</v>
      </c>
    </row>
    <row r="7" spans="1:19" ht="15" customHeight="1" x14ac:dyDescent="0.25">
      <c r="A7" t="s">
        <v>42</v>
      </c>
      <c r="B7">
        <v>35</v>
      </c>
      <c r="C7" t="s">
        <v>6462</v>
      </c>
    </row>
    <row r="8" spans="1:19" ht="15" customHeight="1" x14ac:dyDescent="0.25">
      <c r="A8" t="s">
        <v>43</v>
      </c>
      <c r="B8">
        <v>20</v>
      </c>
      <c r="C8" t="s">
        <v>6462</v>
      </c>
    </row>
    <row r="9" spans="1:19" ht="15" customHeight="1" x14ac:dyDescent="0.25">
      <c r="A9" t="s">
        <v>44</v>
      </c>
      <c r="B9">
        <v>35</v>
      </c>
      <c r="C9" t="s">
        <v>6462</v>
      </c>
    </row>
    <row r="10" spans="1:19" ht="15" customHeight="1" x14ac:dyDescent="0.25">
      <c r="A10" t="s">
        <v>45</v>
      </c>
      <c r="B10">
        <v>30</v>
      </c>
      <c r="C10" t="s">
        <v>6463</v>
      </c>
    </row>
    <row r="11" spans="1:19" ht="15" customHeight="1" x14ac:dyDescent="0.25">
      <c r="A11" t="s">
        <v>46</v>
      </c>
      <c r="B11">
        <v>29</v>
      </c>
      <c r="C11" t="s">
        <v>6463</v>
      </c>
    </row>
    <row r="12" spans="1:19" ht="15" customHeight="1" x14ac:dyDescent="0.25">
      <c r="A12" t="s">
        <v>47</v>
      </c>
      <c r="B12">
        <v>30</v>
      </c>
      <c r="C12" t="s">
        <v>6463</v>
      </c>
    </row>
    <row r="13" spans="1:19" ht="15" customHeight="1" x14ac:dyDescent="0.25">
      <c r="A13" t="s">
        <v>48</v>
      </c>
      <c r="B13">
        <v>35</v>
      </c>
      <c r="C13" t="s">
        <v>6462</v>
      </c>
    </row>
    <row r="14" spans="1:19" ht="15" customHeight="1" x14ac:dyDescent="0.25">
      <c r="A14" t="s">
        <v>49</v>
      </c>
      <c r="B14">
        <v>30</v>
      </c>
      <c r="C14" t="s">
        <v>6463</v>
      </c>
    </row>
    <row r="15" spans="1:19" ht="15" customHeight="1" x14ac:dyDescent="0.25">
      <c r="A15" t="s">
        <v>50</v>
      </c>
      <c r="B15">
        <v>22</v>
      </c>
      <c r="C15" t="s">
        <v>6462</v>
      </c>
    </row>
    <row r="16" spans="1:19" ht="15" customHeight="1" x14ac:dyDescent="0.25">
      <c r="A16" s="12" t="s">
        <v>51</v>
      </c>
      <c r="B16">
        <v>30</v>
      </c>
      <c r="C16" t="s">
        <v>6463</v>
      </c>
    </row>
    <row r="17" spans="1:6" ht="15" customHeight="1" x14ac:dyDescent="0.25">
      <c r="A17" t="s">
        <v>52</v>
      </c>
      <c r="B17">
        <v>36</v>
      </c>
      <c r="C17" t="s">
        <v>6462</v>
      </c>
    </row>
    <row r="18" spans="1:6" ht="15" customHeight="1" x14ac:dyDescent="0.25">
      <c r="A18" t="s">
        <v>53</v>
      </c>
      <c r="B18">
        <v>30</v>
      </c>
      <c r="C18" t="s">
        <v>6463</v>
      </c>
    </row>
    <row r="19" spans="1:6" ht="15" customHeight="1" x14ac:dyDescent="0.25">
      <c r="A19" t="s">
        <v>54</v>
      </c>
      <c r="B19">
        <v>38</v>
      </c>
      <c r="C19" t="s">
        <v>6462</v>
      </c>
    </row>
    <row r="20" spans="1:6" ht="15" customHeight="1" x14ac:dyDescent="0.25">
      <c r="A20" t="s">
        <v>55</v>
      </c>
      <c r="B20">
        <v>38</v>
      </c>
      <c r="C20" t="s">
        <v>6462</v>
      </c>
    </row>
    <row r="21" spans="1:6" ht="15" customHeight="1" x14ac:dyDescent="0.25">
      <c r="A21" t="s">
        <v>56</v>
      </c>
      <c r="B21">
        <v>38</v>
      </c>
      <c r="C21" t="s">
        <v>6462</v>
      </c>
      <c r="F21" s="11"/>
    </row>
    <row r="22" spans="1:6" ht="15" customHeight="1" x14ac:dyDescent="0.25">
      <c r="A22" t="s">
        <v>57</v>
      </c>
      <c r="B22">
        <v>38</v>
      </c>
      <c r="C22" t="s">
        <v>6462</v>
      </c>
    </row>
    <row r="23" spans="1:6" ht="15" customHeight="1" x14ac:dyDescent="0.25">
      <c r="A23" t="s">
        <v>58</v>
      </c>
      <c r="B23">
        <v>36</v>
      </c>
      <c r="C23" t="s">
        <v>6462</v>
      </c>
    </row>
    <row r="24" spans="1:6" ht="15" customHeight="1" x14ac:dyDescent="0.25">
      <c r="A24" t="s">
        <v>59</v>
      </c>
      <c r="B24">
        <v>36</v>
      </c>
      <c r="C24" t="s">
        <v>6462</v>
      </c>
    </row>
    <row r="25" spans="1:6" ht="15" customHeight="1" x14ac:dyDescent="0.25">
      <c r="A25" t="s">
        <v>60</v>
      </c>
      <c r="B25">
        <v>36</v>
      </c>
      <c r="C25" t="s">
        <v>6462</v>
      </c>
    </row>
    <row r="26" spans="1:6" ht="15" customHeight="1" x14ac:dyDescent="0.25">
      <c r="A26" t="s">
        <v>61</v>
      </c>
      <c r="B26">
        <v>25</v>
      </c>
      <c r="C26" t="s">
        <v>6462</v>
      </c>
    </row>
    <row r="27" spans="1:6" ht="15" customHeight="1" x14ac:dyDescent="0.25">
      <c r="A27" t="s">
        <v>62</v>
      </c>
      <c r="B27">
        <v>23</v>
      </c>
      <c r="C27" t="s">
        <v>6463</v>
      </c>
    </row>
    <row r="28" spans="1:6" ht="15" customHeight="1" x14ac:dyDescent="0.25">
      <c r="A28" t="s">
        <v>63</v>
      </c>
      <c r="B28">
        <v>28</v>
      </c>
      <c r="C28" t="s">
        <v>6463</v>
      </c>
    </row>
    <row r="29" spans="1:6" ht="15" customHeight="1" x14ac:dyDescent="0.25">
      <c r="A29" t="s">
        <v>64</v>
      </c>
      <c r="B29">
        <v>32</v>
      </c>
      <c r="C29" t="s">
        <v>6463</v>
      </c>
    </row>
    <row r="30" spans="1:6" ht="15" customHeight="1" x14ac:dyDescent="0.25">
      <c r="A30" t="s">
        <v>65</v>
      </c>
      <c r="B30">
        <v>32</v>
      </c>
      <c r="C30" t="s">
        <v>6464</v>
      </c>
    </row>
    <row r="31" spans="1:6" x14ac:dyDescent="0.25">
      <c r="A31" s="14" t="s">
        <v>66</v>
      </c>
      <c r="B31">
        <v>22</v>
      </c>
      <c r="C31" t="s">
        <v>6463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G31"/>
  <sheetViews>
    <sheetView topLeftCell="E1" workbookViewId="0">
      <selection activeCell="Z1" sqref="Z1"/>
    </sheetView>
  </sheetViews>
  <sheetFormatPr baseColWidth="10" defaultColWidth="11.42578125" defaultRowHeight="15" x14ac:dyDescent="0.25"/>
  <cols>
    <col min="1" max="1" width="20" customWidth="1"/>
  </cols>
  <sheetData>
    <row r="1" spans="1:7" x14ac:dyDescent="0.25">
      <c r="A1" t="s">
        <v>6455</v>
      </c>
      <c r="B1" t="s">
        <v>6465</v>
      </c>
      <c r="C1" t="s">
        <v>6466</v>
      </c>
      <c r="D1" t="s">
        <v>15</v>
      </c>
      <c r="G1" t="s">
        <v>6467</v>
      </c>
    </row>
    <row r="2" spans="1:7" ht="15.75" customHeight="1" x14ac:dyDescent="0.25">
      <c r="A2" t="s">
        <v>28</v>
      </c>
      <c r="B2">
        <v>1</v>
      </c>
      <c r="C2">
        <v>1</v>
      </c>
      <c r="D2">
        <f t="shared" ref="D2:D31" si="0">B2+C2</f>
        <v>2</v>
      </c>
      <c r="G2" s="9" t="s">
        <v>6468</v>
      </c>
    </row>
    <row r="3" spans="1:7" x14ac:dyDescent="0.25">
      <c r="A3" t="s">
        <v>32</v>
      </c>
      <c r="B3">
        <v>2</v>
      </c>
      <c r="C3">
        <v>2</v>
      </c>
      <c r="D3">
        <f t="shared" si="0"/>
        <v>4</v>
      </c>
    </row>
    <row r="4" spans="1:7" x14ac:dyDescent="0.25">
      <c r="A4" t="s">
        <v>36</v>
      </c>
      <c r="B4">
        <v>3</v>
      </c>
      <c r="C4">
        <v>3</v>
      </c>
      <c r="D4">
        <f t="shared" si="0"/>
        <v>6</v>
      </c>
    </row>
    <row r="5" spans="1:7" x14ac:dyDescent="0.25">
      <c r="A5" t="s">
        <v>40</v>
      </c>
      <c r="B5">
        <v>1</v>
      </c>
      <c r="C5">
        <v>1</v>
      </c>
      <c r="D5">
        <f t="shared" si="0"/>
        <v>2</v>
      </c>
    </row>
    <row r="6" spans="1:7" x14ac:dyDescent="0.25">
      <c r="A6" t="s">
        <v>41</v>
      </c>
      <c r="B6">
        <v>6</v>
      </c>
      <c r="C6">
        <v>7</v>
      </c>
      <c r="D6">
        <f t="shared" si="0"/>
        <v>13</v>
      </c>
    </row>
    <row r="7" spans="1:7" x14ac:dyDescent="0.25">
      <c r="A7" t="s">
        <v>42</v>
      </c>
      <c r="B7">
        <v>5</v>
      </c>
      <c r="C7">
        <v>4</v>
      </c>
      <c r="D7">
        <f t="shared" si="0"/>
        <v>9</v>
      </c>
    </row>
    <row r="8" spans="1:7" x14ac:dyDescent="0.25">
      <c r="A8" t="s">
        <v>43</v>
      </c>
      <c r="B8">
        <v>4</v>
      </c>
      <c r="C8">
        <v>3</v>
      </c>
      <c r="D8">
        <f t="shared" si="0"/>
        <v>7</v>
      </c>
    </row>
    <row r="9" spans="1:7" x14ac:dyDescent="0.25">
      <c r="A9" t="s">
        <v>44</v>
      </c>
      <c r="B9">
        <v>6</v>
      </c>
      <c r="C9">
        <v>9</v>
      </c>
      <c r="D9">
        <f t="shared" si="0"/>
        <v>15</v>
      </c>
    </row>
    <row r="10" spans="1:7" x14ac:dyDescent="0.25">
      <c r="A10" t="s">
        <v>45</v>
      </c>
      <c r="B10">
        <v>2</v>
      </c>
      <c r="C10">
        <v>2</v>
      </c>
      <c r="D10">
        <f t="shared" si="0"/>
        <v>4</v>
      </c>
    </row>
    <row r="11" spans="1:7" x14ac:dyDescent="0.25">
      <c r="A11" t="s">
        <v>46</v>
      </c>
      <c r="B11">
        <v>2</v>
      </c>
      <c r="C11">
        <v>2</v>
      </c>
      <c r="D11">
        <f t="shared" si="0"/>
        <v>4</v>
      </c>
    </row>
    <row r="12" spans="1:7" x14ac:dyDescent="0.25">
      <c r="A12" t="s">
        <v>47</v>
      </c>
      <c r="B12">
        <v>2</v>
      </c>
      <c r="C12">
        <v>3</v>
      </c>
      <c r="D12">
        <f t="shared" si="0"/>
        <v>5</v>
      </c>
    </row>
    <row r="13" spans="1:7" x14ac:dyDescent="0.25">
      <c r="A13" t="s">
        <v>48</v>
      </c>
      <c r="B13">
        <v>7</v>
      </c>
      <c r="C13">
        <v>11</v>
      </c>
      <c r="D13">
        <f t="shared" si="0"/>
        <v>18</v>
      </c>
    </row>
    <row r="14" spans="1:7" x14ac:dyDescent="0.25">
      <c r="A14" t="s">
        <v>49</v>
      </c>
      <c r="B14">
        <v>7</v>
      </c>
      <c r="C14">
        <v>5</v>
      </c>
      <c r="D14">
        <f t="shared" si="0"/>
        <v>12</v>
      </c>
    </row>
    <row r="15" spans="1:7" x14ac:dyDescent="0.25">
      <c r="A15" t="s">
        <v>50</v>
      </c>
      <c r="B15">
        <v>2</v>
      </c>
      <c r="C15">
        <v>1</v>
      </c>
      <c r="D15">
        <f t="shared" si="0"/>
        <v>3</v>
      </c>
    </row>
    <row r="16" spans="1:7" x14ac:dyDescent="0.25">
      <c r="A16" t="s">
        <v>51</v>
      </c>
      <c r="B16">
        <v>1</v>
      </c>
      <c r="C16">
        <v>2</v>
      </c>
      <c r="D16">
        <f t="shared" si="0"/>
        <v>3</v>
      </c>
    </row>
    <row r="17" spans="1:4" x14ac:dyDescent="0.25">
      <c r="A17" t="s">
        <v>52</v>
      </c>
      <c r="B17">
        <v>85</v>
      </c>
      <c r="C17">
        <v>45</v>
      </c>
      <c r="D17">
        <f t="shared" si="0"/>
        <v>130</v>
      </c>
    </row>
    <row r="18" spans="1:4" x14ac:dyDescent="0.25">
      <c r="A18" t="s">
        <v>53</v>
      </c>
      <c r="B18">
        <v>13</v>
      </c>
      <c r="C18">
        <v>7</v>
      </c>
      <c r="D18">
        <f t="shared" si="0"/>
        <v>20</v>
      </c>
    </row>
    <row r="19" spans="1:4" x14ac:dyDescent="0.25">
      <c r="A19" t="s">
        <v>54</v>
      </c>
      <c r="B19">
        <v>3</v>
      </c>
      <c r="C19">
        <v>2</v>
      </c>
      <c r="D19">
        <f t="shared" si="0"/>
        <v>5</v>
      </c>
    </row>
    <row r="20" spans="1:4" x14ac:dyDescent="0.25">
      <c r="A20" t="s">
        <v>55</v>
      </c>
      <c r="B20">
        <v>6</v>
      </c>
      <c r="C20">
        <v>5</v>
      </c>
      <c r="D20">
        <f t="shared" si="0"/>
        <v>11</v>
      </c>
    </row>
    <row r="21" spans="1:4" x14ac:dyDescent="0.25">
      <c r="A21" t="s">
        <v>56</v>
      </c>
      <c r="B21">
        <v>18</v>
      </c>
      <c r="C21">
        <v>12</v>
      </c>
      <c r="D21">
        <f t="shared" si="0"/>
        <v>30</v>
      </c>
    </row>
    <row r="22" spans="1:4" x14ac:dyDescent="0.25">
      <c r="A22" t="s">
        <v>57</v>
      </c>
      <c r="B22">
        <v>3</v>
      </c>
      <c r="C22">
        <v>3</v>
      </c>
      <c r="D22">
        <f t="shared" si="0"/>
        <v>6</v>
      </c>
    </row>
    <row r="23" spans="1:4" x14ac:dyDescent="0.25">
      <c r="A23" t="s">
        <v>58</v>
      </c>
      <c r="B23">
        <v>8</v>
      </c>
      <c r="C23">
        <v>6</v>
      </c>
      <c r="D23">
        <f t="shared" si="0"/>
        <v>14</v>
      </c>
    </row>
    <row r="24" spans="1:4" x14ac:dyDescent="0.25">
      <c r="A24" t="s">
        <v>59</v>
      </c>
      <c r="B24">
        <v>10</v>
      </c>
      <c r="C24">
        <v>8</v>
      </c>
      <c r="D24">
        <f t="shared" si="0"/>
        <v>18</v>
      </c>
    </row>
    <row r="25" spans="1:4" x14ac:dyDescent="0.25">
      <c r="A25" t="s">
        <v>60</v>
      </c>
      <c r="B25">
        <v>12</v>
      </c>
      <c r="C25">
        <v>10</v>
      </c>
      <c r="D25">
        <f t="shared" si="0"/>
        <v>22</v>
      </c>
    </row>
    <row r="26" spans="1:4" x14ac:dyDescent="0.25">
      <c r="A26" t="s">
        <v>61</v>
      </c>
      <c r="B26">
        <v>1</v>
      </c>
      <c r="C26">
        <v>1</v>
      </c>
      <c r="D26">
        <f t="shared" si="0"/>
        <v>2</v>
      </c>
    </row>
    <row r="27" spans="1:4" x14ac:dyDescent="0.25">
      <c r="A27" t="s">
        <v>62</v>
      </c>
      <c r="B27">
        <v>4</v>
      </c>
      <c r="C27">
        <v>5</v>
      </c>
      <c r="D27">
        <f t="shared" si="0"/>
        <v>9</v>
      </c>
    </row>
    <row r="28" spans="1:4" x14ac:dyDescent="0.25">
      <c r="A28" t="s">
        <v>63</v>
      </c>
      <c r="B28">
        <v>5</v>
      </c>
      <c r="C28">
        <v>4</v>
      </c>
      <c r="D28">
        <f t="shared" si="0"/>
        <v>9</v>
      </c>
    </row>
    <row r="29" spans="1:4" x14ac:dyDescent="0.25">
      <c r="A29" t="s">
        <v>64</v>
      </c>
      <c r="B29">
        <v>4</v>
      </c>
      <c r="C29">
        <v>4</v>
      </c>
      <c r="D29">
        <f t="shared" si="0"/>
        <v>8</v>
      </c>
    </row>
    <row r="30" spans="1:4" x14ac:dyDescent="0.25">
      <c r="A30" t="s">
        <v>65</v>
      </c>
      <c r="B30">
        <v>1</v>
      </c>
      <c r="C30">
        <v>1</v>
      </c>
      <c r="D30">
        <f t="shared" si="0"/>
        <v>2</v>
      </c>
    </row>
    <row r="31" spans="1:4" x14ac:dyDescent="0.25">
      <c r="A31" s="14" t="s">
        <v>66</v>
      </c>
      <c r="B31">
        <v>2</v>
      </c>
      <c r="C31">
        <v>3</v>
      </c>
      <c r="D31">
        <f t="shared" si="0"/>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89999084444715716"/>
  </sheetPr>
  <dimension ref="A1:Z329"/>
  <sheetViews>
    <sheetView zoomScaleNormal="100" zoomScaleSheetLayoutView="100" workbookViewId="0">
      <selection activeCell="Z1" sqref="Z1"/>
    </sheetView>
  </sheetViews>
  <sheetFormatPr baseColWidth="10" defaultColWidth="11.42578125" defaultRowHeight="15" x14ac:dyDescent="0.25"/>
  <cols>
    <col min="1" max="15" width="15.28515625" style="21" customWidth="1"/>
    <col min="16" max="16" width="7.5703125" style="21" customWidth="1"/>
    <col min="17" max="17" width="39.42578125" style="21" customWidth="1"/>
    <col min="18" max="18" width="11.42578125" style="21" customWidth="1"/>
    <col min="19" max="16384" width="11.42578125" style="21"/>
  </cols>
  <sheetData>
    <row r="1" spans="1:26" ht="150" customHeight="1" x14ac:dyDescent="0.25">
      <c r="A1" s="82">
        <v>2026</v>
      </c>
      <c r="B1" s="74" t="s">
        <v>6469</v>
      </c>
      <c r="C1" s="74" t="s">
        <v>6470</v>
      </c>
      <c r="D1" s="81" t="s">
        <v>16</v>
      </c>
      <c r="E1" s="80" t="s">
        <v>6471</v>
      </c>
      <c r="F1" s="79" t="s">
        <v>6472</v>
      </c>
      <c r="G1" s="74" t="s">
        <v>6473</v>
      </c>
      <c r="H1" s="74" t="s">
        <v>6474</v>
      </c>
      <c r="I1" s="78" t="s">
        <v>6475</v>
      </c>
      <c r="J1" s="77" t="s">
        <v>6476</v>
      </c>
      <c r="K1" s="75" t="s">
        <v>6477</v>
      </c>
      <c r="L1" s="76" t="s">
        <v>6478</v>
      </c>
      <c r="M1" s="75" t="s">
        <v>6479</v>
      </c>
      <c r="N1" s="75" t="s">
        <v>6480</v>
      </c>
      <c r="O1" s="74" t="s">
        <v>6481</v>
      </c>
      <c r="P1" s="74" t="s">
        <v>6482</v>
      </c>
      <c r="Q1" s="73" t="s">
        <v>6483</v>
      </c>
      <c r="Z1"/>
    </row>
    <row r="2" spans="1:26" ht="15.75" customHeight="1" thickBot="1" x14ac:dyDescent="0.3">
      <c r="A2" s="72"/>
      <c r="B2" s="71"/>
      <c r="C2" s="70"/>
      <c r="D2" s="69">
        <v>1</v>
      </c>
      <c r="E2" s="69">
        <v>2</v>
      </c>
      <c r="F2" s="68" t="s">
        <v>6484</v>
      </c>
      <c r="G2" s="65" t="s">
        <v>6485</v>
      </c>
      <c r="H2" s="66" t="s">
        <v>6485</v>
      </c>
      <c r="I2" s="67" t="s">
        <v>6486</v>
      </c>
      <c r="J2" s="66" t="s">
        <v>6487</v>
      </c>
      <c r="K2" s="65" t="s">
        <v>6487</v>
      </c>
      <c r="L2" s="65" t="s">
        <v>6487</v>
      </c>
      <c r="M2" s="65" t="s">
        <v>6487</v>
      </c>
      <c r="N2" s="65" t="s">
        <v>6487</v>
      </c>
      <c r="O2" s="65" t="s">
        <v>6487</v>
      </c>
      <c r="P2" s="65" t="s">
        <v>6486</v>
      </c>
      <c r="Q2" s="64" t="s">
        <v>6488</v>
      </c>
    </row>
    <row r="3" spans="1:26" x14ac:dyDescent="0.25">
      <c r="A3" s="48"/>
      <c r="B3" s="35"/>
      <c r="C3" s="35"/>
      <c r="D3" s="35"/>
      <c r="E3" s="35"/>
      <c r="F3" s="35"/>
      <c r="G3" s="35"/>
      <c r="H3" s="35"/>
      <c r="I3" s="35"/>
      <c r="J3" s="35"/>
      <c r="K3" s="35"/>
      <c r="L3" s="35"/>
      <c r="M3" s="35"/>
      <c r="N3" s="35"/>
      <c r="O3" s="35"/>
      <c r="P3" s="35"/>
      <c r="Q3" s="46"/>
    </row>
    <row r="4" spans="1:26" x14ac:dyDescent="0.25">
      <c r="A4" s="47" t="s">
        <v>6489</v>
      </c>
      <c r="B4" s="35"/>
      <c r="C4" s="35"/>
      <c r="D4" s="35"/>
      <c r="E4" s="35"/>
      <c r="F4" s="35"/>
      <c r="G4" s="35"/>
      <c r="H4" s="35"/>
      <c r="I4" s="35"/>
      <c r="J4" s="35"/>
      <c r="K4" s="35"/>
      <c r="L4" s="35"/>
      <c r="M4" s="35"/>
      <c r="N4" s="35"/>
      <c r="O4" s="35"/>
      <c r="P4" s="35"/>
      <c r="Q4" s="46"/>
    </row>
    <row r="5" spans="1:26" x14ac:dyDescent="0.25">
      <c r="A5" s="36" t="s">
        <v>102</v>
      </c>
      <c r="B5" s="35">
        <v>2021</v>
      </c>
      <c r="C5" s="35">
        <v>2026</v>
      </c>
      <c r="D5" s="33">
        <v>66</v>
      </c>
      <c r="E5" s="33" t="s">
        <v>6490</v>
      </c>
      <c r="F5" s="33">
        <v>66</v>
      </c>
      <c r="G5" s="31">
        <v>1.2</v>
      </c>
      <c r="H5" s="31">
        <v>0.5</v>
      </c>
      <c r="I5" s="35" t="s">
        <v>6490</v>
      </c>
      <c r="J5" s="35">
        <v>50</v>
      </c>
      <c r="K5" s="35">
        <v>50</v>
      </c>
      <c r="L5" s="35">
        <v>50</v>
      </c>
      <c r="M5" s="35">
        <v>100</v>
      </c>
      <c r="N5" s="35">
        <v>100</v>
      </c>
      <c r="O5" s="35">
        <v>50</v>
      </c>
      <c r="P5" s="31">
        <v>100</v>
      </c>
      <c r="Q5" s="49">
        <v>5</v>
      </c>
    </row>
    <row r="6" spans="1:26" x14ac:dyDescent="0.25">
      <c r="A6" s="36" t="s">
        <v>485</v>
      </c>
      <c r="B6" s="35" t="s">
        <v>6491</v>
      </c>
      <c r="C6" s="35" t="s">
        <v>6492</v>
      </c>
      <c r="D6" s="33">
        <v>71</v>
      </c>
      <c r="E6" s="33" t="s">
        <v>6490</v>
      </c>
      <c r="F6" s="33">
        <v>71</v>
      </c>
      <c r="G6" s="31">
        <v>1.25</v>
      </c>
      <c r="H6" s="31">
        <v>0.5</v>
      </c>
      <c r="I6" s="32" t="s">
        <v>6490</v>
      </c>
      <c r="J6" s="32">
        <v>50</v>
      </c>
      <c r="K6" s="32">
        <v>50</v>
      </c>
      <c r="L6" s="32">
        <v>50</v>
      </c>
      <c r="M6" s="32">
        <v>100</v>
      </c>
      <c r="N6" s="32">
        <v>100</v>
      </c>
      <c r="O6" s="32">
        <v>50</v>
      </c>
      <c r="P6" s="31">
        <v>100</v>
      </c>
      <c r="Q6" s="30">
        <v>0</v>
      </c>
    </row>
    <row r="7" spans="1:26" x14ac:dyDescent="0.25">
      <c r="A7" s="51" t="s">
        <v>1212</v>
      </c>
      <c r="B7" s="45">
        <v>2025</v>
      </c>
      <c r="C7" s="45">
        <v>2026</v>
      </c>
      <c r="D7" s="44">
        <v>65</v>
      </c>
      <c r="E7" s="43" t="s">
        <v>6490</v>
      </c>
      <c r="F7" s="44">
        <f>+D7</f>
        <v>65</v>
      </c>
      <c r="G7" s="41">
        <v>1</v>
      </c>
      <c r="H7" s="38">
        <v>0.5</v>
      </c>
      <c r="I7" s="40" t="s">
        <v>6490</v>
      </c>
      <c r="J7" s="39">
        <v>50</v>
      </c>
      <c r="K7" s="39" t="s">
        <v>6490</v>
      </c>
      <c r="L7" s="39" t="s">
        <v>6490</v>
      </c>
      <c r="M7" s="39">
        <v>50</v>
      </c>
      <c r="N7" s="39">
        <v>100</v>
      </c>
      <c r="O7" s="39">
        <v>50</v>
      </c>
      <c r="P7" s="38">
        <v>100</v>
      </c>
      <c r="Q7" s="50">
        <v>0</v>
      </c>
    </row>
    <row r="8" spans="1:26" x14ac:dyDescent="0.25">
      <c r="A8" s="36" t="s">
        <v>1297</v>
      </c>
      <c r="B8" s="35">
        <v>2025</v>
      </c>
      <c r="C8" s="35">
        <v>2026</v>
      </c>
      <c r="D8" s="33">
        <v>74</v>
      </c>
      <c r="E8" s="33" t="s">
        <v>6490</v>
      </c>
      <c r="F8" s="33">
        <v>74</v>
      </c>
      <c r="G8" s="31">
        <v>1.5</v>
      </c>
      <c r="H8" s="31">
        <v>0.5</v>
      </c>
      <c r="I8" s="35" t="s">
        <v>6490</v>
      </c>
      <c r="J8" s="35">
        <v>50</v>
      </c>
      <c r="K8" s="35">
        <v>50</v>
      </c>
      <c r="L8" s="35">
        <v>50</v>
      </c>
      <c r="M8" s="35">
        <v>100</v>
      </c>
      <c r="N8" s="35">
        <v>100</v>
      </c>
      <c r="O8" s="35">
        <v>50</v>
      </c>
      <c r="P8" s="31">
        <v>100</v>
      </c>
      <c r="Q8" s="49">
        <v>5</v>
      </c>
    </row>
    <row r="9" spans="1:26" x14ac:dyDescent="0.25">
      <c r="A9" s="36" t="s">
        <v>490</v>
      </c>
      <c r="B9" s="35">
        <v>2025</v>
      </c>
      <c r="C9" s="35">
        <v>2026</v>
      </c>
      <c r="D9" s="33">
        <v>73.5</v>
      </c>
      <c r="E9" s="33" t="s">
        <v>6490</v>
      </c>
      <c r="F9" s="33">
        <v>73.5</v>
      </c>
      <c r="G9" s="31">
        <v>1.5</v>
      </c>
      <c r="H9" s="31">
        <v>0.5</v>
      </c>
      <c r="I9" s="35" t="s">
        <v>6490</v>
      </c>
      <c r="J9" s="35">
        <v>50</v>
      </c>
      <c r="K9" s="39" t="s">
        <v>6490</v>
      </c>
      <c r="L9" s="39" t="s">
        <v>6490</v>
      </c>
      <c r="M9" s="35">
        <v>50</v>
      </c>
      <c r="N9" s="35">
        <v>100</v>
      </c>
      <c r="O9" s="35">
        <v>50</v>
      </c>
      <c r="P9" s="31">
        <v>100</v>
      </c>
      <c r="Q9" s="49">
        <v>0</v>
      </c>
    </row>
    <row r="10" spans="1:26" x14ac:dyDescent="0.25">
      <c r="A10" s="36" t="s">
        <v>3040</v>
      </c>
      <c r="B10" s="35">
        <v>2025</v>
      </c>
      <c r="C10" s="35">
        <v>2026</v>
      </c>
      <c r="D10" s="33">
        <v>71.5</v>
      </c>
      <c r="E10" s="33" t="s">
        <v>6490</v>
      </c>
      <c r="F10" s="33">
        <v>71.5</v>
      </c>
      <c r="G10" s="31">
        <v>1.3</v>
      </c>
      <c r="H10" s="31">
        <v>0.5</v>
      </c>
      <c r="I10" s="35" t="s">
        <v>6490</v>
      </c>
      <c r="J10" s="35">
        <v>50</v>
      </c>
      <c r="K10" s="35">
        <v>50</v>
      </c>
      <c r="L10" s="35">
        <v>50</v>
      </c>
      <c r="M10" s="35">
        <v>100</v>
      </c>
      <c r="N10" s="35">
        <v>100</v>
      </c>
      <c r="O10" s="35">
        <v>50</v>
      </c>
      <c r="P10" s="31">
        <v>100</v>
      </c>
      <c r="Q10" s="46" t="s">
        <v>6493</v>
      </c>
    </row>
    <row r="11" spans="1:26" x14ac:dyDescent="0.25">
      <c r="A11" s="36" t="s">
        <v>3187</v>
      </c>
      <c r="B11" s="35">
        <v>2025</v>
      </c>
      <c r="C11" s="35">
        <v>2026</v>
      </c>
      <c r="D11" s="33">
        <v>78</v>
      </c>
      <c r="E11" s="33" t="s">
        <v>6490</v>
      </c>
      <c r="F11" s="33">
        <v>78</v>
      </c>
      <c r="G11" s="31">
        <v>1.5</v>
      </c>
      <c r="H11" s="31">
        <v>0.5</v>
      </c>
      <c r="I11" s="35" t="s">
        <v>6490</v>
      </c>
      <c r="J11" s="35">
        <v>50</v>
      </c>
      <c r="K11" s="35">
        <v>50</v>
      </c>
      <c r="L11" s="35" t="s">
        <v>6490</v>
      </c>
      <c r="M11" s="35">
        <v>100</v>
      </c>
      <c r="N11" s="35">
        <v>100</v>
      </c>
      <c r="O11" s="35">
        <v>50</v>
      </c>
      <c r="P11" s="31">
        <v>100</v>
      </c>
      <c r="Q11" s="49">
        <v>15</v>
      </c>
    </row>
    <row r="12" spans="1:26" x14ac:dyDescent="0.25">
      <c r="A12" s="36" t="s">
        <v>4122</v>
      </c>
      <c r="B12" s="35">
        <v>2025</v>
      </c>
      <c r="C12" s="35">
        <v>2026</v>
      </c>
      <c r="D12" s="33">
        <v>75</v>
      </c>
      <c r="E12" s="33" t="s">
        <v>6490</v>
      </c>
      <c r="F12" s="33">
        <v>75</v>
      </c>
      <c r="G12" s="31">
        <v>1.5</v>
      </c>
      <c r="H12" s="31">
        <v>0.5</v>
      </c>
      <c r="I12" s="35" t="s">
        <v>6490</v>
      </c>
      <c r="J12" s="35">
        <v>50</v>
      </c>
      <c r="K12" s="35" t="s">
        <v>6490</v>
      </c>
      <c r="L12" s="35" t="s">
        <v>6490</v>
      </c>
      <c r="M12" s="35">
        <v>50</v>
      </c>
      <c r="N12" s="35">
        <v>100</v>
      </c>
      <c r="O12" s="35">
        <v>50</v>
      </c>
      <c r="P12" s="31">
        <v>100</v>
      </c>
      <c r="Q12" s="30">
        <v>0</v>
      </c>
    </row>
    <row r="13" spans="1:26" x14ac:dyDescent="0.25">
      <c r="A13" s="36" t="s">
        <v>4244</v>
      </c>
      <c r="B13" s="35">
        <v>2025</v>
      </c>
      <c r="C13" s="35">
        <v>2026</v>
      </c>
      <c r="D13" s="33">
        <v>68</v>
      </c>
      <c r="E13" s="33" t="s">
        <v>6490</v>
      </c>
      <c r="F13" s="33">
        <v>68</v>
      </c>
      <c r="G13" s="31">
        <v>1.3</v>
      </c>
      <c r="H13" s="31">
        <v>0.5</v>
      </c>
      <c r="I13" s="35" t="s">
        <v>6490</v>
      </c>
      <c r="J13" s="35">
        <v>50</v>
      </c>
      <c r="K13" s="35" t="s">
        <v>6490</v>
      </c>
      <c r="L13" s="35" t="s">
        <v>6490</v>
      </c>
      <c r="M13" s="35">
        <v>100</v>
      </c>
      <c r="N13" s="35">
        <v>100</v>
      </c>
      <c r="O13" s="35">
        <v>50</v>
      </c>
      <c r="P13" s="31">
        <v>100</v>
      </c>
      <c r="Q13" s="30">
        <v>0</v>
      </c>
    </row>
    <row r="14" spans="1:26" x14ac:dyDescent="0.25">
      <c r="A14" s="36" t="s">
        <v>4549</v>
      </c>
      <c r="B14" s="35">
        <v>2024</v>
      </c>
      <c r="C14" s="35">
        <v>2026</v>
      </c>
      <c r="D14" s="33">
        <v>74.900000000000006</v>
      </c>
      <c r="E14" s="33">
        <v>2.1</v>
      </c>
      <c r="F14" s="33">
        <v>77</v>
      </c>
      <c r="G14" s="31">
        <v>1.5</v>
      </c>
      <c r="H14" s="31">
        <v>0.5</v>
      </c>
      <c r="I14" s="35" t="s">
        <v>6490</v>
      </c>
      <c r="J14" s="35">
        <v>50</v>
      </c>
      <c r="K14" s="35">
        <v>50</v>
      </c>
      <c r="L14" s="35">
        <v>50</v>
      </c>
      <c r="M14" s="35">
        <v>100</v>
      </c>
      <c r="N14" s="35">
        <v>100</v>
      </c>
      <c r="O14" s="35">
        <v>50</v>
      </c>
      <c r="P14" s="31">
        <v>100</v>
      </c>
      <c r="Q14" s="30">
        <v>0</v>
      </c>
    </row>
    <row r="15" spans="1:26" x14ac:dyDescent="0.25">
      <c r="A15" s="36" t="s">
        <v>4624</v>
      </c>
      <c r="B15" s="35">
        <v>2025</v>
      </c>
      <c r="C15" s="35">
        <v>2026</v>
      </c>
      <c r="D15" s="33">
        <v>73</v>
      </c>
      <c r="E15" s="33">
        <v>3</v>
      </c>
      <c r="F15" s="33">
        <v>76</v>
      </c>
      <c r="G15" s="31">
        <v>1.5</v>
      </c>
      <c r="H15" s="31">
        <v>0.5</v>
      </c>
      <c r="I15" s="35" t="s">
        <v>6490</v>
      </c>
      <c r="J15" s="35">
        <v>50</v>
      </c>
      <c r="K15" s="35">
        <v>50</v>
      </c>
      <c r="L15" s="35" t="s">
        <v>6490</v>
      </c>
      <c r="M15" s="35">
        <v>100</v>
      </c>
      <c r="N15" s="35">
        <v>100</v>
      </c>
      <c r="O15" s="35">
        <v>50</v>
      </c>
      <c r="P15" s="31">
        <v>100</v>
      </c>
      <c r="Q15" s="30">
        <v>0</v>
      </c>
    </row>
    <row r="16" spans="1:26" x14ac:dyDescent="0.25">
      <c r="A16" s="36" t="s">
        <v>5265</v>
      </c>
      <c r="B16" s="35" t="s">
        <v>6494</v>
      </c>
      <c r="C16" s="35" t="s">
        <v>6495</v>
      </c>
      <c r="D16" s="33">
        <v>64</v>
      </c>
      <c r="E16" s="34">
        <v>0</v>
      </c>
      <c r="F16" s="33">
        <v>64</v>
      </c>
      <c r="G16" s="31">
        <v>1</v>
      </c>
      <c r="H16" s="31">
        <v>0.5</v>
      </c>
      <c r="I16" s="32" t="s">
        <v>6490</v>
      </c>
      <c r="J16" s="32">
        <v>50</v>
      </c>
      <c r="K16" s="32">
        <v>50</v>
      </c>
      <c r="L16" s="32" t="s">
        <v>6490</v>
      </c>
      <c r="M16" s="32">
        <v>50</v>
      </c>
      <c r="N16" s="32">
        <v>100</v>
      </c>
      <c r="O16" s="32">
        <v>50</v>
      </c>
      <c r="P16" s="31">
        <v>100</v>
      </c>
      <c r="Q16" s="49">
        <v>10</v>
      </c>
    </row>
    <row r="17" spans="1:17" x14ac:dyDescent="0.25">
      <c r="A17" s="36" t="s">
        <v>6496</v>
      </c>
      <c r="B17" s="35">
        <v>2025</v>
      </c>
      <c r="C17" s="35">
        <v>2026</v>
      </c>
      <c r="D17" s="33">
        <v>66.5</v>
      </c>
      <c r="E17" s="33" t="s">
        <v>6490</v>
      </c>
      <c r="F17" s="33">
        <v>66.5</v>
      </c>
      <c r="G17" s="31">
        <v>1.2</v>
      </c>
      <c r="H17" s="31">
        <v>0.5</v>
      </c>
      <c r="I17" s="35" t="s">
        <v>6490</v>
      </c>
      <c r="J17" s="35">
        <v>50</v>
      </c>
      <c r="K17" s="35">
        <v>50</v>
      </c>
      <c r="L17" s="35">
        <v>50</v>
      </c>
      <c r="M17" s="35">
        <v>100</v>
      </c>
      <c r="N17" s="35">
        <v>100</v>
      </c>
      <c r="O17" s="35">
        <v>50</v>
      </c>
      <c r="P17" s="31">
        <v>150</v>
      </c>
      <c r="Q17" s="30">
        <v>0</v>
      </c>
    </row>
    <row r="18" spans="1:17" x14ac:dyDescent="0.25">
      <c r="A18" s="36" t="s">
        <v>6497</v>
      </c>
      <c r="B18" s="35">
        <v>2025</v>
      </c>
      <c r="C18" s="35">
        <v>2026</v>
      </c>
      <c r="D18" s="33">
        <v>66.5</v>
      </c>
      <c r="E18" s="33" t="s">
        <v>6490</v>
      </c>
      <c r="F18" s="33">
        <v>66.5</v>
      </c>
      <c r="G18" s="31">
        <v>1</v>
      </c>
      <c r="H18" s="31">
        <v>0.5</v>
      </c>
      <c r="I18" s="35" t="s">
        <v>6490</v>
      </c>
      <c r="J18" s="35">
        <v>50</v>
      </c>
      <c r="K18" s="35">
        <v>50</v>
      </c>
      <c r="L18" s="35" t="s">
        <v>6490</v>
      </c>
      <c r="M18" s="35">
        <v>100</v>
      </c>
      <c r="N18" s="35">
        <v>100</v>
      </c>
      <c r="O18" s="35">
        <v>50</v>
      </c>
      <c r="P18" s="31">
        <v>115</v>
      </c>
      <c r="Q18" s="30">
        <v>0</v>
      </c>
    </row>
    <row r="19" spans="1:17" x14ac:dyDescent="0.25">
      <c r="A19" s="36" t="s">
        <v>6433</v>
      </c>
      <c r="B19" s="35">
        <v>2025</v>
      </c>
      <c r="C19" s="35">
        <v>2026</v>
      </c>
      <c r="D19" s="33">
        <v>71.5</v>
      </c>
      <c r="E19" s="33" t="s">
        <v>6490</v>
      </c>
      <c r="F19" s="33">
        <v>71.5</v>
      </c>
      <c r="G19" s="31">
        <v>1.5</v>
      </c>
      <c r="H19" s="31">
        <v>0.5</v>
      </c>
      <c r="I19" s="35" t="s">
        <v>6490</v>
      </c>
      <c r="J19" s="35">
        <v>50</v>
      </c>
      <c r="K19" s="35">
        <v>50</v>
      </c>
      <c r="L19" s="35">
        <v>50</v>
      </c>
      <c r="M19" s="35">
        <v>100</v>
      </c>
      <c r="N19" s="35">
        <v>100</v>
      </c>
      <c r="O19" s="35">
        <v>50</v>
      </c>
      <c r="P19" s="31">
        <v>100</v>
      </c>
      <c r="Q19" s="30">
        <v>0</v>
      </c>
    </row>
    <row r="20" spans="1:17" x14ac:dyDescent="0.25">
      <c r="A20" s="48"/>
      <c r="B20" s="35"/>
      <c r="C20" s="35"/>
      <c r="D20" s="33"/>
      <c r="E20" s="33"/>
      <c r="F20" s="33"/>
      <c r="G20" s="31"/>
      <c r="H20" s="31"/>
      <c r="I20" s="35"/>
      <c r="J20" s="35"/>
      <c r="K20" s="35"/>
      <c r="L20" s="35"/>
      <c r="M20" s="35"/>
      <c r="N20" s="35"/>
      <c r="O20" s="35"/>
      <c r="P20" s="35"/>
      <c r="Q20" s="46"/>
    </row>
    <row r="21" spans="1:17" x14ac:dyDescent="0.25">
      <c r="A21" s="47" t="s">
        <v>6498</v>
      </c>
      <c r="B21" s="35"/>
      <c r="C21" s="35"/>
      <c r="D21" s="33"/>
      <c r="E21" s="33"/>
      <c r="F21" s="33"/>
      <c r="G21" s="31"/>
      <c r="H21" s="31"/>
      <c r="I21" s="35"/>
      <c r="J21" s="35"/>
      <c r="K21" s="35"/>
      <c r="L21" s="35"/>
      <c r="M21" s="35"/>
      <c r="N21" s="35"/>
      <c r="O21" s="35"/>
      <c r="P21" s="35"/>
      <c r="Q21" s="46"/>
    </row>
    <row r="22" spans="1:17" x14ac:dyDescent="0.25">
      <c r="A22" s="36" t="s">
        <v>282</v>
      </c>
      <c r="B22" s="35">
        <v>2025</v>
      </c>
      <c r="C22" s="35">
        <v>2026</v>
      </c>
      <c r="D22" s="33">
        <v>65</v>
      </c>
      <c r="E22" s="33" t="s">
        <v>6490</v>
      </c>
      <c r="F22" s="33">
        <v>65</v>
      </c>
      <c r="G22" s="31">
        <v>0.75</v>
      </c>
      <c r="H22" s="31">
        <v>0.5</v>
      </c>
      <c r="I22" s="35" t="s">
        <v>6490</v>
      </c>
      <c r="J22" s="35">
        <v>50</v>
      </c>
      <c r="K22" s="35">
        <v>100</v>
      </c>
      <c r="L22" s="35" t="s">
        <v>6490</v>
      </c>
      <c r="M22" s="35">
        <v>100</v>
      </c>
      <c r="N22" s="35">
        <v>100</v>
      </c>
      <c r="O22" s="35">
        <v>50</v>
      </c>
      <c r="P22" s="31">
        <v>100</v>
      </c>
      <c r="Q22" s="49">
        <v>0</v>
      </c>
    </row>
    <row r="23" spans="1:17" x14ac:dyDescent="0.25">
      <c r="A23" s="36" t="s">
        <v>946</v>
      </c>
      <c r="B23" s="35" t="s">
        <v>6494</v>
      </c>
      <c r="C23" s="35" t="s">
        <v>6492</v>
      </c>
      <c r="D23" s="33">
        <v>78.5</v>
      </c>
      <c r="E23" s="34">
        <v>0</v>
      </c>
      <c r="F23" s="33">
        <v>78.5</v>
      </c>
      <c r="G23" s="31">
        <v>1</v>
      </c>
      <c r="H23" s="31">
        <v>0.5</v>
      </c>
      <c r="I23" s="32">
        <v>10</v>
      </c>
      <c r="J23" s="32">
        <v>50</v>
      </c>
      <c r="K23" s="32">
        <v>50</v>
      </c>
      <c r="L23" s="32">
        <v>50</v>
      </c>
      <c r="M23" s="32">
        <v>100</v>
      </c>
      <c r="N23" s="32">
        <v>100</v>
      </c>
      <c r="O23" s="32">
        <v>50</v>
      </c>
      <c r="P23" s="31">
        <v>60</v>
      </c>
      <c r="Q23" s="49">
        <v>10</v>
      </c>
    </row>
    <row r="24" spans="1:17" x14ac:dyDescent="0.25">
      <c r="A24" s="36" t="s">
        <v>971</v>
      </c>
      <c r="B24" s="35" t="s">
        <v>6494</v>
      </c>
      <c r="C24" s="35" t="s">
        <v>6492</v>
      </c>
      <c r="D24" s="33">
        <v>77</v>
      </c>
      <c r="E24" s="33">
        <v>0</v>
      </c>
      <c r="F24" s="33">
        <v>77</v>
      </c>
      <c r="G24" s="31">
        <v>0.8</v>
      </c>
      <c r="H24" s="31">
        <v>0.5</v>
      </c>
      <c r="I24" s="32" t="s">
        <v>6490</v>
      </c>
      <c r="J24" s="32">
        <v>50</v>
      </c>
      <c r="K24" s="32" t="s">
        <v>6490</v>
      </c>
      <c r="L24" s="32" t="s">
        <v>6490</v>
      </c>
      <c r="M24" s="32">
        <v>100</v>
      </c>
      <c r="N24" s="32">
        <v>100</v>
      </c>
      <c r="O24" s="32">
        <v>50</v>
      </c>
      <c r="P24" s="31">
        <v>40</v>
      </c>
      <c r="Q24" s="30">
        <v>0</v>
      </c>
    </row>
    <row r="25" spans="1:17" x14ac:dyDescent="0.25">
      <c r="A25" s="36" t="s">
        <v>1149</v>
      </c>
      <c r="B25" s="35">
        <v>2025</v>
      </c>
      <c r="C25" s="35">
        <v>2026</v>
      </c>
      <c r="D25" s="33">
        <v>70</v>
      </c>
      <c r="E25" s="34">
        <v>0</v>
      </c>
      <c r="F25" s="33">
        <v>70</v>
      </c>
      <c r="G25" s="31">
        <v>1</v>
      </c>
      <c r="H25" s="31">
        <v>0</v>
      </c>
      <c r="I25" s="32" t="s">
        <v>6490</v>
      </c>
      <c r="J25" s="32">
        <v>50</v>
      </c>
      <c r="K25" s="32" t="s">
        <v>6490</v>
      </c>
      <c r="L25" s="32" t="s">
        <v>6490</v>
      </c>
      <c r="M25" s="32" t="s">
        <v>6490</v>
      </c>
      <c r="N25" s="32" t="s">
        <v>6490</v>
      </c>
      <c r="O25" s="32">
        <v>50</v>
      </c>
      <c r="P25" s="31">
        <v>60</v>
      </c>
      <c r="Q25" s="30">
        <v>0</v>
      </c>
    </row>
    <row r="26" spans="1:17" x14ac:dyDescent="0.25">
      <c r="A26" s="36" t="s">
        <v>1220</v>
      </c>
      <c r="B26" s="35">
        <v>2025</v>
      </c>
      <c r="C26" s="35">
        <v>2026</v>
      </c>
      <c r="D26" s="33">
        <v>68.5</v>
      </c>
      <c r="E26" s="33" t="s">
        <v>6490</v>
      </c>
      <c r="F26" s="33">
        <v>68.5</v>
      </c>
      <c r="G26" s="31">
        <v>1.2</v>
      </c>
      <c r="H26" s="31">
        <v>0.5</v>
      </c>
      <c r="I26" s="35" t="s">
        <v>6490</v>
      </c>
      <c r="J26" s="35">
        <v>50</v>
      </c>
      <c r="K26" s="35">
        <v>50</v>
      </c>
      <c r="L26" s="35">
        <v>50</v>
      </c>
      <c r="M26" s="35">
        <v>100</v>
      </c>
      <c r="N26" s="35">
        <v>100</v>
      </c>
      <c r="O26" s="35" t="s">
        <v>6490</v>
      </c>
      <c r="P26" s="35" t="s">
        <v>6499</v>
      </c>
      <c r="Q26" s="49">
        <v>10</v>
      </c>
    </row>
    <row r="27" spans="1:17" x14ac:dyDescent="0.25">
      <c r="A27" s="36" t="s">
        <v>1314</v>
      </c>
      <c r="B27" s="35">
        <v>2025</v>
      </c>
      <c r="C27" s="35">
        <v>2027</v>
      </c>
      <c r="D27" s="33">
        <v>75</v>
      </c>
      <c r="E27" s="33" t="s">
        <v>6490</v>
      </c>
      <c r="F27" s="33">
        <v>75</v>
      </c>
      <c r="G27" s="31">
        <v>1</v>
      </c>
      <c r="H27" s="31">
        <v>0.5</v>
      </c>
      <c r="I27" s="35" t="s">
        <v>6490</v>
      </c>
      <c r="J27" s="35">
        <v>50</v>
      </c>
      <c r="K27" s="35">
        <v>40</v>
      </c>
      <c r="L27" s="35">
        <v>20</v>
      </c>
      <c r="M27" s="35">
        <v>100</v>
      </c>
      <c r="N27" s="35">
        <v>100</v>
      </c>
      <c r="O27" s="35">
        <v>50</v>
      </c>
      <c r="P27" s="31">
        <v>40</v>
      </c>
      <c r="Q27" s="49">
        <v>10</v>
      </c>
    </row>
    <row r="28" spans="1:17" x14ac:dyDescent="0.25">
      <c r="A28" s="36" t="s">
        <v>1324</v>
      </c>
      <c r="B28" s="35">
        <v>2025</v>
      </c>
      <c r="C28" s="35">
        <v>2026</v>
      </c>
      <c r="D28" s="33">
        <v>65</v>
      </c>
      <c r="E28" s="33" t="s">
        <v>6490</v>
      </c>
      <c r="F28" s="33">
        <v>65</v>
      </c>
      <c r="G28" s="31">
        <v>0.7</v>
      </c>
      <c r="H28" s="31" t="s">
        <v>6490</v>
      </c>
      <c r="I28" s="35" t="s">
        <v>6490</v>
      </c>
      <c r="J28" s="35">
        <v>50</v>
      </c>
      <c r="K28" s="35">
        <v>50</v>
      </c>
      <c r="L28" s="35">
        <v>50</v>
      </c>
      <c r="M28" s="35">
        <v>100</v>
      </c>
      <c r="N28" s="35">
        <v>100</v>
      </c>
      <c r="O28" s="35">
        <v>50</v>
      </c>
      <c r="P28" s="31">
        <v>60</v>
      </c>
      <c r="Q28" s="49">
        <v>10</v>
      </c>
    </row>
    <row r="29" spans="1:17" x14ac:dyDescent="0.25">
      <c r="A29" s="36" t="s">
        <v>1522</v>
      </c>
      <c r="B29" s="35">
        <v>2025</v>
      </c>
      <c r="C29" s="35">
        <v>2026</v>
      </c>
      <c r="D29" s="33">
        <v>59</v>
      </c>
      <c r="E29" s="33" t="s">
        <v>6490</v>
      </c>
      <c r="F29" s="33">
        <v>59</v>
      </c>
      <c r="G29" s="31">
        <v>1.5</v>
      </c>
      <c r="H29" s="31">
        <v>0.5</v>
      </c>
      <c r="I29" s="35" t="s">
        <v>6490</v>
      </c>
      <c r="J29" s="35">
        <v>50</v>
      </c>
      <c r="K29" s="35">
        <v>100</v>
      </c>
      <c r="L29" s="35">
        <v>100</v>
      </c>
      <c r="M29" s="35">
        <v>100</v>
      </c>
      <c r="N29" s="35">
        <v>100</v>
      </c>
      <c r="O29" s="35">
        <v>50</v>
      </c>
      <c r="P29" s="31">
        <v>100</v>
      </c>
      <c r="Q29" s="49">
        <v>10</v>
      </c>
    </row>
    <row r="30" spans="1:17" x14ac:dyDescent="0.25">
      <c r="A30" s="36" t="s">
        <v>1557</v>
      </c>
      <c r="B30" s="35" t="s">
        <v>6494</v>
      </c>
      <c r="C30" s="35" t="s">
        <v>6492</v>
      </c>
      <c r="D30" s="33">
        <v>71</v>
      </c>
      <c r="E30" s="34">
        <v>0</v>
      </c>
      <c r="F30" s="33">
        <v>71</v>
      </c>
      <c r="G30" s="31">
        <v>0.5</v>
      </c>
      <c r="H30" s="31">
        <v>0.5</v>
      </c>
      <c r="I30" s="32" t="s">
        <v>6490</v>
      </c>
      <c r="J30" s="32">
        <v>50</v>
      </c>
      <c r="K30" s="32" t="s">
        <v>6490</v>
      </c>
      <c r="L30" s="32" t="s">
        <v>6490</v>
      </c>
      <c r="M30" s="32">
        <v>60</v>
      </c>
      <c r="N30" s="32">
        <v>100</v>
      </c>
      <c r="O30" s="32">
        <v>50</v>
      </c>
      <c r="P30" s="31" t="s">
        <v>6499</v>
      </c>
      <c r="Q30" s="30">
        <v>0</v>
      </c>
    </row>
    <row r="31" spans="1:17" x14ac:dyDescent="0.25">
      <c r="A31" s="36" t="s">
        <v>6500</v>
      </c>
      <c r="B31" s="35">
        <v>2024</v>
      </c>
      <c r="C31" s="35">
        <v>2026</v>
      </c>
      <c r="D31" s="33">
        <v>78</v>
      </c>
      <c r="E31" s="33" t="s">
        <v>6490</v>
      </c>
      <c r="F31" s="33">
        <v>78</v>
      </c>
      <c r="G31" s="31">
        <v>1</v>
      </c>
      <c r="H31" s="31">
        <v>0.5</v>
      </c>
      <c r="I31" s="35">
        <v>10</v>
      </c>
      <c r="J31" s="35">
        <v>50</v>
      </c>
      <c r="K31" s="35">
        <v>50</v>
      </c>
      <c r="L31" s="35" t="s">
        <v>6490</v>
      </c>
      <c r="M31" s="35" t="s">
        <v>6490</v>
      </c>
      <c r="N31" s="35">
        <v>100</v>
      </c>
      <c r="O31" s="35">
        <v>50</v>
      </c>
      <c r="P31" s="31">
        <v>90</v>
      </c>
      <c r="Q31" s="49">
        <v>0</v>
      </c>
    </row>
    <row r="32" spans="1:17" x14ac:dyDescent="0.25">
      <c r="A32" s="36" t="s">
        <v>1950</v>
      </c>
      <c r="B32" s="35">
        <v>2025</v>
      </c>
      <c r="C32" s="35">
        <v>2026</v>
      </c>
      <c r="D32" s="33">
        <v>65</v>
      </c>
      <c r="E32" s="33" t="s">
        <v>6490</v>
      </c>
      <c r="F32" s="33">
        <v>65</v>
      </c>
      <c r="G32" s="31">
        <v>1.5</v>
      </c>
      <c r="H32" s="31">
        <v>0.5</v>
      </c>
      <c r="I32" s="35" t="s">
        <v>6490</v>
      </c>
      <c r="J32" s="35">
        <v>50</v>
      </c>
      <c r="K32" s="35">
        <v>80</v>
      </c>
      <c r="L32" s="35">
        <v>80</v>
      </c>
      <c r="M32" s="35">
        <v>100</v>
      </c>
      <c r="N32" s="35">
        <v>100</v>
      </c>
      <c r="O32" s="35">
        <v>50</v>
      </c>
      <c r="P32" s="35" t="s">
        <v>6499</v>
      </c>
      <c r="Q32" s="49">
        <v>0</v>
      </c>
    </row>
    <row r="33" spans="1:17" x14ac:dyDescent="0.25">
      <c r="A33" s="36" t="s">
        <v>2171</v>
      </c>
      <c r="B33" s="35">
        <v>2025</v>
      </c>
      <c r="C33" s="35">
        <v>2026</v>
      </c>
      <c r="D33" s="33">
        <v>72</v>
      </c>
      <c r="E33" s="33" t="s">
        <v>6490</v>
      </c>
      <c r="F33" s="33">
        <v>72</v>
      </c>
      <c r="G33" s="31">
        <v>1</v>
      </c>
      <c r="H33" s="31">
        <v>0.5</v>
      </c>
      <c r="I33" s="35">
        <v>10</v>
      </c>
      <c r="J33" s="35">
        <v>50</v>
      </c>
      <c r="K33" s="35" t="s">
        <v>6490</v>
      </c>
      <c r="L33" s="35" t="s">
        <v>6490</v>
      </c>
      <c r="M33" s="35">
        <v>100</v>
      </c>
      <c r="N33" s="35">
        <v>100</v>
      </c>
      <c r="O33" s="35">
        <v>50</v>
      </c>
      <c r="P33" s="31">
        <v>60</v>
      </c>
      <c r="Q33" s="49">
        <v>0</v>
      </c>
    </row>
    <row r="34" spans="1:17" x14ac:dyDescent="0.25">
      <c r="A34" s="36" t="s">
        <v>2353</v>
      </c>
      <c r="B34" s="35">
        <v>2025</v>
      </c>
      <c r="C34" s="35">
        <v>2026</v>
      </c>
      <c r="D34" s="33">
        <v>69</v>
      </c>
      <c r="E34" s="33" t="s">
        <v>6490</v>
      </c>
      <c r="F34" s="33">
        <v>69</v>
      </c>
      <c r="G34" s="31">
        <v>1</v>
      </c>
      <c r="H34" s="31">
        <v>0.5</v>
      </c>
      <c r="I34" s="35" t="s">
        <v>6490</v>
      </c>
      <c r="J34" s="35">
        <v>50</v>
      </c>
      <c r="K34" s="35" t="s">
        <v>6490</v>
      </c>
      <c r="L34" s="35" t="s">
        <v>6490</v>
      </c>
      <c r="M34" s="35" t="s">
        <v>6490</v>
      </c>
      <c r="N34" s="35" t="s">
        <v>6490</v>
      </c>
      <c r="O34" s="35">
        <v>30</v>
      </c>
      <c r="P34" s="31">
        <v>40</v>
      </c>
      <c r="Q34" s="49">
        <v>0</v>
      </c>
    </row>
    <row r="35" spans="1:17" x14ac:dyDescent="0.25">
      <c r="A35" s="36" t="s">
        <v>2357</v>
      </c>
      <c r="B35" s="35">
        <v>2025</v>
      </c>
      <c r="C35" s="35">
        <v>2026</v>
      </c>
      <c r="D35" s="33">
        <v>78</v>
      </c>
      <c r="E35" s="33" t="s">
        <v>6490</v>
      </c>
      <c r="F35" s="33">
        <v>78</v>
      </c>
      <c r="G35" s="31">
        <v>0.6</v>
      </c>
      <c r="H35" s="31">
        <v>0.5</v>
      </c>
      <c r="I35" s="35">
        <v>10</v>
      </c>
      <c r="J35" s="35">
        <v>50</v>
      </c>
      <c r="K35" s="35" t="s">
        <v>6490</v>
      </c>
      <c r="L35" s="35" t="s">
        <v>6490</v>
      </c>
      <c r="M35" s="35">
        <v>90</v>
      </c>
      <c r="N35" s="35">
        <v>100</v>
      </c>
      <c r="O35" s="35">
        <v>50</v>
      </c>
      <c r="P35" s="31">
        <v>100</v>
      </c>
      <c r="Q35" s="49">
        <v>10</v>
      </c>
    </row>
    <row r="36" spans="1:17" x14ac:dyDescent="0.25">
      <c r="A36" s="36" t="s">
        <v>3355</v>
      </c>
      <c r="B36" s="35">
        <v>2023</v>
      </c>
      <c r="C36" s="35">
        <v>2026</v>
      </c>
      <c r="D36" s="33">
        <v>75</v>
      </c>
      <c r="E36" s="33" t="s">
        <v>6490</v>
      </c>
      <c r="F36" s="33">
        <v>75</v>
      </c>
      <c r="G36" s="31">
        <v>0.7</v>
      </c>
      <c r="H36" s="31">
        <v>0.5</v>
      </c>
      <c r="I36" s="35" t="s">
        <v>6490</v>
      </c>
      <c r="J36" s="35">
        <v>50</v>
      </c>
      <c r="K36" s="35">
        <v>50</v>
      </c>
      <c r="L36" s="35" t="s">
        <v>6490</v>
      </c>
      <c r="M36" s="35">
        <v>100</v>
      </c>
      <c r="N36" s="35">
        <v>100</v>
      </c>
      <c r="O36" s="35">
        <v>50</v>
      </c>
      <c r="P36" s="31">
        <v>60</v>
      </c>
      <c r="Q36" s="49" t="s">
        <v>6501</v>
      </c>
    </row>
    <row r="37" spans="1:17" x14ac:dyDescent="0.25">
      <c r="A37" s="36" t="s">
        <v>3360</v>
      </c>
      <c r="B37" s="35">
        <v>2025</v>
      </c>
      <c r="C37" s="35">
        <v>2027</v>
      </c>
      <c r="D37" s="33">
        <v>69.5</v>
      </c>
      <c r="E37" s="33" t="s">
        <v>6490</v>
      </c>
      <c r="F37" s="33">
        <v>69.5</v>
      </c>
      <c r="G37" s="31">
        <v>1.1000000000000001</v>
      </c>
      <c r="H37" s="31">
        <v>0.5</v>
      </c>
      <c r="I37" s="35" t="s">
        <v>6490</v>
      </c>
      <c r="J37" s="35">
        <v>50</v>
      </c>
      <c r="K37" s="35">
        <v>50</v>
      </c>
      <c r="L37" s="35">
        <v>50</v>
      </c>
      <c r="M37" s="35">
        <v>100</v>
      </c>
      <c r="N37" s="35">
        <v>100</v>
      </c>
      <c r="O37" s="35">
        <v>50</v>
      </c>
      <c r="P37" s="31">
        <v>100</v>
      </c>
      <c r="Q37" s="49">
        <v>10</v>
      </c>
    </row>
    <row r="38" spans="1:17" x14ac:dyDescent="0.25">
      <c r="A38" s="36" t="s">
        <v>3550</v>
      </c>
      <c r="B38" s="35">
        <v>2025</v>
      </c>
      <c r="C38" s="35">
        <v>2026</v>
      </c>
      <c r="D38" s="33">
        <v>69</v>
      </c>
      <c r="E38" s="33" t="s">
        <v>6490</v>
      </c>
      <c r="F38" s="33">
        <v>69</v>
      </c>
      <c r="G38" s="31">
        <v>1</v>
      </c>
      <c r="H38" s="31" t="s">
        <v>6490</v>
      </c>
      <c r="I38" s="35">
        <v>10</v>
      </c>
      <c r="J38" s="35">
        <v>50</v>
      </c>
      <c r="K38" s="35">
        <v>50</v>
      </c>
      <c r="L38" s="35" t="s">
        <v>6490</v>
      </c>
      <c r="M38" s="35">
        <v>100</v>
      </c>
      <c r="N38" s="35">
        <v>100</v>
      </c>
      <c r="O38" s="35">
        <v>50</v>
      </c>
      <c r="P38" s="31">
        <v>100</v>
      </c>
      <c r="Q38" s="49" t="s">
        <v>6490</v>
      </c>
    </row>
    <row r="39" spans="1:17" x14ac:dyDescent="0.25">
      <c r="A39" s="36" t="s">
        <v>4088</v>
      </c>
      <c r="B39" s="35">
        <v>2025</v>
      </c>
      <c r="C39" s="35">
        <v>2026</v>
      </c>
      <c r="D39" s="33">
        <v>72.5</v>
      </c>
      <c r="E39" s="33" t="s">
        <v>6490</v>
      </c>
      <c r="F39" s="33">
        <v>72.5</v>
      </c>
      <c r="G39" s="31">
        <v>1</v>
      </c>
      <c r="H39" s="31">
        <v>0.5</v>
      </c>
      <c r="I39" s="35">
        <v>10</v>
      </c>
      <c r="J39" s="35">
        <v>50</v>
      </c>
      <c r="K39" s="35">
        <v>50</v>
      </c>
      <c r="L39" s="35">
        <v>50</v>
      </c>
      <c r="M39" s="35">
        <v>100</v>
      </c>
      <c r="N39" s="35">
        <v>100</v>
      </c>
      <c r="O39" s="35">
        <v>50</v>
      </c>
      <c r="P39" s="31">
        <v>120</v>
      </c>
      <c r="Q39" s="49">
        <v>10</v>
      </c>
    </row>
    <row r="40" spans="1:17" x14ac:dyDescent="0.25">
      <c r="A40" s="36" t="s">
        <v>4844</v>
      </c>
      <c r="B40" s="35">
        <v>2022</v>
      </c>
      <c r="C40" s="35">
        <v>2026</v>
      </c>
      <c r="D40" s="33">
        <v>70</v>
      </c>
      <c r="E40" s="33" t="s">
        <v>6490</v>
      </c>
      <c r="F40" s="33">
        <v>70</v>
      </c>
      <c r="G40" s="31">
        <v>1</v>
      </c>
      <c r="H40" s="31">
        <v>0.5</v>
      </c>
      <c r="I40" s="35" t="s">
        <v>6490</v>
      </c>
      <c r="J40" s="35">
        <v>50</v>
      </c>
      <c r="K40" s="35">
        <v>100</v>
      </c>
      <c r="L40" s="35" t="s">
        <v>6490</v>
      </c>
      <c r="M40" s="35">
        <v>100</v>
      </c>
      <c r="N40" s="35">
        <v>100</v>
      </c>
      <c r="O40" s="35">
        <v>50</v>
      </c>
      <c r="P40" s="31">
        <v>50</v>
      </c>
      <c r="Q40" s="49">
        <v>10</v>
      </c>
    </row>
    <row r="41" spans="1:17" x14ac:dyDescent="0.25">
      <c r="A41" s="36" t="s">
        <v>5001</v>
      </c>
      <c r="B41" s="35">
        <v>2025</v>
      </c>
      <c r="C41" s="35">
        <v>2026</v>
      </c>
      <c r="D41" s="33">
        <v>72.5</v>
      </c>
      <c r="E41" s="33" t="s">
        <v>6490</v>
      </c>
      <c r="F41" s="33">
        <v>72.5</v>
      </c>
      <c r="G41" s="31">
        <v>1</v>
      </c>
      <c r="H41" s="31" t="s">
        <v>6490</v>
      </c>
      <c r="I41" s="35" t="s">
        <v>6490</v>
      </c>
      <c r="J41" s="35">
        <v>50</v>
      </c>
      <c r="K41" s="35" t="s">
        <v>6490</v>
      </c>
      <c r="L41" s="35" t="s">
        <v>6490</v>
      </c>
      <c r="M41" s="35">
        <v>50</v>
      </c>
      <c r="N41" s="35">
        <v>100</v>
      </c>
      <c r="O41" s="35">
        <v>50</v>
      </c>
      <c r="P41" s="31">
        <v>50</v>
      </c>
      <c r="Q41" s="49" t="s">
        <v>6490</v>
      </c>
    </row>
    <row r="42" spans="1:17" x14ac:dyDescent="0.25">
      <c r="A42" s="36" t="s">
        <v>5348</v>
      </c>
      <c r="B42" s="35">
        <v>2024</v>
      </c>
      <c r="C42" s="35">
        <v>2026</v>
      </c>
      <c r="D42" s="33">
        <v>77.5</v>
      </c>
      <c r="E42" s="33" t="s">
        <v>6490</v>
      </c>
      <c r="F42" s="33">
        <v>77.5</v>
      </c>
      <c r="G42" s="31">
        <v>1</v>
      </c>
      <c r="H42" s="31">
        <v>0.5</v>
      </c>
      <c r="I42" s="35" t="s">
        <v>6490</v>
      </c>
      <c r="J42" s="35">
        <v>50</v>
      </c>
      <c r="K42" s="35">
        <v>50</v>
      </c>
      <c r="L42" s="35">
        <v>50</v>
      </c>
      <c r="M42" s="35">
        <v>100</v>
      </c>
      <c r="N42" s="35">
        <v>100</v>
      </c>
      <c r="O42" s="35">
        <v>50</v>
      </c>
      <c r="P42" s="31">
        <v>60</v>
      </c>
      <c r="Q42" s="49">
        <v>10</v>
      </c>
    </row>
    <row r="43" spans="1:17" x14ac:dyDescent="0.25">
      <c r="A43" s="36" t="s">
        <v>5357</v>
      </c>
      <c r="B43" s="35" t="s">
        <v>6494</v>
      </c>
      <c r="C43" s="35" t="s">
        <v>6492</v>
      </c>
      <c r="D43" s="33">
        <v>65</v>
      </c>
      <c r="E43" s="34">
        <v>0</v>
      </c>
      <c r="F43" s="33">
        <v>65</v>
      </c>
      <c r="G43" s="31">
        <v>0.8</v>
      </c>
      <c r="H43" s="31">
        <v>0.5</v>
      </c>
      <c r="I43" s="32" t="s">
        <v>6490</v>
      </c>
      <c r="J43" s="32">
        <v>50</v>
      </c>
      <c r="K43" s="32" t="s">
        <v>6490</v>
      </c>
      <c r="L43" s="32" t="s">
        <v>6490</v>
      </c>
      <c r="M43" s="32">
        <v>50</v>
      </c>
      <c r="N43" s="32">
        <v>50</v>
      </c>
      <c r="O43" s="32">
        <v>50</v>
      </c>
      <c r="P43" s="31" t="s">
        <v>6490</v>
      </c>
      <c r="Q43" s="30">
        <v>0</v>
      </c>
    </row>
    <row r="44" spans="1:17" x14ac:dyDescent="0.25">
      <c r="A44" s="36" t="s">
        <v>5667</v>
      </c>
      <c r="B44" s="35" t="s">
        <v>6491</v>
      </c>
      <c r="C44" s="35" t="s">
        <v>6492</v>
      </c>
      <c r="D44" s="33">
        <v>65</v>
      </c>
      <c r="E44" s="34">
        <v>0</v>
      </c>
      <c r="F44" s="33">
        <v>65</v>
      </c>
      <c r="G44" s="31">
        <v>1</v>
      </c>
      <c r="H44" s="31">
        <v>0.5</v>
      </c>
      <c r="I44" s="32" t="s">
        <v>6490</v>
      </c>
      <c r="J44" s="32">
        <v>50</v>
      </c>
      <c r="K44" s="32" t="s">
        <v>6490</v>
      </c>
      <c r="L44" s="32" t="s">
        <v>6490</v>
      </c>
      <c r="M44" s="32">
        <v>100</v>
      </c>
      <c r="N44" s="32">
        <v>100</v>
      </c>
      <c r="O44" s="32">
        <v>50</v>
      </c>
      <c r="P44" s="31">
        <v>100</v>
      </c>
      <c r="Q44" s="30">
        <v>0</v>
      </c>
    </row>
    <row r="45" spans="1:17" x14ac:dyDescent="0.25">
      <c r="A45" s="36" t="s">
        <v>5774</v>
      </c>
      <c r="B45" s="35">
        <v>2025</v>
      </c>
      <c r="C45" s="35">
        <v>2026</v>
      </c>
      <c r="D45" s="33">
        <v>78</v>
      </c>
      <c r="E45" s="33" t="s">
        <v>6490</v>
      </c>
      <c r="F45" s="33">
        <v>78</v>
      </c>
      <c r="G45" s="31">
        <v>1</v>
      </c>
      <c r="H45" s="31" t="s">
        <v>6490</v>
      </c>
      <c r="I45" s="35">
        <v>10</v>
      </c>
      <c r="J45" s="35">
        <v>50</v>
      </c>
      <c r="K45" s="35">
        <v>50</v>
      </c>
      <c r="L45" s="35" t="s">
        <v>6490</v>
      </c>
      <c r="M45" s="35">
        <v>100</v>
      </c>
      <c r="N45" s="35">
        <v>100</v>
      </c>
      <c r="O45" s="35">
        <v>50</v>
      </c>
      <c r="P45" s="31">
        <v>50</v>
      </c>
      <c r="Q45" s="49">
        <v>0</v>
      </c>
    </row>
    <row r="46" spans="1:17" x14ac:dyDescent="0.25">
      <c r="A46" s="36" t="s">
        <v>6502</v>
      </c>
      <c r="B46" s="35" t="s">
        <v>6494</v>
      </c>
      <c r="C46" s="35" t="s">
        <v>6492</v>
      </c>
      <c r="D46" s="33">
        <v>81.5</v>
      </c>
      <c r="E46" s="34">
        <v>0</v>
      </c>
      <c r="F46" s="33">
        <v>81.5</v>
      </c>
      <c r="G46" s="31">
        <v>1.5</v>
      </c>
      <c r="H46" s="31" t="s">
        <v>6490</v>
      </c>
      <c r="I46" s="32" t="s">
        <v>6490</v>
      </c>
      <c r="J46" s="32">
        <v>50</v>
      </c>
      <c r="K46" s="32">
        <v>50</v>
      </c>
      <c r="L46" s="32">
        <v>50</v>
      </c>
      <c r="M46" s="32">
        <v>100</v>
      </c>
      <c r="N46" s="32">
        <v>100</v>
      </c>
      <c r="O46" s="32" t="s">
        <v>6490</v>
      </c>
      <c r="P46" s="31">
        <v>30</v>
      </c>
      <c r="Q46" s="49">
        <v>10</v>
      </c>
    </row>
    <row r="47" spans="1:17" x14ac:dyDescent="0.25">
      <c r="A47" s="36" t="s">
        <v>5802</v>
      </c>
      <c r="B47" s="35">
        <v>2025</v>
      </c>
      <c r="C47" s="35">
        <v>2026</v>
      </c>
      <c r="D47" s="33">
        <v>70.5</v>
      </c>
      <c r="E47" s="33" t="s">
        <v>6490</v>
      </c>
      <c r="F47" s="33">
        <v>70.5</v>
      </c>
      <c r="G47" s="31">
        <v>0.6</v>
      </c>
      <c r="H47" s="31" t="s">
        <v>6490</v>
      </c>
      <c r="I47" s="35" t="s">
        <v>6490</v>
      </c>
      <c r="J47" s="35">
        <v>50</v>
      </c>
      <c r="K47" s="35">
        <v>50</v>
      </c>
      <c r="L47" s="35">
        <v>50</v>
      </c>
      <c r="M47" s="35">
        <v>100</v>
      </c>
      <c r="N47" s="35">
        <v>100</v>
      </c>
      <c r="O47" s="35">
        <v>50</v>
      </c>
      <c r="P47" s="35" t="s">
        <v>6503</v>
      </c>
      <c r="Q47" s="49">
        <v>0</v>
      </c>
    </row>
    <row r="48" spans="1:17" x14ac:dyDescent="0.25">
      <c r="A48" s="36" t="s">
        <v>6050</v>
      </c>
      <c r="B48" s="35" t="s">
        <v>6491</v>
      </c>
      <c r="C48" s="35" t="s">
        <v>6492</v>
      </c>
      <c r="D48" s="33">
        <v>68</v>
      </c>
      <c r="E48" s="34">
        <v>0</v>
      </c>
      <c r="F48" s="33">
        <v>68</v>
      </c>
      <c r="G48" s="31">
        <v>1</v>
      </c>
      <c r="H48" s="31">
        <v>0.5</v>
      </c>
      <c r="I48" s="32">
        <v>10</v>
      </c>
      <c r="J48" s="32">
        <v>50</v>
      </c>
      <c r="K48" s="32">
        <v>30</v>
      </c>
      <c r="L48" s="32">
        <v>30</v>
      </c>
      <c r="M48" s="32">
        <v>100</v>
      </c>
      <c r="N48" s="32">
        <v>100</v>
      </c>
      <c r="O48" s="32">
        <v>50</v>
      </c>
      <c r="P48" s="31" t="s">
        <v>6503</v>
      </c>
      <c r="Q48" s="30">
        <v>0</v>
      </c>
    </row>
    <row r="49" spans="1:17" x14ac:dyDescent="0.25">
      <c r="A49" s="36" t="s">
        <v>6080</v>
      </c>
      <c r="B49" s="35">
        <v>2024</v>
      </c>
      <c r="C49" s="35">
        <v>2026</v>
      </c>
      <c r="D49" s="33">
        <v>75</v>
      </c>
      <c r="E49" s="33" t="s">
        <v>6490</v>
      </c>
      <c r="F49" s="33">
        <v>75</v>
      </c>
      <c r="G49" s="31">
        <v>1</v>
      </c>
      <c r="H49" s="31" t="s">
        <v>6490</v>
      </c>
      <c r="I49" s="35" t="s">
        <v>6490</v>
      </c>
      <c r="J49" s="35">
        <v>50</v>
      </c>
      <c r="K49" s="35" t="s">
        <v>6490</v>
      </c>
      <c r="L49" s="35" t="s">
        <v>6490</v>
      </c>
      <c r="M49" s="35">
        <v>100</v>
      </c>
      <c r="N49" s="35">
        <v>100</v>
      </c>
      <c r="O49" s="35">
        <v>50</v>
      </c>
      <c r="P49" s="31">
        <v>60</v>
      </c>
      <c r="Q49" s="49">
        <v>0</v>
      </c>
    </row>
    <row r="50" spans="1:17" x14ac:dyDescent="0.25">
      <c r="A50" s="36" t="s">
        <v>6148</v>
      </c>
      <c r="B50" s="35">
        <v>2025</v>
      </c>
      <c r="C50" s="35">
        <v>2026</v>
      </c>
      <c r="D50" s="33">
        <v>75</v>
      </c>
      <c r="E50" s="33" t="s">
        <v>6490</v>
      </c>
      <c r="F50" s="33">
        <v>75</v>
      </c>
      <c r="G50" s="31">
        <v>1</v>
      </c>
      <c r="H50" s="31">
        <v>0.5</v>
      </c>
      <c r="I50" s="35" t="s">
        <v>6490</v>
      </c>
      <c r="J50" s="35">
        <v>50</v>
      </c>
      <c r="K50" s="35">
        <v>50</v>
      </c>
      <c r="L50" s="35" t="s">
        <v>6490</v>
      </c>
      <c r="M50" s="35">
        <v>100</v>
      </c>
      <c r="N50" s="35">
        <v>100</v>
      </c>
      <c r="O50" s="35">
        <v>50</v>
      </c>
      <c r="P50" s="35" t="s">
        <v>6499</v>
      </c>
      <c r="Q50" s="49">
        <v>0</v>
      </c>
    </row>
    <row r="51" spans="1:17" x14ac:dyDescent="0.25">
      <c r="A51" s="36" t="s">
        <v>6199</v>
      </c>
      <c r="B51" s="35">
        <v>2025</v>
      </c>
      <c r="C51" s="35">
        <v>2026</v>
      </c>
      <c r="D51" s="33">
        <v>74</v>
      </c>
      <c r="E51" s="33" t="s">
        <v>6490</v>
      </c>
      <c r="F51" s="33">
        <v>74</v>
      </c>
      <c r="G51" s="31">
        <v>1</v>
      </c>
      <c r="H51" s="31">
        <v>0.5</v>
      </c>
      <c r="I51" s="35" t="s">
        <v>6490</v>
      </c>
      <c r="J51" s="35">
        <v>50</v>
      </c>
      <c r="K51" s="35">
        <v>80</v>
      </c>
      <c r="L51" s="35">
        <v>60</v>
      </c>
      <c r="M51" s="35">
        <v>100</v>
      </c>
      <c r="N51" s="35">
        <v>100</v>
      </c>
      <c r="O51" s="35" t="s">
        <v>6490</v>
      </c>
      <c r="P51" s="31">
        <v>100</v>
      </c>
      <c r="Q51" s="49">
        <v>10</v>
      </c>
    </row>
    <row r="52" spans="1:17" x14ac:dyDescent="0.25">
      <c r="A52" s="36" t="s">
        <v>6211</v>
      </c>
      <c r="B52" s="35">
        <v>2025</v>
      </c>
      <c r="C52" s="35">
        <v>2027</v>
      </c>
      <c r="D52" s="33">
        <v>67</v>
      </c>
      <c r="E52" s="33" t="s">
        <v>6490</v>
      </c>
      <c r="F52" s="33">
        <v>67</v>
      </c>
      <c r="G52" s="31">
        <v>1.5</v>
      </c>
      <c r="H52" s="31">
        <v>0.5</v>
      </c>
      <c r="I52" s="35" t="s">
        <v>6490</v>
      </c>
      <c r="J52" s="35">
        <v>50</v>
      </c>
      <c r="K52" s="35">
        <v>50</v>
      </c>
      <c r="L52" s="35" t="s">
        <v>6490</v>
      </c>
      <c r="M52" s="35">
        <v>100</v>
      </c>
      <c r="N52" s="35">
        <v>100</v>
      </c>
      <c r="O52" s="35">
        <v>50</v>
      </c>
      <c r="P52" s="31">
        <v>100</v>
      </c>
      <c r="Q52" s="49">
        <v>0</v>
      </c>
    </row>
    <row r="53" spans="1:17" x14ac:dyDescent="0.25">
      <c r="A53" s="48"/>
      <c r="B53" s="35"/>
      <c r="C53" s="35"/>
      <c r="D53" s="33"/>
      <c r="E53" s="33"/>
      <c r="F53" s="33"/>
      <c r="G53" s="31"/>
      <c r="H53" s="31"/>
      <c r="I53" s="35"/>
      <c r="J53" s="35"/>
      <c r="K53" s="35"/>
      <c r="L53" s="35"/>
      <c r="M53" s="35"/>
      <c r="N53" s="35"/>
      <c r="O53" s="35"/>
      <c r="P53" s="35"/>
      <c r="Q53" s="46"/>
    </row>
    <row r="54" spans="1:17" x14ac:dyDescent="0.25">
      <c r="A54" s="47" t="s">
        <v>6504</v>
      </c>
      <c r="B54" s="35"/>
      <c r="C54" s="35"/>
      <c r="D54" s="33"/>
      <c r="E54" s="33"/>
      <c r="F54" s="33"/>
      <c r="G54" s="31"/>
      <c r="H54" s="31"/>
      <c r="I54" s="35"/>
      <c r="J54" s="35"/>
      <c r="K54" s="35"/>
      <c r="L54" s="35"/>
      <c r="M54" s="35"/>
      <c r="N54" s="35"/>
      <c r="O54" s="35"/>
      <c r="P54" s="35"/>
      <c r="Q54" s="46"/>
    </row>
    <row r="55" spans="1:17" x14ac:dyDescent="0.25">
      <c r="A55" s="36" t="s">
        <v>28</v>
      </c>
      <c r="B55" s="35" t="s">
        <v>6494</v>
      </c>
      <c r="C55" s="35" t="s">
        <v>6492</v>
      </c>
      <c r="D55" s="33">
        <v>70</v>
      </c>
      <c r="E55" s="34">
        <v>0</v>
      </c>
      <c r="F55" s="33">
        <v>70</v>
      </c>
      <c r="G55" s="31">
        <v>1</v>
      </c>
      <c r="H55" s="31" t="s">
        <v>6490</v>
      </c>
      <c r="I55" s="32" t="s">
        <v>6490</v>
      </c>
      <c r="J55" s="32">
        <v>50</v>
      </c>
      <c r="K55" s="32" t="s">
        <v>6490</v>
      </c>
      <c r="L55" s="32" t="s">
        <v>6490</v>
      </c>
      <c r="M55" s="32">
        <v>100</v>
      </c>
      <c r="N55" s="32">
        <v>100</v>
      </c>
      <c r="O55" s="32">
        <v>50</v>
      </c>
      <c r="P55" s="31">
        <v>150</v>
      </c>
      <c r="Q55" s="30">
        <v>0</v>
      </c>
    </row>
    <row r="56" spans="1:17" x14ac:dyDescent="0.25">
      <c r="A56" s="36" t="s">
        <v>463</v>
      </c>
      <c r="B56" s="35">
        <v>2025</v>
      </c>
      <c r="C56" s="35">
        <v>2026</v>
      </c>
      <c r="D56" s="33">
        <v>79</v>
      </c>
      <c r="E56" s="33" t="s">
        <v>6490</v>
      </c>
      <c r="F56" s="33">
        <v>79</v>
      </c>
      <c r="G56" s="31">
        <v>1</v>
      </c>
      <c r="H56" s="31" t="s">
        <v>6490</v>
      </c>
      <c r="I56" s="35" t="s">
        <v>6490</v>
      </c>
      <c r="J56" s="35">
        <v>50</v>
      </c>
      <c r="K56" s="35">
        <v>50</v>
      </c>
      <c r="L56" s="35">
        <v>50</v>
      </c>
      <c r="M56" s="35">
        <v>100</v>
      </c>
      <c r="N56" s="35">
        <v>100</v>
      </c>
      <c r="O56" s="35">
        <v>50</v>
      </c>
      <c r="P56" s="31">
        <v>100</v>
      </c>
      <c r="Q56" s="49">
        <v>10</v>
      </c>
    </row>
    <row r="57" spans="1:17" x14ac:dyDescent="0.25">
      <c r="A57" s="36" t="s">
        <v>480</v>
      </c>
      <c r="B57" s="35">
        <v>2025</v>
      </c>
      <c r="C57" s="35">
        <v>2026</v>
      </c>
      <c r="D57" s="33">
        <v>70</v>
      </c>
      <c r="E57" s="33" t="s">
        <v>6490</v>
      </c>
      <c r="F57" s="33">
        <v>70</v>
      </c>
      <c r="G57" s="31">
        <v>0.9</v>
      </c>
      <c r="H57" s="31" t="s">
        <v>6490</v>
      </c>
      <c r="I57" s="35" t="s">
        <v>6490</v>
      </c>
      <c r="J57" s="35">
        <v>50</v>
      </c>
      <c r="K57" s="35" t="s">
        <v>6490</v>
      </c>
      <c r="L57" s="35" t="s">
        <v>6490</v>
      </c>
      <c r="M57" s="35">
        <v>100</v>
      </c>
      <c r="N57" s="35">
        <v>100</v>
      </c>
      <c r="O57" s="35">
        <v>50</v>
      </c>
      <c r="P57" s="31">
        <v>100</v>
      </c>
      <c r="Q57" s="49">
        <v>0</v>
      </c>
    </row>
    <row r="58" spans="1:17" x14ac:dyDescent="0.25">
      <c r="A58" s="36" t="s">
        <v>764</v>
      </c>
      <c r="B58" s="35" t="s">
        <v>6491</v>
      </c>
      <c r="C58" s="35" t="s">
        <v>6492</v>
      </c>
      <c r="D58" s="33">
        <v>72.5</v>
      </c>
      <c r="E58" s="34">
        <v>0</v>
      </c>
      <c r="F58" s="33">
        <v>72.5</v>
      </c>
      <c r="G58" s="31">
        <v>1</v>
      </c>
      <c r="H58" s="31" t="s">
        <v>6490</v>
      </c>
      <c r="I58" s="32" t="s">
        <v>6490</v>
      </c>
      <c r="J58" s="32">
        <v>50</v>
      </c>
      <c r="K58" s="32">
        <v>50</v>
      </c>
      <c r="L58" s="32">
        <v>50</v>
      </c>
      <c r="M58" s="32">
        <v>100</v>
      </c>
      <c r="N58" s="32">
        <v>100</v>
      </c>
      <c r="O58" s="32">
        <v>50</v>
      </c>
      <c r="P58" s="31">
        <v>100</v>
      </c>
      <c r="Q58" s="30">
        <v>0</v>
      </c>
    </row>
    <row r="59" spans="1:17" x14ac:dyDescent="0.25">
      <c r="A59" s="36" t="s">
        <v>773</v>
      </c>
      <c r="B59" s="35" t="s">
        <v>6494</v>
      </c>
      <c r="C59" s="35" t="s">
        <v>6492</v>
      </c>
      <c r="D59" s="33">
        <v>71.5</v>
      </c>
      <c r="E59" s="34">
        <v>0</v>
      </c>
      <c r="F59" s="33">
        <v>71.5</v>
      </c>
      <c r="G59" s="31">
        <v>1</v>
      </c>
      <c r="H59" s="31" t="s">
        <v>6490</v>
      </c>
      <c r="I59" s="32" t="s">
        <v>6490</v>
      </c>
      <c r="J59" s="32">
        <v>50</v>
      </c>
      <c r="K59" s="32">
        <v>50</v>
      </c>
      <c r="L59" s="32" t="s">
        <v>6490</v>
      </c>
      <c r="M59" s="32">
        <v>50</v>
      </c>
      <c r="N59" s="32">
        <v>100</v>
      </c>
      <c r="O59" s="32">
        <v>50</v>
      </c>
      <c r="P59" s="31">
        <v>200</v>
      </c>
      <c r="Q59" s="30">
        <v>0</v>
      </c>
    </row>
    <row r="60" spans="1:17" x14ac:dyDescent="0.25">
      <c r="A60" s="36" t="s">
        <v>834</v>
      </c>
      <c r="B60" s="35">
        <v>2025</v>
      </c>
      <c r="C60" s="35">
        <v>2026</v>
      </c>
      <c r="D60" s="33">
        <v>65</v>
      </c>
      <c r="E60" s="33" t="s">
        <v>6490</v>
      </c>
      <c r="F60" s="33">
        <v>65</v>
      </c>
      <c r="G60" s="31">
        <v>1</v>
      </c>
      <c r="H60" s="31">
        <v>0.5</v>
      </c>
      <c r="I60" s="35" t="s">
        <v>6490</v>
      </c>
      <c r="J60" s="35">
        <v>50</v>
      </c>
      <c r="K60" s="35" t="s">
        <v>6490</v>
      </c>
      <c r="L60" s="35" t="s">
        <v>6490</v>
      </c>
      <c r="M60" s="35" t="s">
        <v>6490</v>
      </c>
      <c r="N60" s="35">
        <v>100</v>
      </c>
      <c r="O60" s="35">
        <v>50</v>
      </c>
      <c r="P60" s="31">
        <v>60</v>
      </c>
      <c r="Q60" s="49">
        <v>0</v>
      </c>
    </row>
    <row r="61" spans="1:17" x14ac:dyDescent="0.25">
      <c r="A61" s="36" t="s">
        <v>839</v>
      </c>
      <c r="B61" s="35">
        <v>2025</v>
      </c>
      <c r="C61" s="35">
        <v>2027</v>
      </c>
      <c r="D61" s="33">
        <v>64</v>
      </c>
      <c r="E61" s="33" t="s">
        <v>6490</v>
      </c>
      <c r="F61" s="33">
        <v>64</v>
      </c>
      <c r="G61" s="31">
        <v>1</v>
      </c>
      <c r="H61" s="31">
        <v>0.5</v>
      </c>
      <c r="I61" s="35" t="s">
        <v>6490</v>
      </c>
      <c r="J61" s="35">
        <v>50</v>
      </c>
      <c r="K61" s="35" t="s">
        <v>6490</v>
      </c>
      <c r="L61" s="35" t="s">
        <v>6490</v>
      </c>
      <c r="M61" s="35">
        <v>100</v>
      </c>
      <c r="N61" s="35">
        <v>100</v>
      </c>
      <c r="O61" s="35">
        <v>50</v>
      </c>
      <c r="P61" s="31">
        <v>80</v>
      </c>
      <c r="Q61" s="49">
        <v>0</v>
      </c>
    </row>
    <row r="62" spans="1:17" x14ac:dyDescent="0.25">
      <c r="A62" s="36" t="s">
        <v>846</v>
      </c>
      <c r="B62" s="35">
        <v>2025</v>
      </c>
      <c r="C62" s="35">
        <v>2026</v>
      </c>
      <c r="D62" s="33">
        <v>76</v>
      </c>
      <c r="E62" s="33" t="s">
        <v>6490</v>
      </c>
      <c r="F62" s="33">
        <v>76</v>
      </c>
      <c r="G62" s="31">
        <v>1</v>
      </c>
      <c r="H62" s="31" t="s">
        <v>6490</v>
      </c>
      <c r="I62" s="35" t="s">
        <v>6490</v>
      </c>
      <c r="J62" s="35">
        <v>50</v>
      </c>
      <c r="K62" s="35" t="s">
        <v>6490</v>
      </c>
      <c r="L62" s="35" t="s">
        <v>6490</v>
      </c>
      <c r="M62" s="35">
        <v>100</v>
      </c>
      <c r="N62" s="35">
        <v>100</v>
      </c>
      <c r="O62" s="35">
        <v>50</v>
      </c>
      <c r="P62" s="31">
        <v>100</v>
      </c>
      <c r="Q62" s="49">
        <v>0</v>
      </c>
    </row>
    <row r="63" spans="1:17" x14ac:dyDescent="0.25">
      <c r="A63" s="36" t="s">
        <v>45</v>
      </c>
      <c r="B63" s="35">
        <v>2024</v>
      </c>
      <c r="C63" s="35">
        <v>2026</v>
      </c>
      <c r="D63" s="33">
        <v>76</v>
      </c>
      <c r="E63" s="33" t="s">
        <v>6490</v>
      </c>
      <c r="F63" s="33">
        <v>76</v>
      </c>
      <c r="G63" s="31">
        <v>1.2</v>
      </c>
      <c r="H63" s="31">
        <v>0.5</v>
      </c>
      <c r="I63" s="35" t="s">
        <v>6490</v>
      </c>
      <c r="J63" s="35">
        <v>50</v>
      </c>
      <c r="K63" s="35" t="s">
        <v>6490</v>
      </c>
      <c r="L63" s="35" t="s">
        <v>6490</v>
      </c>
      <c r="M63" s="35">
        <v>100</v>
      </c>
      <c r="N63" s="35">
        <v>100</v>
      </c>
      <c r="O63" s="35">
        <v>50</v>
      </c>
      <c r="P63" s="31">
        <v>100</v>
      </c>
      <c r="Q63" s="49">
        <v>0</v>
      </c>
    </row>
    <row r="64" spans="1:17" x14ac:dyDescent="0.25">
      <c r="A64" s="36" t="s">
        <v>1560</v>
      </c>
      <c r="B64" s="35" t="s">
        <v>6491</v>
      </c>
      <c r="C64" s="35" t="s">
        <v>6492</v>
      </c>
      <c r="D64" s="33">
        <v>66</v>
      </c>
      <c r="E64" s="34">
        <v>0</v>
      </c>
      <c r="F64" s="33">
        <v>66</v>
      </c>
      <c r="G64" s="31">
        <v>1.2</v>
      </c>
      <c r="H64" s="31">
        <v>0.5</v>
      </c>
      <c r="I64" s="32" t="s">
        <v>6490</v>
      </c>
      <c r="J64" s="32">
        <v>50</v>
      </c>
      <c r="K64" s="32" t="s">
        <v>6490</v>
      </c>
      <c r="L64" s="32" t="s">
        <v>6490</v>
      </c>
      <c r="M64" s="32">
        <v>100</v>
      </c>
      <c r="N64" s="32">
        <v>100</v>
      </c>
      <c r="O64" s="32">
        <v>50</v>
      </c>
      <c r="P64" s="31" t="s">
        <v>6499</v>
      </c>
      <c r="Q64" s="49">
        <v>5</v>
      </c>
    </row>
    <row r="65" spans="1:17" x14ac:dyDescent="0.25">
      <c r="A65" s="36" t="s">
        <v>1650</v>
      </c>
      <c r="B65" s="35" t="s">
        <v>6505</v>
      </c>
      <c r="C65" s="35" t="s">
        <v>6492</v>
      </c>
      <c r="D65" s="33">
        <v>72.5</v>
      </c>
      <c r="E65" s="34">
        <v>0</v>
      </c>
      <c r="F65" s="33">
        <v>72.5</v>
      </c>
      <c r="G65" s="31">
        <v>1</v>
      </c>
      <c r="H65" s="31">
        <v>0.5</v>
      </c>
      <c r="I65" s="32" t="s">
        <v>6490</v>
      </c>
      <c r="J65" s="32">
        <v>50</v>
      </c>
      <c r="K65" s="32">
        <v>50</v>
      </c>
      <c r="L65" s="32">
        <v>50</v>
      </c>
      <c r="M65" s="32">
        <v>100</v>
      </c>
      <c r="N65" s="32">
        <v>100</v>
      </c>
      <c r="O65" s="32">
        <v>50</v>
      </c>
      <c r="P65" s="31">
        <v>70</v>
      </c>
      <c r="Q65" s="30">
        <v>0</v>
      </c>
    </row>
    <row r="66" spans="1:17" x14ac:dyDescent="0.25">
      <c r="A66" s="36" t="s">
        <v>1898</v>
      </c>
      <c r="B66" s="35">
        <v>2025</v>
      </c>
      <c r="C66" s="35">
        <v>2026</v>
      </c>
      <c r="D66" s="33">
        <v>72</v>
      </c>
      <c r="E66" s="33" t="s">
        <v>6490</v>
      </c>
      <c r="F66" s="33">
        <v>72</v>
      </c>
      <c r="G66" s="31">
        <v>1</v>
      </c>
      <c r="H66" s="31" t="s">
        <v>6490</v>
      </c>
      <c r="I66" s="35" t="s">
        <v>6490</v>
      </c>
      <c r="J66" s="35">
        <v>50</v>
      </c>
      <c r="K66" s="35">
        <v>50</v>
      </c>
      <c r="L66" s="35">
        <v>50</v>
      </c>
      <c r="M66" s="35">
        <v>100</v>
      </c>
      <c r="N66" s="35">
        <v>100</v>
      </c>
      <c r="O66" s="35">
        <v>50</v>
      </c>
      <c r="P66" s="31">
        <v>100</v>
      </c>
      <c r="Q66" s="49">
        <v>0</v>
      </c>
    </row>
    <row r="67" spans="1:17" x14ac:dyDescent="0.25">
      <c r="A67" s="36" t="s">
        <v>50</v>
      </c>
      <c r="B67" s="35">
        <v>2025</v>
      </c>
      <c r="C67" s="35">
        <v>2026</v>
      </c>
      <c r="D67" s="33">
        <v>73</v>
      </c>
      <c r="E67" s="33" t="s">
        <v>6490</v>
      </c>
      <c r="F67" s="33">
        <v>73</v>
      </c>
      <c r="G67" s="31">
        <v>1</v>
      </c>
      <c r="H67" s="31">
        <v>0.5</v>
      </c>
      <c r="I67" s="35" t="s">
        <v>6490</v>
      </c>
      <c r="J67" s="35">
        <v>50</v>
      </c>
      <c r="K67" s="35" t="s">
        <v>6490</v>
      </c>
      <c r="L67" s="35" t="s">
        <v>6490</v>
      </c>
      <c r="M67" s="35">
        <v>50</v>
      </c>
      <c r="N67" s="35">
        <v>100</v>
      </c>
      <c r="O67" s="35">
        <v>50</v>
      </c>
      <c r="P67" s="31">
        <v>100</v>
      </c>
      <c r="Q67" s="49">
        <v>0</v>
      </c>
    </row>
    <row r="68" spans="1:17" x14ac:dyDescent="0.25">
      <c r="A68" s="36" t="s">
        <v>1970</v>
      </c>
      <c r="B68" s="35" t="s">
        <v>6494</v>
      </c>
      <c r="C68" s="35" t="s">
        <v>6492</v>
      </c>
      <c r="D68" s="33">
        <v>75</v>
      </c>
      <c r="E68" s="34">
        <v>0</v>
      </c>
      <c r="F68" s="33">
        <v>75</v>
      </c>
      <c r="G68" s="31">
        <v>1</v>
      </c>
      <c r="H68" s="31" t="s">
        <v>6490</v>
      </c>
      <c r="I68" s="32" t="s">
        <v>6490</v>
      </c>
      <c r="J68" s="32">
        <v>50</v>
      </c>
      <c r="K68" s="32" t="s">
        <v>6490</v>
      </c>
      <c r="L68" s="32" t="s">
        <v>6490</v>
      </c>
      <c r="M68" s="32">
        <v>100</v>
      </c>
      <c r="N68" s="32">
        <v>100</v>
      </c>
      <c r="O68" s="32">
        <v>50</v>
      </c>
      <c r="P68" s="31">
        <v>75</v>
      </c>
      <c r="Q68" s="30">
        <v>0</v>
      </c>
    </row>
    <row r="69" spans="1:17" x14ac:dyDescent="0.25">
      <c r="A69" s="36" t="s">
        <v>2016</v>
      </c>
      <c r="B69" s="35">
        <v>2025</v>
      </c>
      <c r="C69" s="35">
        <v>2026</v>
      </c>
      <c r="D69" s="33">
        <v>72</v>
      </c>
      <c r="E69" s="33" t="s">
        <v>6490</v>
      </c>
      <c r="F69" s="33">
        <v>72</v>
      </c>
      <c r="G69" s="31">
        <v>1.25</v>
      </c>
      <c r="H69" s="31">
        <v>0.5</v>
      </c>
      <c r="I69" s="35" t="s">
        <v>6490</v>
      </c>
      <c r="J69" s="35">
        <v>50</v>
      </c>
      <c r="K69" s="35" t="s">
        <v>6490</v>
      </c>
      <c r="L69" s="35" t="s">
        <v>6490</v>
      </c>
      <c r="M69" s="35">
        <v>100</v>
      </c>
      <c r="N69" s="35">
        <v>100</v>
      </c>
      <c r="O69" s="35">
        <v>50</v>
      </c>
      <c r="P69" s="31">
        <v>75</v>
      </c>
      <c r="Q69" s="49">
        <v>0</v>
      </c>
    </row>
    <row r="70" spans="1:17" x14ac:dyDescent="0.25">
      <c r="A70" s="36" t="s">
        <v>2155</v>
      </c>
      <c r="B70" s="35">
        <v>2025</v>
      </c>
      <c r="C70" s="35">
        <v>2026</v>
      </c>
      <c r="D70" s="33">
        <v>75.5</v>
      </c>
      <c r="E70" s="33" t="s">
        <v>6490</v>
      </c>
      <c r="F70" s="33">
        <v>75.5</v>
      </c>
      <c r="G70" s="31">
        <v>1</v>
      </c>
      <c r="H70" s="31" t="s">
        <v>6490</v>
      </c>
      <c r="I70" s="35" t="s">
        <v>6490</v>
      </c>
      <c r="J70" s="35">
        <v>50</v>
      </c>
      <c r="K70" s="35">
        <v>20</v>
      </c>
      <c r="L70" s="35">
        <v>20</v>
      </c>
      <c r="M70" s="35">
        <v>50</v>
      </c>
      <c r="N70" s="35">
        <v>100</v>
      </c>
      <c r="O70" s="35">
        <v>50</v>
      </c>
      <c r="P70" s="31">
        <v>100</v>
      </c>
      <c r="Q70" s="49">
        <v>0</v>
      </c>
    </row>
    <row r="71" spans="1:17" x14ac:dyDescent="0.25">
      <c r="A71" s="36" t="s">
        <v>2376</v>
      </c>
      <c r="B71" s="35">
        <v>2025</v>
      </c>
      <c r="C71" s="35">
        <v>2026</v>
      </c>
      <c r="D71" s="33">
        <v>70.5</v>
      </c>
      <c r="E71" s="33" t="s">
        <v>6490</v>
      </c>
      <c r="F71" s="33">
        <v>70.5</v>
      </c>
      <c r="G71" s="31">
        <v>1</v>
      </c>
      <c r="H71" s="31">
        <v>0.5</v>
      </c>
      <c r="I71" s="35" t="s">
        <v>6490</v>
      </c>
      <c r="J71" s="35">
        <v>50</v>
      </c>
      <c r="K71" s="35">
        <v>50</v>
      </c>
      <c r="L71" s="35">
        <v>50</v>
      </c>
      <c r="M71" s="35">
        <v>100</v>
      </c>
      <c r="N71" s="35">
        <v>100</v>
      </c>
      <c r="O71" s="35">
        <v>50</v>
      </c>
      <c r="P71" s="31">
        <v>150</v>
      </c>
      <c r="Q71" s="49">
        <v>0</v>
      </c>
    </row>
    <row r="72" spans="1:17" x14ac:dyDescent="0.25">
      <c r="A72" s="36" t="s">
        <v>3398</v>
      </c>
      <c r="B72" s="35">
        <v>2025</v>
      </c>
      <c r="C72" s="35">
        <v>2026</v>
      </c>
      <c r="D72" s="33">
        <v>75</v>
      </c>
      <c r="E72" s="33" t="s">
        <v>6490</v>
      </c>
      <c r="F72" s="33">
        <v>75</v>
      </c>
      <c r="G72" s="31">
        <v>1</v>
      </c>
      <c r="H72" s="31">
        <v>0.5</v>
      </c>
      <c r="I72" s="35" t="s">
        <v>6490</v>
      </c>
      <c r="J72" s="35">
        <v>50</v>
      </c>
      <c r="K72" s="35">
        <v>30</v>
      </c>
      <c r="L72" s="35">
        <v>30</v>
      </c>
      <c r="M72" s="35">
        <v>50</v>
      </c>
      <c r="N72" s="35">
        <v>100</v>
      </c>
      <c r="O72" s="35">
        <v>50</v>
      </c>
      <c r="P72" s="31">
        <v>60</v>
      </c>
      <c r="Q72" s="49">
        <v>0</v>
      </c>
    </row>
    <row r="73" spans="1:17" x14ac:dyDescent="0.25">
      <c r="A73" s="36" t="s">
        <v>6506</v>
      </c>
      <c r="B73" s="35" t="s">
        <v>6494</v>
      </c>
      <c r="C73" s="35" t="s">
        <v>6492</v>
      </c>
      <c r="D73" s="33">
        <v>59.5</v>
      </c>
      <c r="E73" s="34">
        <v>0</v>
      </c>
      <c r="F73" s="33">
        <v>59.5</v>
      </c>
      <c r="G73" s="31">
        <v>1</v>
      </c>
      <c r="H73" s="31">
        <v>0.5</v>
      </c>
      <c r="I73" s="32" t="s">
        <v>6490</v>
      </c>
      <c r="J73" s="32">
        <v>50</v>
      </c>
      <c r="K73" s="32">
        <v>50</v>
      </c>
      <c r="L73" s="32" t="s">
        <v>6490</v>
      </c>
      <c r="M73" s="32">
        <v>50</v>
      </c>
      <c r="N73" s="32">
        <v>100</v>
      </c>
      <c r="O73" s="32">
        <v>50</v>
      </c>
      <c r="P73" s="31">
        <v>60</v>
      </c>
      <c r="Q73" s="30">
        <v>0</v>
      </c>
    </row>
    <row r="74" spans="1:17" x14ac:dyDescent="0.25">
      <c r="A74" s="36" t="s">
        <v>3587</v>
      </c>
      <c r="B74" s="35">
        <v>2024</v>
      </c>
      <c r="C74" s="35">
        <v>2026</v>
      </c>
      <c r="D74" s="33">
        <v>70</v>
      </c>
      <c r="E74" s="33" t="s">
        <v>6490</v>
      </c>
      <c r="F74" s="33">
        <v>70</v>
      </c>
      <c r="G74" s="31">
        <v>1</v>
      </c>
      <c r="H74" s="31" t="s">
        <v>6490</v>
      </c>
      <c r="I74" s="35" t="s">
        <v>6490</v>
      </c>
      <c r="J74" s="35">
        <v>50</v>
      </c>
      <c r="K74" s="35" t="s">
        <v>6490</v>
      </c>
      <c r="L74" s="35" t="s">
        <v>6490</v>
      </c>
      <c r="M74" s="35">
        <v>100</v>
      </c>
      <c r="N74" s="35">
        <v>100</v>
      </c>
      <c r="O74" s="35">
        <v>50</v>
      </c>
      <c r="P74" s="31">
        <v>100</v>
      </c>
      <c r="Q74" s="49">
        <v>0</v>
      </c>
    </row>
    <row r="75" spans="1:17" x14ac:dyDescent="0.25">
      <c r="A75" s="36" t="s">
        <v>3651</v>
      </c>
      <c r="B75" s="35">
        <v>2025</v>
      </c>
      <c r="C75" s="35">
        <v>2026</v>
      </c>
      <c r="D75" s="33">
        <v>72.5</v>
      </c>
      <c r="E75" s="33" t="s">
        <v>6490</v>
      </c>
      <c r="F75" s="33">
        <v>72.5</v>
      </c>
      <c r="G75" s="31">
        <v>0.8</v>
      </c>
      <c r="H75" s="31" t="s">
        <v>6490</v>
      </c>
      <c r="I75" s="35" t="s">
        <v>6490</v>
      </c>
      <c r="J75" s="35">
        <v>50</v>
      </c>
      <c r="K75" s="35">
        <v>20</v>
      </c>
      <c r="L75" s="35">
        <v>20</v>
      </c>
      <c r="M75" s="35">
        <v>100</v>
      </c>
      <c r="N75" s="35">
        <v>100</v>
      </c>
      <c r="O75" s="35">
        <v>50</v>
      </c>
      <c r="P75" s="35" t="s">
        <v>6499</v>
      </c>
      <c r="Q75" s="49">
        <v>0</v>
      </c>
    </row>
    <row r="76" spans="1:17" x14ac:dyDescent="0.25">
      <c r="A76" s="36" t="s">
        <v>6507</v>
      </c>
      <c r="B76" s="35">
        <v>2025</v>
      </c>
      <c r="C76" s="35">
        <v>2026</v>
      </c>
      <c r="D76" s="33">
        <v>74</v>
      </c>
      <c r="E76" s="33" t="s">
        <v>6490</v>
      </c>
      <c r="F76" s="33">
        <v>74</v>
      </c>
      <c r="G76" s="31">
        <v>1</v>
      </c>
      <c r="H76" s="31">
        <v>0.5</v>
      </c>
      <c r="I76" s="35" t="s">
        <v>6490</v>
      </c>
      <c r="J76" s="35">
        <v>50</v>
      </c>
      <c r="K76" s="35" t="s">
        <v>6490</v>
      </c>
      <c r="L76" s="35" t="s">
        <v>6490</v>
      </c>
      <c r="M76" s="35">
        <v>100</v>
      </c>
      <c r="N76" s="35">
        <v>100</v>
      </c>
      <c r="O76" s="35">
        <v>50</v>
      </c>
      <c r="P76" s="31">
        <v>100</v>
      </c>
      <c r="Q76" s="49">
        <v>0</v>
      </c>
    </row>
    <row r="77" spans="1:17" x14ac:dyDescent="0.25">
      <c r="A77" s="36" t="s">
        <v>4241</v>
      </c>
      <c r="B77" s="35" t="s">
        <v>6494</v>
      </c>
      <c r="C77" s="35" t="s">
        <v>6492</v>
      </c>
      <c r="D77" s="33">
        <v>76</v>
      </c>
      <c r="E77" s="34">
        <v>0</v>
      </c>
      <c r="F77" s="33">
        <v>76</v>
      </c>
      <c r="G77" s="31">
        <v>1.5</v>
      </c>
      <c r="H77" s="31" t="s">
        <v>6490</v>
      </c>
      <c r="I77" s="32" t="s">
        <v>6490</v>
      </c>
      <c r="J77" s="32">
        <v>50</v>
      </c>
      <c r="K77" s="32">
        <v>50</v>
      </c>
      <c r="L77" s="32">
        <v>50</v>
      </c>
      <c r="M77" s="32">
        <v>100</v>
      </c>
      <c r="N77" s="32">
        <v>100</v>
      </c>
      <c r="O77" s="32">
        <v>50</v>
      </c>
      <c r="P77" s="31" t="s">
        <v>6503</v>
      </c>
      <c r="Q77" s="30">
        <v>0</v>
      </c>
    </row>
    <row r="78" spans="1:17" x14ac:dyDescent="0.25">
      <c r="A78" s="36" t="s">
        <v>4480</v>
      </c>
      <c r="B78" s="35" t="s">
        <v>6494</v>
      </c>
      <c r="C78" s="35" t="s">
        <v>6495</v>
      </c>
      <c r="D78" s="33">
        <v>79</v>
      </c>
      <c r="E78" s="34">
        <v>0</v>
      </c>
      <c r="F78" s="33">
        <v>79</v>
      </c>
      <c r="G78" s="31">
        <v>1</v>
      </c>
      <c r="H78" s="31" t="s">
        <v>6490</v>
      </c>
      <c r="I78" s="32" t="s">
        <v>6490</v>
      </c>
      <c r="J78" s="32">
        <v>50</v>
      </c>
      <c r="K78" s="32">
        <v>30</v>
      </c>
      <c r="L78" s="32">
        <v>30</v>
      </c>
      <c r="M78" s="32">
        <v>50</v>
      </c>
      <c r="N78" s="32">
        <v>100</v>
      </c>
      <c r="O78" s="32" t="s">
        <v>6490</v>
      </c>
      <c r="P78" s="31">
        <v>90</v>
      </c>
      <c r="Q78" s="49">
        <v>10</v>
      </c>
    </row>
    <row r="79" spans="1:17" x14ac:dyDescent="0.25">
      <c r="A79" s="36" t="s">
        <v>4826</v>
      </c>
      <c r="B79" s="35">
        <v>2025</v>
      </c>
      <c r="C79" s="35">
        <v>2026</v>
      </c>
      <c r="D79" s="33">
        <v>71</v>
      </c>
      <c r="E79" s="33" t="s">
        <v>6490</v>
      </c>
      <c r="F79" s="33">
        <v>71</v>
      </c>
      <c r="G79" s="31">
        <v>1</v>
      </c>
      <c r="H79" s="31">
        <v>0.5</v>
      </c>
      <c r="I79" s="35" t="s">
        <v>6490</v>
      </c>
      <c r="J79" s="35">
        <v>50</v>
      </c>
      <c r="K79" s="35" t="s">
        <v>6490</v>
      </c>
      <c r="L79" s="35" t="s">
        <v>6490</v>
      </c>
      <c r="M79" s="35">
        <v>100</v>
      </c>
      <c r="N79" s="35">
        <v>100</v>
      </c>
      <c r="O79" s="35">
        <v>50</v>
      </c>
      <c r="P79" s="31">
        <v>120</v>
      </c>
      <c r="Q79" s="49">
        <v>0</v>
      </c>
    </row>
    <row r="80" spans="1:17" x14ac:dyDescent="0.25">
      <c r="A80" s="36" t="s">
        <v>4831</v>
      </c>
      <c r="B80" s="35" t="s">
        <v>6494</v>
      </c>
      <c r="C80" s="35" t="s">
        <v>6492</v>
      </c>
      <c r="D80" s="33">
        <v>76</v>
      </c>
      <c r="E80" s="34">
        <v>0</v>
      </c>
      <c r="F80" s="33">
        <v>76</v>
      </c>
      <c r="G80" s="31">
        <v>1.2</v>
      </c>
      <c r="H80" s="31" t="s">
        <v>6490</v>
      </c>
      <c r="I80" s="32" t="s">
        <v>6490</v>
      </c>
      <c r="J80" s="32">
        <v>50</v>
      </c>
      <c r="K80" s="32">
        <v>50</v>
      </c>
      <c r="L80" s="32">
        <v>50</v>
      </c>
      <c r="M80" s="32">
        <v>100</v>
      </c>
      <c r="N80" s="32">
        <v>100</v>
      </c>
      <c r="O80" s="32">
        <v>50</v>
      </c>
      <c r="P80" s="31">
        <v>60</v>
      </c>
      <c r="Q80" s="30">
        <v>0</v>
      </c>
    </row>
    <row r="81" spans="1:17" x14ac:dyDescent="0.25">
      <c r="A81" s="36" t="s">
        <v>4895</v>
      </c>
      <c r="B81" s="35">
        <v>2025</v>
      </c>
      <c r="C81" s="35">
        <v>2026</v>
      </c>
      <c r="D81" s="33">
        <v>72.5</v>
      </c>
      <c r="E81" s="33" t="s">
        <v>6490</v>
      </c>
      <c r="F81" s="33">
        <v>72.5</v>
      </c>
      <c r="G81" s="31">
        <v>1</v>
      </c>
      <c r="H81" s="31">
        <v>0.5</v>
      </c>
      <c r="I81" s="35" t="s">
        <v>6490</v>
      </c>
      <c r="J81" s="35">
        <v>50</v>
      </c>
      <c r="K81" s="35">
        <v>60</v>
      </c>
      <c r="L81" s="35">
        <v>60</v>
      </c>
      <c r="M81" s="35">
        <v>100</v>
      </c>
      <c r="N81" s="35">
        <v>100</v>
      </c>
      <c r="O81" s="35">
        <v>50</v>
      </c>
      <c r="P81" s="31">
        <v>60</v>
      </c>
      <c r="Q81" s="49">
        <v>0</v>
      </c>
    </row>
    <row r="82" spans="1:17" x14ac:dyDescent="0.25">
      <c r="A82" s="36" t="s">
        <v>4909</v>
      </c>
      <c r="B82" s="35" t="s">
        <v>6494</v>
      </c>
      <c r="C82" s="35" t="s">
        <v>6492</v>
      </c>
      <c r="D82" s="33">
        <v>69.5</v>
      </c>
      <c r="E82" s="34">
        <v>0</v>
      </c>
      <c r="F82" s="33">
        <v>69.5</v>
      </c>
      <c r="G82" s="31">
        <v>1</v>
      </c>
      <c r="H82" s="31">
        <v>0.5</v>
      </c>
      <c r="I82" s="32" t="s">
        <v>6490</v>
      </c>
      <c r="J82" s="32">
        <v>50</v>
      </c>
      <c r="K82" s="32">
        <v>70</v>
      </c>
      <c r="L82" s="32">
        <v>50</v>
      </c>
      <c r="M82" s="32">
        <v>70</v>
      </c>
      <c r="N82" s="32">
        <v>100</v>
      </c>
      <c r="O82" s="32">
        <v>50</v>
      </c>
      <c r="P82" s="31" t="s">
        <v>6499</v>
      </c>
      <c r="Q82" s="30">
        <v>0</v>
      </c>
    </row>
    <row r="83" spans="1:17" x14ac:dyDescent="0.25">
      <c r="A83" s="36" t="s">
        <v>4914</v>
      </c>
      <c r="B83" s="35" t="s">
        <v>6494</v>
      </c>
      <c r="C83" s="35" t="s">
        <v>6492</v>
      </c>
      <c r="D83" s="33">
        <v>74</v>
      </c>
      <c r="E83" s="34">
        <v>0</v>
      </c>
      <c r="F83" s="33">
        <v>74</v>
      </c>
      <c r="G83" s="31">
        <v>1</v>
      </c>
      <c r="H83" s="31" t="s">
        <v>6490</v>
      </c>
      <c r="I83" s="32" t="s">
        <v>6490</v>
      </c>
      <c r="J83" s="32">
        <v>50</v>
      </c>
      <c r="K83" s="32" t="s">
        <v>6490</v>
      </c>
      <c r="L83" s="32" t="s">
        <v>6490</v>
      </c>
      <c r="M83" s="32" t="s">
        <v>6490</v>
      </c>
      <c r="N83" s="32" t="s">
        <v>6490</v>
      </c>
      <c r="O83" s="32">
        <v>50</v>
      </c>
      <c r="P83" s="31" t="s">
        <v>6499</v>
      </c>
      <c r="Q83" s="30">
        <v>0</v>
      </c>
    </row>
    <row r="84" spans="1:17" x14ac:dyDescent="0.25">
      <c r="A84" s="36" t="s">
        <v>4929</v>
      </c>
      <c r="B84" s="35">
        <v>2025</v>
      </c>
      <c r="C84" s="35">
        <v>2026</v>
      </c>
      <c r="D84" s="33">
        <v>73</v>
      </c>
      <c r="E84" s="33" t="s">
        <v>6490</v>
      </c>
      <c r="F84" s="33">
        <v>73</v>
      </c>
      <c r="G84" s="31">
        <v>1</v>
      </c>
      <c r="H84" s="31" t="s">
        <v>6490</v>
      </c>
      <c r="I84" s="35" t="s">
        <v>6490</v>
      </c>
      <c r="J84" s="35">
        <v>50</v>
      </c>
      <c r="K84" s="35">
        <v>50</v>
      </c>
      <c r="L84" s="35">
        <v>50</v>
      </c>
      <c r="M84" s="35">
        <v>100</v>
      </c>
      <c r="N84" s="35">
        <v>100</v>
      </c>
      <c r="O84" s="35">
        <v>50</v>
      </c>
      <c r="P84" s="31">
        <v>100</v>
      </c>
      <c r="Q84" s="49">
        <v>5</v>
      </c>
    </row>
    <row r="85" spans="1:17" x14ac:dyDescent="0.25">
      <c r="A85" s="36" t="s">
        <v>5419</v>
      </c>
      <c r="B85" s="35" t="s">
        <v>6491</v>
      </c>
      <c r="C85" s="35" t="s">
        <v>6492</v>
      </c>
      <c r="D85" s="33">
        <v>73</v>
      </c>
      <c r="E85" s="34">
        <v>0</v>
      </c>
      <c r="F85" s="33">
        <v>73</v>
      </c>
      <c r="G85" s="31">
        <v>1</v>
      </c>
      <c r="H85" s="31">
        <v>0.5</v>
      </c>
      <c r="I85" s="32" t="s">
        <v>6490</v>
      </c>
      <c r="J85" s="32">
        <v>50</v>
      </c>
      <c r="K85" s="32" t="s">
        <v>6490</v>
      </c>
      <c r="L85" s="32" t="s">
        <v>6490</v>
      </c>
      <c r="M85" s="32">
        <v>100</v>
      </c>
      <c r="N85" s="32">
        <v>100</v>
      </c>
      <c r="O85" s="32">
        <v>50</v>
      </c>
      <c r="P85" s="31">
        <v>100</v>
      </c>
      <c r="Q85" s="30">
        <v>0</v>
      </c>
    </row>
    <row r="86" spans="1:17" x14ac:dyDescent="0.25">
      <c r="A86" s="36" t="s">
        <v>61</v>
      </c>
      <c r="B86" s="35">
        <v>2025</v>
      </c>
      <c r="C86" s="35">
        <v>2026</v>
      </c>
      <c r="D86" s="33">
        <v>77</v>
      </c>
      <c r="E86" s="33" t="s">
        <v>6490</v>
      </c>
      <c r="F86" s="33">
        <v>77</v>
      </c>
      <c r="G86" s="31">
        <v>1.5</v>
      </c>
      <c r="H86" s="31" t="s">
        <v>6490</v>
      </c>
      <c r="I86" s="35" t="s">
        <v>6490</v>
      </c>
      <c r="J86" s="35">
        <v>50</v>
      </c>
      <c r="K86" s="35">
        <v>30</v>
      </c>
      <c r="L86" s="35">
        <v>30</v>
      </c>
      <c r="M86" s="35">
        <v>30</v>
      </c>
      <c r="N86" s="35">
        <v>100</v>
      </c>
      <c r="O86" s="35">
        <v>50</v>
      </c>
      <c r="P86" s="31">
        <v>150</v>
      </c>
      <c r="Q86" s="49">
        <v>0</v>
      </c>
    </row>
    <row r="87" spans="1:17" x14ac:dyDescent="0.25">
      <c r="A87" s="36" t="s">
        <v>5657</v>
      </c>
      <c r="B87" s="35">
        <v>2021</v>
      </c>
      <c r="C87" s="35">
        <v>2026</v>
      </c>
      <c r="D87" s="33">
        <v>64</v>
      </c>
      <c r="E87" s="33" t="s">
        <v>6490</v>
      </c>
      <c r="F87" s="33">
        <v>64</v>
      </c>
      <c r="G87" s="31">
        <v>1</v>
      </c>
      <c r="H87" s="31">
        <v>0.5</v>
      </c>
      <c r="I87" s="35" t="s">
        <v>6490</v>
      </c>
      <c r="J87" s="35">
        <v>50</v>
      </c>
      <c r="K87" s="35">
        <v>50</v>
      </c>
      <c r="L87" s="35">
        <v>50</v>
      </c>
      <c r="M87" s="35">
        <v>100</v>
      </c>
      <c r="N87" s="35">
        <v>100</v>
      </c>
      <c r="O87" s="35" t="s">
        <v>6490</v>
      </c>
      <c r="P87" s="31">
        <v>50</v>
      </c>
      <c r="Q87" s="49">
        <v>0</v>
      </c>
    </row>
    <row r="88" spans="1:17" x14ac:dyDescent="0.25">
      <c r="A88" s="36" t="s">
        <v>6055</v>
      </c>
      <c r="B88" s="35">
        <v>2025</v>
      </c>
      <c r="C88" s="35">
        <v>2026</v>
      </c>
      <c r="D88" s="33">
        <v>76</v>
      </c>
      <c r="E88" s="33" t="s">
        <v>6490</v>
      </c>
      <c r="F88" s="33">
        <v>76</v>
      </c>
      <c r="G88" s="31">
        <v>1</v>
      </c>
      <c r="H88" s="31">
        <v>0.5</v>
      </c>
      <c r="I88" s="35">
        <v>10</v>
      </c>
      <c r="J88" s="35">
        <v>50</v>
      </c>
      <c r="K88" s="35">
        <v>10</v>
      </c>
      <c r="L88" s="35">
        <v>10</v>
      </c>
      <c r="M88" s="35">
        <v>100</v>
      </c>
      <c r="N88" s="35">
        <v>100</v>
      </c>
      <c r="O88" s="35">
        <v>50</v>
      </c>
      <c r="P88" s="31">
        <v>130</v>
      </c>
      <c r="Q88" s="49">
        <v>0</v>
      </c>
    </row>
    <row r="89" spans="1:17" x14ac:dyDescent="0.25">
      <c r="A89" s="36" t="s">
        <v>6137</v>
      </c>
      <c r="B89" s="35" t="s">
        <v>6494</v>
      </c>
      <c r="C89" s="35" t="s">
        <v>6492</v>
      </c>
      <c r="D89" s="33">
        <v>73.5</v>
      </c>
      <c r="E89" s="34">
        <v>0</v>
      </c>
      <c r="F89" s="33">
        <v>73.5</v>
      </c>
      <c r="G89" s="31">
        <v>0.8</v>
      </c>
      <c r="H89" s="31" t="s">
        <v>6490</v>
      </c>
      <c r="I89" s="32" t="s">
        <v>6490</v>
      </c>
      <c r="J89" s="32">
        <v>50</v>
      </c>
      <c r="K89" s="32">
        <v>30</v>
      </c>
      <c r="L89" s="32">
        <v>30</v>
      </c>
      <c r="M89" s="32">
        <v>100</v>
      </c>
      <c r="N89" s="32">
        <v>100</v>
      </c>
      <c r="O89" s="32">
        <v>50</v>
      </c>
      <c r="P89" s="31">
        <v>100</v>
      </c>
      <c r="Q89" s="30">
        <v>0</v>
      </c>
    </row>
    <row r="90" spans="1:17" x14ac:dyDescent="0.25">
      <c r="A90" s="36" t="s">
        <v>6159</v>
      </c>
      <c r="B90" s="35">
        <v>2025</v>
      </c>
      <c r="C90" s="35">
        <v>2026</v>
      </c>
      <c r="D90" s="33">
        <v>63</v>
      </c>
      <c r="E90" s="33">
        <v>2</v>
      </c>
      <c r="F90" s="33">
        <v>65</v>
      </c>
      <c r="G90" s="31">
        <v>1.2</v>
      </c>
      <c r="H90" s="31">
        <v>0.5</v>
      </c>
      <c r="I90" s="35" t="s">
        <v>6490</v>
      </c>
      <c r="J90" s="35">
        <v>50</v>
      </c>
      <c r="K90" s="35">
        <v>50</v>
      </c>
      <c r="L90" s="35">
        <v>50</v>
      </c>
      <c r="M90" s="35">
        <v>100</v>
      </c>
      <c r="N90" s="35">
        <v>100</v>
      </c>
      <c r="O90" s="35">
        <v>50</v>
      </c>
      <c r="P90" s="35" t="s">
        <v>6508</v>
      </c>
      <c r="Q90" s="49">
        <v>10</v>
      </c>
    </row>
    <row r="91" spans="1:17" x14ac:dyDescent="0.25">
      <c r="A91" s="48"/>
      <c r="B91" s="35"/>
      <c r="C91" s="35"/>
      <c r="D91" s="33"/>
      <c r="E91" s="33"/>
      <c r="F91" s="33"/>
      <c r="G91" s="31"/>
      <c r="H91" s="31"/>
      <c r="I91" s="35"/>
      <c r="J91" s="35"/>
      <c r="K91" s="35"/>
      <c r="L91" s="35"/>
      <c r="M91" s="35"/>
      <c r="N91" s="35"/>
      <c r="O91" s="35"/>
      <c r="P91" s="35"/>
      <c r="Q91" s="46"/>
    </row>
    <row r="92" spans="1:17" x14ac:dyDescent="0.25">
      <c r="A92" s="47" t="s">
        <v>6509</v>
      </c>
      <c r="B92" s="35"/>
      <c r="C92" s="35"/>
      <c r="D92" s="33"/>
      <c r="E92" s="33"/>
      <c r="F92" s="33"/>
      <c r="G92" s="31"/>
      <c r="H92" s="31"/>
      <c r="I92" s="35"/>
      <c r="J92" s="35"/>
      <c r="K92" s="35"/>
      <c r="L92" s="35"/>
      <c r="M92" s="35"/>
      <c r="N92" s="35"/>
      <c r="O92" s="35"/>
      <c r="P92" s="35"/>
      <c r="Q92" s="46"/>
    </row>
    <row r="93" spans="1:17" x14ac:dyDescent="0.25">
      <c r="A93" s="36" t="s">
        <v>95</v>
      </c>
      <c r="B93" s="35">
        <v>2021</v>
      </c>
      <c r="C93" s="35">
        <v>2026</v>
      </c>
      <c r="D93" s="33">
        <v>76</v>
      </c>
      <c r="E93" s="33" t="s">
        <v>6490</v>
      </c>
      <c r="F93" s="33">
        <v>76</v>
      </c>
      <c r="G93" s="31">
        <v>0.5</v>
      </c>
      <c r="H93" s="31">
        <v>0.5</v>
      </c>
      <c r="I93" s="35" t="s">
        <v>6490</v>
      </c>
      <c r="J93" s="35">
        <v>50</v>
      </c>
      <c r="K93" s="35">
        <v>30</v>
      </c>
      <c r="L93" s="35">
        <v>30</v>
      </c>
      <c r="M93" s="35">
        <v>80</v>
      </c>
      <c r="N93" s="35">
        <v>100</v>
      </c>
      <c r="O93" s="35">
        <v>50</v>
      </c>
      <c r="P93" s="35" t="s">
        <v>6508</v>
      </c>
      <c r="Q93" s="49">
        <v>0</v>
      </c>
    </row>
    <row r="94" spans="1:17" x14ac:dyDescent="0.25">
      <c r="A94" s="36" t="s">
        <v>212</v>
      </c>
      <c r="B94" s="35" t="s">
        <v>6494</v>
      </c>
      <c r="C94" s="35" t="s">
        <v>6492</v>
      </c>
      <c r="D94" s="33">
        <v>71</v>
      </c>
      <c r="E94" s="34">
        <v>0</v>
      </c>
      <c r="F94" s="33">
        <v>71</v>
      </c>
      <c r="G94" s="31">
        <v>0.8</v>
      </c>
      <c r="H94" s="31" t="s">
        <v>6490</v>
      </c>
      <c r="I94" s="32" t="s">
        <v>6490</v>
      </c>
      <c r="J94" s="32">
        <v>50</v>
      </c>
      <c r="K94" s="32">
        <v>100</v>
      </c>
      <c r="L94" s="32">
        <v>100</v>
      </c>
      <c r="M94" s="32">
        <v>100</v>
      </c>
      <c r="N94" s="32">
        <v>100</v>
      </c>
      <c r="O94" s="32" t="s">
        <v>6490</v>
      </c>
      <c r="P94" s="31">
        <v>70</v>
      </c>
      <c r="Q94" s="30">
        <v>0</v>
      </c>
    </row>
    <row r="95" spans="1:17" x14ac:dyDescent="0.25">
      <c r="A95" s="36" t="s">
        <v>339</v>
      </c>
      <c r="B95" s="35">
        <v>2025</v>
      </c>
      <c r="C95" s="35">
        <v>2026</v>
      </c>
      <c r="D95" s="33">
        <v>65</v>
      </c>
      <c r="E95" s="33" t="s">
        <v>6490</v>
      </c>
      <c r="F95" s="33">
        <v>65</v>
      </c>
      <c r="G95" s="31">
        <v>1</v>
      </c>
      <c r="H95" s="31">
        <v>0.5</v>
      </c>
      <c r="I95" s="35" t="s">
        <v>6490</v>
      </c>
      <c r="J95" s="35">
        <v>50</v>
      </c>
      <c r="K95" s="35">
        <v>50</v>
      </c>
      <c r="L95" s="35">
        <v>50</v>
      </c>
      <c r="M95" s="35">
        <v>100</v>
      </c>
      <c r="N95" s="35">
        <v>100</v>
      </c>
      <c r="O95" s="35" t="s">
        <v>6490</v>
      </c>
      <c r="P95" s="31">
        <v>50</v>
      </c>
      <c r="Q95" s="49">
        <v>0</v>
      </c>
    </row>
    <row r="96" spans="1:17" x14ac:dyDescent="0.25">
      <c r="A96" s="36" t="s">
        <v>369</v>
      </c>
      <c r="B96" s="35">
        <v>2025</v>
      </c>
      <c r="C96" s="35">
        <v>2026</v>
      </c>
      <c r="D96" s="33">
        <v>76.5</v>
      </c>
      <c r="E96" s="33" t="s">
        <v>6490</v>
      </c>
      <c r="F96" s="33">
        <v>76.5</v>
      </c>
      <c r="G96" s="31">
        <v>1</v>
      </c>
      <c r="H96" s="31" t="s">
        <v>6490</v>
      </c>
      <c r="I96" s="35" t="s">
        <v>6490</v>
      </c>
      <c r="J96" s="35">
        <v>50</v>
      </c>
      <c r="K96" s="35">
        <v>100</v>
      </c>
      <c r="L96" s="35">
        <v>100</v>
      </c>
      <c r="M96" s="35">
        <v>100</v>
      </c>
      <c r="N96" s="35">
        <v>100</v>
      </c>
      <c r="O96" s="35" t="s">
        <v>6490</v>
      </c>
      <c r="P96" s="31">
        <v>50</v>
      </c>
      <c r="Q96" s="49">
        <v>0</v>
      </c>
    </row>
    <row r="97" spans="1:17" x14ac:dyDescent="0.25">
      <c r="A97" s="36" t="s">
        <v>383</v>
      </c>
      <c r="B97" s="35">
        <v>2025</v>
      </c>
      <c r="C97" s="35">
        <v>2026</v>
      </c>
      <c r="D97" s="33">
        <v>72</v>
      </c>
      <c r="E97" s="33" t="s">
        <v>6490</v>
      </c>
      <c r="F97" s="33">
        <v>72</v>
      </c>
      <c r="G97" s="31">
        <v>1.2</v>
      </c>
      <c r="H97" s="31">
        <v>0.5</v>
      </c>
      <c r="I97" s="35" t="s">
        <v>6490</v>
      </c>
      <c r="J97" s="35">
        <v>50</v>
      </c>
      <c r="K97" s="35">
        <v>100</v>
      </c>
      <c r="L97" s="35">
        <v>50</v>
      </c>
      <c r="M97" s="35">
        <v>100</v>
      </c>
      <c r="N97" s="35">
        <v>100</v>
      </c>
      <c r="O97" s="35">
        <v>50</v>
      </c>
      <c r="P97" s="31">
        <v>90</v>
      </c>
      <c r="Q97" s="49">
        <v>10</v>
      </c>
    </row>
    <row r="98" spans="1:17" x14ac:dyDescent="0.25">
      <c r="A98" s="36" t="s">
        <v>458</v>
      </c>
      <c r="B98" s="35">
        <v>2025</v>
      </c>
      <c r="C98" s="35">
        <v>2026</v>
      </c>
      <c r="D98" s="33">
        <v>70</v>
      </c>
      <c r="E98" s="33" t="s">
        <v>6490</v>
      </c>
      <c r="F98" s="33">
        <v>70</v>
      </c>
      <c r="G98" s="31">
        <v>1</v>
      </c>
      <c r="H98" s="31" t="s">
        <v>6490</v>
      </c>
      <c r="I98" s="35" t="s">
        <v>6490</v>
      </c>
      <c r="J98" s="35">
        <v>50</v>
      </c>
      <c r="K98" s="35">
        <v>50</v>
      </c>
      <c r="L98" s="35">
        <v>50</v>
      </c>
      <c r="M98" s="35">
        <v>100</v>
      </c>
      <c r="N98" s="35">
        <v>100</v>
      </c>
      <c r="O98" s="35" t="s">
        <v>6490</v>
      </c>
      <c r="P98" s="31">
        <v>60</v>
      </c>
      <c r="Q98" s="49">
        <v>0</v>
      </c>
    </row>
    <row r="99" spans="1:17" x14ac:dyDescent="0.25">
      <c r="A99" s="36" t="s">
        <v>634</v>
      </c>
      <c r="B99" s="35" t="s">
        <v>6494</v>
      </c>
      <c r="C99" s="35" t="s">
        <v>6492</v>
      </c>
      <c r="D99" s="33">
        <v>72</v>
      </c>
      <c r="E99" s="34">
        <v>0</v>
      </c>
      <c r="F99" s="33">
        <v>72</v>
      </c>
      <c r="G99" s="31">
        <v>0.7</v>
      </c>
      <c r="H99" s="31" t="s">
        <v>6490</v>
      </c>
      <c r="I99" s="32" t="s">
        <v>6490</v>
      </c>
      <c r="J99" s="32">
        <v>50</v>
      </c>
      <c r="K99" s="32">
        <v>50</v>
      </c>
      <c r="L99" s="32">
        <v>30</v>
      </c>
      <c r="M99" s="32">
        <v>100</v>
      </c>
      <c r="N99" s="32">
        <v>100</v>
      </c>
      <c r="O99" s="32" t="s">
        <v>6490</v>
      </c>
      <c r="P99" s="31">
        <v>80</v>
      </c>
      <c r="Q99" s="30" t="s">
        <v>6510</v>
      </c>
    </row>
    <row r="100" spans="1:17" x14ac:dyDescent="0.25">
      <c r="A100" s="36" t="s">
        <v>741</v>
      </c>
      <c r="B100" s="35">
        <v>2025</v>
      </c>
      <c r="C100" s="35">
        <v>2026</v>
      </c>
      <c r="D100" s="33">
        <v>69</v>
      </c>
      <c r="E100" s="33" t="s">
        <v>6490</v>
      </c>
      <c r="F100" s="33">
        <v>69</v>
      </c>
      <c r="G100" s="31">
        <v>1</v>
      </c>
      <c r="H100" s="31" t="s">
        <v>6490</v>
      </c>
      <c r="I100" s="35" t="s">
        <v>6490</v>
      </c>
      <c r="J100" s="35">
        <v>50</v>
      </c>
      <c r="K100" s="35">
        <v>40</v>
      </c>
      <c r="L100" s="35">
        <v>40</v>
      </c>
      <c r="M100" s="35">
        <v>70</v>
      </c>
      <c r="N100" s="35">
        <v>100</v>
      </c>
      <c r="O100" s="35" t="s">
        <v>6490</v>
      </c>
      <c r="P100" s="31">
        <v>40</v>
      </c>
      <c r="Q100" s="49">
        <v>0</v>
      </c>
    </row>
    <row r="101" spans="1:17" x14ac:dyDescent="0.25">
      <c r="A101" s="36" t="s">
        <v>748</v>
      </c>
      <c r="B101" s="35" t="s">
        <v>6494</v>
      </c>
      <c r="C101" s="35" t="s">
        <v>6492</v>
      </c>
      <c r="D101" s="33">
        <v>67</v>
      </c>
      <c r="E101" s="34">
        <v>0</v>
      </c>
      <c r="F101" s="33">
        <v>67</v>
      </c>
      <c r="G101" s="31">
        <v>1</v>
      </c>
      <c r="H101" s="31" t="s">
        <v>6490</v>
      </c>
      <c r="I101" s="32" t="s">
        <v>6490</v>
      </c>
      <c r="J101" s="32">
        <v>50</v>
      </c>
      <c r="K101" s="32" t="s">
        <v>6490</v>
      </c>
      <c r="L101" s="32" t="s">
        <v>6490</v>
      </c>
      <c r="M101" s="32">
        <v>60</v>
      </c>
      <c r="N101" s="32">
        <v>100</v>
      </c>
      <c r="O101" s="32">
        <v>40</v>
      </c>
      <c r="P101" s="31">
        <v>100</v>
      </c>
      <c r="Q101" s="30">
        <v>0</v>
      </c>
    </row>
    <row r="102" spans="1:17" x14ac:dyDescent="0.25">
      <c r="A102" s="36" t="s">
        <v>849</v>
      </c>
      <c r="B102" s="35" t="s">
        <v>6491</v>
      </c>
      <c r="C102" s="35" t="s">
        <v>6492</v>
      </c>
      <c r="D102" s="33">
        <v>69</v>
      </c>
      <c r="E102" s="34">
        <v>0</v>
      </c>
      <c r="F102" s="33">
        <v>69</v>
      </c>
      <c r="G102" s="31">
        <v>0.6</v>
      </c>
      <c r="H102" s="31">
        <v>0.5</v>
      </c>
      <c r="I102" s="32">
        <v>10</v>
      </c>
      <c r="J102" s="32">
        <v>50</v>
      </c>
      <c r="K102" s="32" t="s">
        <v>6490</v>
      </c>
      <c r="L102" s="32" t="s">
        <v>6490</v>
      </c>
      <c r="M102" s="32">
        <v>80</v>
      </c>
      <c r="N102" s="32">
        <v>100</v>
      </c>
      <c r="O102" s="32" t="s">
        <v>6490</v>
      </c>
      <c r="P102" s="31">
        <v>50</v>
      </c>
      <c r="Q102" s="30">
        <v>0</v>
      </c>
    </row>
    <row r="103" spans="1:17" x14ac:dyDescent="0.25">
      <c r="A103" s="36" t="s">
        <v>858</v>
      </c>
      <c r="B103" s="35">
        <v>2025</v>
      </c>
      <c r="C103" s="35">
        <v>2026</v>
      </c>
      <c r="D103" s="33">
        <v>75</v>
      </c>
      <c r="E103" s="33" t="s">
        <v>6490</v>
      </c>
      <c r="F103" s="33">
        <v>75</v>
      </c>
      <c r="G103" s="31">
        <v>1</v>
      </c>
      <c r="H103" s="31">
        <v>0.5</v>
      </c>
      <c r="I103" s="35" t="s">
        <v>6490</v>
      </c>
      <c r="J103" s="35">
        <v>50</v>
      </c>
      <c r="K103" s="35">
        <v>80</v>
      </c>
      <c r="L103" s="35">
        <v>80</v>
      </c>
      <c r="M103" s="35">
        <v>90</v>
      </c>
      <c r="N103" s="35">
        <v>100</v>
      </c>
      <c r="O103" s="35">
        <v>50</v>
      </c>
      <c r="P103" s="35" t="s">
        <v>6499</v>
      </c>
      <c r="Q103" s="49">
        <v>10</v>
      </c>
    </row>
    <row r="104" spans="1:17" x14ac:dyDescent="0.25">
      <c r="A104" s="36" t="s">
        <v>955</v>
      </c>
      <c r="B104" s="35">
        <v>2025</v>
      </c>
      <c r="C104" s="35">
        <v>2026</v>
      </c>
      <c r="D104" s="33">
        <v>66</v>
      </c>
      <c r="E104" s="33" t="s">
        <v>6490</v>
      </c>
      <c r="F104" s="33">
        <v>66</v>
      </c>
      <c r="G104" s="31">
        <v>1</v>
      </c>
      <c r="H104" s="31" t="s">
        <v>6490</v>
      </c>
      <c r="I104" s="35" t="s">
        <v>6490</v>
      </c>
      <c r="J104" s="35">
        <v>50</v>
      </c>
      <c r="K104" s="35">
        <v>40</v>
      </c>
      <c r="L104" s="35" t="s">
        <v>6490</v>
      </c>
      <c r="M104" s="35">
        <v>100</v>
      </c>
      <c r="N104" s="35">
        <v>100</v>
      </c>
      <c r="O104" s="35">
        <v>50</v>
      </c>
      <c r="P104" s="35" t="s">
        <v>6499</v>
      </c>
      <c r="Q104" s="49">
        <v>10</v>
      </c>
    </row>
    <row r="105" spans="1:17" x14ac:dyDescent="0.25">
      <c r="A105" s="36" t="s">
        <v>964</v>
      </c>
      <c r="B105" s="35">
        <v>2025</v>
      </c>
      <c r="C105" s="35">
        <v>2026</v>
      </c>
      <c r="D105" s="33">
        <v>65</v>
      </c>
      <c r="E105" s="33" t="s">
        <v>6490</v>
      </c>
      <c r="F105" s="33">
        <v>65</v>
      </c>
      <c r="G105" s="31">
        <v>1</v>
      </c>
      <c r="H105" s="31">
        <v>0.5</v>
      </c>
      <c r="I105" s="35" t="s">
        <v>6490</v>
      </c>
      <c r="J105" s="35">
        <v>50</v>
      </c>
      <c r="K105" s="35">
        <v>90</v>
      </c>
      <c r="L105" s="35">
        <v>90</v>
      </c>
      <c r="M105" s="35">
        <v>90</v>
      </c>
      <c r="N105" s="35">
        <v>100</v>
      </c>
      <c r="O105" s="35">
        <v>50</v>
      </c>
      <c r="P105" s="31">
        <v>100</v>
      </c>
      <c r="Q105" s="49">
        <v>10</v>
      </c>
    </row>
    <row r="106" spans="1:17" x14ac:dyDescent="0.25">
      <c r="A106" s="36" t="s">
        <v>976</v>
      </c>
      <c r="B106" s="35">
        <v>2025</v>
      </c>
      <c r="C106" s="35">
        <v>2026</v>
      </c>
      <c r="D106" s="33">
        <v>70</v>
      </c>
      <c r="E106" s="33" t="s">
        <v>6490</v>
      </c>
      <c r="F106" s="33">
        <v>70</v>
      </c>
      <c r="G106" s="31">
        <v>1</v>
      </c>
      <c r="H106" s="31">
        <v>0</v>
      </c>
      <c r="I106" s="35">
        <v>0</v>
      </c>
      <c r="J106" s="35">
        <v>50</v>
      </c>
      <c r="K106" s="35">
        <v>100</v>
      </c>
      <c r="L106" s="35">
        <v>100</v>
      </c>
      <c r="M106" s="35">
        <v>100</v>
      </c>
      <c r="N106" s="35">
        <v>100</v>
      </c>
      <c r="O106" s="35">
        <v>30</v>
      </c>
      <c r="P106" s="31">
        <v>30</v>
      </c>
      <c r="Q106" s="49">
        <v>0</v>
      </c>
    </row>
    <row r="107" spans="1:17" x14ac:dyDescent="0.25">
      <c r="A107" s="36" t="s">
        <v>1103</v>
      </c>
      <c r="B107" s="35" t="s">
        <v>6494</v>
      </c>
      <c r="C107" s="35" t="s">
        <v>6495</v>
      </c>
      <c r="D107" s="33">
        <v>75</v>
      </c>
      <c r="E107" s="34">
        <v>0</v>
      </c>
      <c r="F107" s="33">
        <v>75</v>
      </c>
      <c r="G107" s="31">
        <v>1</v>
      </c>
      <c r="H107" s="31" t="s">
        <v>6490</v>
      </c>
      <c r="I107" s="32">
        <v>10</v>
      </c>
      <c r="J107" s="32">
        <v>50</v>
      </c>
      <c r="K107" s="32">
        <v>50</v>
      </c>
      <c r="L107" s="32">
        <v>50</v>
      </c>
      <c r="M107" s="32">
        <v>100</v>
      </c>
      <c r="N107" s="32">
        <v>100</v>
      </c>
      <c r="O107" s="32">
        <v>50</v>
      </c>
      <c r="P107" s="31">
        <v>60</v>
      </c>
      <c r="Q107" s="30">
        <v>0</v>
      </c>
    </row>
    <row r="108" spans="1:17" x14ac:dyDescent="0.25">
      <c r="A108" s="36" t="s">
        <v>1158</v>
      </c>
      <c r="B108" s="35" t="s">
        <v>6491</v>
      </c>
      <c r="C108" s="35" t="s">
        <v>6492</v>
      </c>
      <c r="D108" s="33">
        <v>70.5</v>
      </c>
      <c r="E108" s="34">
        <v>0</v>
      </c>
      <c r="F108" s="33">
        <v>70.5</v>
      </c>
      <c r="G108" s="31">
        <v>1</v>
      </c>
      <c r="H108" s="31">
        <v>0.5</v>
      </c>
      <c r="I108" s="32" t="s">
        <v>6490</v>
      </c>
      <c r="J108" s="32">
        <v>50</v>
      </c>
      <c r="K108" s="32">
        <v>100</v>
      </c>
      <c r="L108" s="32" t="s">
        <v>6490</v>
      </c>
      <c r="M108" s="32">
        <v>100</v>
      </c>
      <c r="N108" s="32">
        <v>100</v>
      </c>
      <c r="O108" s="32">
        <v>50</v>
      </c>
      <c r="P108" s="31">
        <v>80</v>
      </c>
      <c r="Q108" s="30">
        <v>0</v>
      </c>
    </row>
    <row r="109" spans="1:17" x14ac:dyDescent="0.25">
      <c r="A109" s="36" t="s">
        <v>1181</v>
      </c>
      <c r="B109" s="35" t="s">
        <v>6494</v>
      </c>
      <c r="C109" s="35" t="s">
        <v>6495</v>
      </c>
      <c r="D109" s="33">
        <v>75</v>
      </c>
      <c r="E109" s="34">
        <v>0</v>
      </c>
      <c r="F109" s="33">
        <v>75</v>
      </c>
      <c r="G109" s="31">
        <v>1</v>
      </c>
      <c r="H109" s="31" t="s">
        <v>6490</v>
      </c>
      <c r="I109" s="32" t="s">
        <v>6490</v>
      </c>
      <c r="J109" s="32">
        <v>50</v>
      </c>
      <c r="K109" s="32">
        <v>100</v>
      </c>
      <c r="L109" s="32">
        <v>100</v>
      </c>
      <c r="M109" s="32">
        <v>100</v>
      </c>
      <c r="N109" s="32">
        <v>100</v>
      </c>
      <c r="O109" s="32">
        <v>50</v>
      </c>
      <c r="P109" s="31">
        <v>66</v>
      </c>
      <c r="Q109" s="30">
        <v>0</v>
      </c>
    </row>
    <row r="110" spans="1:17" x14ac:dyDescent="0.25">
      <c r="A110" s="36" t="s">
        <v>1188</v>
      </c>
      <c r="B110" s="35" t="s">
        <v>6494</v>
      </c>
      <c r="C110" s="35" t="s">
        <v>6492</v>
      </c>
      <c r="D110" s="33">
        <v>67</v>
      </c>
      <c r="E110" s="34">
        <v>0</v>
      </c>
      <c r="F110" s="33">
        <v>67</v>
      </c>
      <c r="G110" s="31">
        <v>1</v>
      </c>
      <c r="H110" s="31">
        <v>0.5</v>
      </c>
      <c r="I110" s="32" t="s">
        <v>6490</v>
      </c>
      <c r="J110" s="32">
        <v>50</v>
      </c>
      <c r="K110" s="32">
        <v>100</v>
      </c>
      <c r="L110" s="32">
        <v>100</v>
      </c>
      <c r="M110" s="32">
        <v>100</v>
      </c>
      <c r="N110" s="32">
        <v>100</v>
      </c>
      <c r="O110" s="32">
        <v>50</v>
      </c>
      <c r="P110" s="31">
        <v>20</v>
      </c>
      <c r="Q110" s="49">
        <v>10</v>
      </c>
    </row>
    <row r="111" spans="1:17" x14ac:dyDescent="0.25">
      <c r="A111" s="36" t="s">
        <v>1258</v>
      </c>
      <c r="B111" s="35">
        <v>2025</v>
      </c>
      <c r="C111" s="35">
        <v>2026</v>
      </c>
      <c r="D111" s="33">
        <v>68</v>
      </c>
      <c r="E111" s="33" t="s">
        <v>6490</v>
      </c>
      <c r="F111" s="33">
        <v>68</v>
      </c>
      <c r="G111" s="31">
        <v>1</v>
      </c>
      <c r="H111" s="31">
        <v>0.5</v>
      </c>
      <c r="I111" s="35" t="s">
        <v>6490</v>
      </c>
      <c r="J111" s="35">
        <v>50</v>
      </c>
      <c r="K111" s="35">
        <v>100</v>
      </c>
      <c r="L111" s="35">
        <v>100</v>
      </c>
      <c r="M111" s="35">
        <v>100</v>
      </c>
      <c r="N111" s="35">
        <v>100</v>
      </c>
      <c r="O111" s="35">
        <v>50</v>
      </c>
      <c r="P111" s="31">
        <v>75</v>
      </c>
      <c r="Q111" s="49">
        <v>0</v>
      </c>
    </row>
    <row r="112" spans="1:17" x14ac:dyDescent="0.25">
      <c r="A112" s="36" t="s">
        <v>1321</v>
      </c>
      <c r="B112" s="45">
        <v>2025</v>
      </c>
      <c r="C112" s="45">
        <v>2026</v>
      </c>
      <c r="D112" s="60">
        <v>69</v>
      </c>
      <c r="E112" s="60" t="s">
        <v>6490</v>
      </c>
      <c r="F112" s="60">
        <v>69</v>
      </c>
      <c r="G112" s="63">
        <v>1</v>
      </c>
      <c r="H112" s="38">
        <v>0.5</v>
      </c>
      <c r="I112" s="40" t="s">
        <v>6490</v>
      </c>
      <c r="J112" s="39">
        <v>50</v>
      </c>
      <c r="K112" s="39">
        <v>40</v>
      </c>
      <c r="L112" s="39">
        <v>40</v>
      </c>
      <c r="M112" s="39">
        <v>100</v>
      </c>
      <c r="N112" s="39">
        <v>100</v>
      </c>
      <c r="O112" s="39">
        <v>30</v>
      </c>
      <c r="P112" s="38">
        <v>60</v>
      </c>
      <c r="Q112" s="54">
        <v>0</v>
      </c>
    </row>
    <row r="113" spans="1:17" x14ac:dyDescent="0.25">
      <c r="A113" s="36" t="s">
        <v>1498</v>
      </c>
      <c r="B113" s="35" t="s">
        <v>6494</v>
      </c>
      <c r="C113" s="35" t="s">
        <v>6492</v>
      </c>
      <c r="D113" s="33">
        <v>75</v>
      </c>
      <c r="E113" s="34">
        <v>0</v>
      </c>
      <c r="F113" s="33">
        <v>75</v>
      </c>
      <c r="G113" s="31">
        <v>1</v>
      </c>
      <c r="H113" s="31" t="s">
        <v>6490</v>
      </c>
      <c r="I113" s="32">
        <v>10</v>
      </c>
      <c r="J113" s="32">
        <v>50</v>
      </c>
      <c r="K113" s="32">
        <v>20</v>
      </c>
      <c r="L113" s="32">
        <v>20</v>
      </c>
      <c r="M113" s="32">
        <v>50</v>
      </c>
      <c r="N113" s="32">
        <v>100</v>
      </c>
      <c r="O113" s="32" t="s">
        <v>6490</v>
      </c>
      <c r="P113" s="31">
        <v>100</v>
      </c>
      <c r="Q113" s="30">
        <v>0</v>
      </c>
    </row>
    <row r="114" spans="1:17" x14ac:dyDescent="0.25">
      <c r="A114" s="36" t="s">
        <v>1507</v>
      </c>
      <c r="B114" s="35" t="s">
        <v>6511</v>
      </c>
      <c r="C114" s="35" t="s">
        <v>6492</v>
      </c>
      <c r="D114" s="33">
        <v>74</v>
      </c>
      <c r="E114" s="34">
        <v>0</v>
      </c>
      <c r="F114" s="33">
        <v>74</v>
      </c>
      <c r="G114" s="31">
        <v>0.7</v>
      </c>
      <c r="H114" s="31" t="s">
        <v>6490</v>
      </c>
      <c r="I114" s="32" t="s">
        <v>6490</v>
      </c>
      <c r="J114" s="32">
        <v>50</v>
      </c>
      <c r="K114" s="32">
        <v>20</v>
      </c>
      <c r="L114" s="32">
        <v>20</v>
      </c>
      <c r="M114" s="32">
        <v>100</v>
      </c>
      <c r="N114" s="32">
        <v>100</v>
      </c>
      <c r="O114" s="32">
        <v>30</v>
      </c>
      <c r="P114" s="31" t="s">
        <v>6499</v>
      </c>
      <c r="Q114" s="30">
        <v>0</v>
      </c>
    </row>
    <row r="115" spans="1:17" x14ac:dyDescent="0.25">
      <c r="A115" s="36" t="s">
        <v>1517</v>
      </c>
      <c r="B115" s="35">
        <v>2025</v>
      </c>
      <c r="C115" s="35">
        <v>2027</v>
      </c>
      <c r="D115" s="33">
        <v>73</v>
      </c>
      <c r="E115" s="33">
        <v>0</v>
      </c>
      <c r="F115" s="33">
        <v>73</v>
      </c>
      <c r="G115" s="31">
        <v>1</v>
      </c>
      <c r="H115" s="31">
        <v>0.5</v>
      </c>
      <c r="I115" s="35">
        <v>10</v>
      </c>
      <c r="J115" s="35">
        <v>50</v>
      </c>
      <c r="K115" s="35">
        <v>50</v>
      </c>
      <c r="L115" s="35">
        <v>50</v>
      </c>
      <c r="M115" s="35">
        <v>100</v>
      </c>
      <c r="N115" s="35">
        <v>100</v>
      </c>
      <c r="O115" s="35">
        <v>50</v>
      </c>
      <c r="P115" s="31">
        <v>50</v>
      </c>
      <c r="Q115" s="49">
        <v>0</v>
      </c>
    </row>
    <row r="116" spans="1:17" x14ac:dyDescent="0.25">
      <c r="A116" s="36" t="s">
        <v>1568</v>
      </c>
      <c r="B116" s="45" t="s">
        <v>6491</v>
      </c>
      <c r="C116" s="45" t="s">
        <v>6492</v>
      </c>
      <c r="D116" s="44">
        <v>78</v>
      </c>
      <c r="E116" s="43" t="s">
        <v>6490</v>
      </c>
      <c r="F116" s="42">
        <f>+D116</f>
        <v>78</v>
      </c>
      <c r="G116" s="41">
        <v>1</v>
      </c>
      <c r="H116" s="38" t="s">
        <v>6490</v>
      </c>
      <c r="I116" s="40">
        <v>10</v>
      </c>
      <c r="J116" s="39">
        <v>50</v>
      </c>
      <c r="K116" s="39">
        <v>30</v>
      </c>
      <c r="L116" s="39">
        <v>30</v>
      </c>
      <c r="M116" s="39">
        <v>100</v>
      </c>
      <c r="N116" s="39">
        <v>100</v>
      </c>
      <c r="O116" s="39" t="s">
        <v>6490</v>
      </c>
      <c r="P116" s="38">
        <v>100</v>
      </c>
      <c r="Q116" s="50">
        <v>0</v>
      </c>
    </row>
    <row r="117" spans="1:17" x14ac:dyDescent="0.25">
      <c r="A117" s="36" t="s">
        <v>1613</v>
      </c>
      <c r="B117" s="35" t="s">
        <v>6494</v>
      </c>
      <c r="C117" s="35" t="s">
        <v>6492</v>
      </c>
      <c r="D117" s="33">
        <v>73</v>
      </c>
      <c r="E117" s="34">
        <v>0</v>
      </c>
      <c r="F117" s="33">
        <v>73</v>
      </c>
      <c r="G117" s="31">
        <v>1</v>
      </c>
      <c r="H117" s="31">
        <v>0.5</v>
      </c>
      <c r="I117" s="32" t="s">
        <v>6490</v>
      </c>
      <c r="J117" s="32">
        <v>50</v>
      </c>
      <c r="K117" s="32">
        <v>30</v>
      </c>
      <c r="L117" s="32">
        <v>30</v>
      </c>
      <c r="M117" s="32">
        <v>50</v>
      </c>
      <c r="N117" s="32">
        <v>100</v>
      </c>
      <c r="O117" s="32">
        <v>50</v>
      </c>
      <c r="P117" s="31">
        <v>70</v>
      </c>
      <c r="Q117" s="30">
        <v>0</v>
      </c>
    </row>
    <row r="118" spans="1:17" x14ac:dyDescent="0.25">
      <c r="A118" s="36" t="s">
        <v>6512</v>
      </c>
      <c r="B118" s="35" t="s">
        <v>6494</v>
      </c>
      <c r="C118" s="35" t="s">
        <v>6492</v>
      </c>
      <c r="D118" s="33">
        <v>73.5</v>
      </c>
      <c r="E118" s="34">
        <v>0</v>
      </c>
      <c r="F118" s="33">
        <v>73.5</v>
      </c>
      <c r="G118" s="31">
        <v>1</v>
      </c>
      <c r="H118" s="31" t="s">
        <v>6490</v>
      </c>
      <c r="I118" s="32">
        <v>10</v>
      </c>
      <c r="J118" s="32">
        <v>50</v>
      </c>
      <c r="K118" s="32">
        <v>20</v>
      </c>
      <c r="L118" s="32">
        <v>20</v>
      </c>
      <c r="M118" s="32">
        <v>100</v>
      </c>
      <c r="N118" s="32">
        <v>100</v>
      </c>
      <c r="O118" s="32">
        <v>50</v>
      </c>
      <c r="P118" s="31">
        <v>40</v>
      </c>
      <c r="Q118" s="49">
        <v>10</v>
      </c>
    </row>
    <row r="119" spans="1:17" x14ac:dyDescent="0.25">
      <c r="A119" s="36" t="s">
        <v>1974</v>
      </c>
      <c r="B119" s="35" t="s">
        <v>6494</v>
      </c>
      <c r="C119" s="35" t="s">
        <v>6492</v>
      </c>
      <c r="D119" s="33">
        <v>69</v>
      </c>
      <c r="E119" s="34">
        <v>0</v>
      </c>
      <c r="F119" s="33">
        <v>69</v>
      </c>
      <c r="G119" s="31">
        <v>1.2</v>
      </c>
      <c r="H119" s="31">
        <v>0.5</v>
      </c>
      <c r="I119" s="32">
        <v>10</v>
      </c>
      <c r="J119" s="32">
        <v>50</v>
      </c>
      <c r="K119" s="32">
        <v>40</v>
      </c>
      <c r="L119" s="32">
        <v>40</v>
      </c>
      <c r="M119" s="32">
        <v>70</v>
      </c>
      <c r="N119" s="32">
        <v>100</v>
      </c>
      <c r="O119" s="32">
        <v>50</v>
      </c>
      <c r="P119" s="31">
        <v>70</v>
      </c>
      <c r="Q119" s="30">
        <v>0</v>
      </c>
    </row>
    <row r="120" spans="1:17" x14ac:dyDescent="0.25">
      <c r="A120" s="36" t="s">
        <v>1979</v>
      </c>
      <c r="B120" s="35" t="s">
        <v>6494</v>
      </c>
      <c r="C120" s="35" t="s">
        <v>6492</v>
      </c>
      <c r="D120" s="33">
        <v>72</v>
      </c>
      <c r="E120" s="34">
        <v>0</v>
      </c>
      <c r="F120" s="33">
        <v>72</v>
      </c>
      <c r="G120" s="31">
        <v>1</v>
      </c>
      <c r="H120" s="31" t="s">
        <v>6490</v>
      </c>
      <c r="I120" s="32">
        <v>10</v>
      </c>
      <c r="J120" s="32">
        <v>50</v>
      </c>
      <c r="K120" s="32">
        <v>50</v>
      </c>
      <c r="L120" s="32">
        <v>50</v>
      </c>
      <c r="M120" s="32">
        <v>100</v>
      </c>
      <c r="N120" s="32">
        <v>100</v>
      </c>
      <c r="O120" s="32">
        <v>50</v>
      </c>
      <c r="P120" s="31">
        <v>30</v>
      </c>
      <c r="Q120" s="30">
        <v>0</v>
      </c>
    </row>
    <row r="121" spans="1:17" x14ac:dyDescent="0.25">
      <c r="A121" s="36" t="s">
        <v>2037</v>
      </c>
      <c r="B121" s="35">
        <v>2025</v>
      </c>
      <c r="C121" s="35">
        <v>2026</v>
      </c>
      <c r="D121" s="33">
        <v>69</v>
      </c>
      <c r="E121" s="33" t="s">
        <v>6490</v>
      </c>
      <c r="F121" s="33">
        <v>69</v>
      </c>
      <c r="G121" s="31">
        <v>1</v>
      </c>
      <c r="H121" s="31">
        <v>0.5</v>
      </c>
      <c r="I121" s="35" t="s">
        <v>6490</v>
      </c>
      <c r="J121" s="35">
        <v>50</v>
      </c>
      <c r="K121" s="35">
        <v>40</v>
      </c>
      <c r="L121" s="35">
        <v>40</v>
      </c>
      <c r="M121" s="35">
        <v>100</v>
      </c>
      <c r="N121" s="35">
        <v>100</v>
      </c>
      <c r="O121" s="35">
        <v>50</v>
      </c>
      <c r="P121" s="31">
        <v>40</v>
      </c>
      <c r="Q121" s="49">
        <v>0</v>
      </c>
    </row>
    <row r="122" spans="1:17" x14ac:dyDescent="0.25">
      <c r="A122" s="36" t="s">
        <v>2182</v>
      </c>
      <c r="B122" s="35" t="s">
        <v>6494</v>
      </c>
      <c r="C122" s="35" t="s">
        <v>6492</v>
      </c>
      <c r="D122" s="33">
        <v>71</v>
      </c>
      <c r="E122" s="34">
        <v>0</v>
      </c>
      <c r="F122" s="33">
        <v>71</v>
      </c>
      <c r="G122" s="31">
        <v>1</v>
      </c>
      <c r="H122" s="31" t="s">
        <v>6490</v>
      </c>
      <c r="I122" s="32" t="s">
        <v>6490</v>
      </c>
      <c r="J122" s="32">
        <v>50</v>
      </c>
      <c r="K122" s="32">
        <v>30</v>
      </c>
      <c r="L122" s="32">
        <v>30</v>
      </c>
      <c r="M122" s="32">
        <v>50</v>
      </c>
      <c r="N122" s="32">
        <v>75</v>
      </c>
      <c r="O122" s="32" t="s">
        <v>6490</v>
      </c>
      <c r="P122" s="31">
        <v>50</v>
      </c>
      <c r="Q122" s="49">
        <v>5</v>
      </c>
    </row>
    <row r="123" spans="1:17" x14ac:dyDescent="0.25">
      <c r="A123" s="36" t="s">
        <v>2187</v>
      </c>
      <c r="B123" s="35">
        <v>2025</v>
      </c>
      <c r="C123" s="35">
        <v>2026</v>
      </c>
      <c r="D123" s="33">
        <v>69</v>
      </c>
      <c r="E123" s="33">
        <v>0</v>
      </c>
      <c r="F123" s="33">
        <v>69</v>
      </c>
      <c r="G123" s="31">
        <v>1</v>
      </c>
      <c r="H123" s="31">
        <v>0.5</v>
      </c>
      <c r="I123" s="35">
        <v>0</v>
      </c>
      <c r="J123" s="35">
        <v>50</v>
      </c>
      <c r="K123" s="35">
        <v>100</v>
      </c>
      <c r="L123" s="35">
        <v>100</v>
      </c>
      <c r="M123" s="35">
        <v>100</v>
      </c>
      <c r="N123" s="35">
        <v>100</v>
      </c>
      <c r="O123" s="35">
        <v>50</v>
      </c>
      <c r="P123" s="31">
        <v>100</v>
      </c>
      <c r="Q123" s="49">
        <v>0</v>
      </c>
    </row>
    <row r="124" spans="1:17" x14ac:dyDescent="0.25">
      <c r="A124" s="36" t="s">
        <v>2443</v>
      </c>
      <c r="B124" s="45" t="s">
        <v>6491</v>
      </c>
      <c r="C124" s="45" t="s">
        <v>6492</v>
      </c>
      <c r="D124" s="44">
        <v>79</v>
      </c>
      <c r="E124" s="43" t="s">
        <v>6490</v>
      </c>
      <c r="F124" s="42">
        <f>+D124</f>
        <v>79</v>
      </c>
      <c r="G124" s="41">
        <v>1</v>
      </c>
      <c r="H124" s="38" t="s">
        <v>6490</v>
      </c>
      <c r="I124" s="40" t="s">
        <v>6490</v>
      </c>
      <c r="J124" s="39">
        <v>50</v>
      </c>
      <c r="K124" s="39">
        <v>100</v>
      </c>
      <c r="L124" s="39">
        <v>100</v>
      </c>
      <c r="M124" s="39">
        <v>100</v>
      </c>
      <c r="N124" s="39">
        <v>100</v>
      </c>
      <c r="O124" s="39">
        <v>50</v>
      </c>
      <c r="P124" s="38">
        <v>80</v>
      </c>
      <c r="Q124" s="50">
        <v>0</v>
      </c>
    </row>
    <row r="125" spans="1:17" x14ac:dyDescent="0.25">
      <c r="A125" s="36" t="s">
        <v>2455</v>
      </c>
      <c r="B125" s="35">
        <v>2021</v>
      </c>
      <c r="C125" s="35">
        <v>2026</v>
      </c>
      <c r="D125" s="33">
        <v>83</v>
      </c>
      <c r="E125" s="33" t="s">
        <v>6490</v>
      </c>
      <c r="F125" s="33">
        <v>83</v>
      </c>
      <c r="G125" s="31">
        <v>1</v>
      </c>
      <c r="H125" s="31">
        <v>0.5</v>
      </c>
      <c r="I125" s="35" t="s">
        <v>6490</v>
      </c>
      <c r="J125" s="35">
        <v>50</v>
      </c>
      <c r="K125" s="35">
        <v>50</v>
      </c>
      <c r="L125" s="35">
        <v>50</v>
      </c>
      <c r="M125" s="35">
        <v>95</v>
      </c>
      <c r="N125" s="35">
        <v>95</v>
      </c>
      <c r="O125" s="35" t="s">
        <v>6490</v>
      </c>
      <c r="P125" s="31">
        <v>40</v>
      </c>
      <c r="Q125" s="49">
        <v>0</v>
      </c>
    </row>
    <row r="126" spans="1:17" x14ac:dyDescent="0.25">
      <c r="A126" s="36" t="s">
        <v>2543</v>
      </c>
      <c r="B126" s="35">
        <v>2022</v>
      </c>
      <c r="C126" s="35">
        <v>2026</v>
      </c>
      <c r="D126" s="33">
        <v>76</v>
      </c>
      <c r="E126" s="33" t="s">
        <v>6490</v>
      </c>
      <c r="F126" s="33">
        <v>76</v>
      </c>
      <c r="G126" s="31">
        <v>1</v>
      </c>
      <c r="H126" s="31">
        <v>0.5</v>
      </c>
      <c r="I126" s="35" t="s">
        <v>6490</v>
      </c>
      <c r="J126" s="35">
        <v>50</v>
      </c>
      <c r="K126" s="35">
        <v>100</v>
      </c>
      <c r="L126" s="35">
        <v>50</v>
      </c>
      <c r="M126" s="35">
        <v>70</v>
      </c>
      <c r="N126" s="35">
        <v>100</v>
      </c>
      <c r="O126" s="35">
        <v>25</v>
      </c>
      <c r="P126" s="31">
        <v>100</v>
      </c>
      <c r="Q126" s="49">
        <v>0</v>
      </c>
    </row>
    <row r="127" spans="1:17" x14ac:dyDescent="0.25">
      <c r="A127" s="36" t="s">
        <v>6513</v>
      </c>
      <c r="B127" s="45">
        <v>2023</v>
      </c>
      <c r="C127" s="45">
        <v>2025</v>
      </c>
      <c r="D127" s="62">
        <v>3</v>
      </c>
      <c r="E127" s="61" t="s">
        <v>6490</v>
      </c>
      <c r="F127" s="58">
        <v>3</v>
      </c>
      <c r="G127" s="38"/>
      <c r="H127" s="38"/>
      <c r="I127" s="40"/>
      <c r="J127" s="39"/>
      <c r="K127" s="39"/>
      <c r="L127" s="39"/>
      <c r="M127" s="39"/>
      <c r="N127" s="39"/>
      <c r="O127" s="39"/>
      <c r="P127" s="38"/>
      <c r="Q127" s="54"/>
    </row>
    <row r="128" spans="1:17" x14ac:dyDescent="0.25">
      <c r="A128" s="36" t="s">
        <v>2580</v>
      </c>
      <c r="B128" s="35" t="s">
        <v>6494</v>
      </c>
      <c r="C128" s="35" t="s">
        <v>6492</v>
      </c>
      <c r="D128" s="33">
        <v>80</v>
      </c>
      <c r="E128" s="34">
        <v>0</v>
      </c>
      <c r="F128" s="33">
        <v>80</v>
      </c>
      <c r="G128" s="31">
        <v>1.2</v>
      </c>
      <c r="H128" s="31">
        <v>0.5</v>
      </c>
      <c r="I128" s="32">
        <v>10</v>
      </c>
      <c r="J128" s="32">
        <v>50</v>
      </c>
      <c r="K128" s="32">
        <v>50</v>
      </c>
      <c r="L128" s="32">
        <v>50</v>
      </c>
      <c r="M128" s="32">
        <v>100</v>
      </c>
      <c r="N128" s="32">
        <v>100</v>
      </c>
      <c r="O128" s="32" t="s">
        <v>6490</v>
      </c>
      <c r="P128" s="31">
        <v>40</v>
      </c>
      <c r="Q128" s="30">
        <v>0</v>
      </c>
    </row>
    <row r="129" spans="1:17" x14ac:dyDescent="0.25">
      <c r="A129" s="36" t="s">
        <v>3061</v>
      </c>
      <c r="B129" s="35" t="s">
        <v>6494</v>
      </c>
      <c r="C129" s="35" t="s">
        <v>6492</v>
      </c>
      <c r="D129" s="33">
        <v>58.5</v>
      </c>
      <c r="E129" s="34">
        <v>0</v>
      </c>
      <c r="F129" s="33">
        <v>58.5</v>
      </c>
      <c r="G129" s="31">
        <v>1</v>
      </c>
      <c r="H129" s="31">
        <v>0.5</v>
      </c>
      <c r="I129" s="32" t="s">
        <v>6490</v>
      </c>
      <c r="J129" s="32">
        <v>50</v>
      </c>
      <c r="K129" s="32">
        <v>100</v>
      </c>
      <c r="L129" s="32">
        <v>100</v>
      </c>
      <c r="M129" s="32">
        <v>100</v>
      </c>
      <c r="N129" s="32">
        <v>100</v>
      </c>
      <c r="O129" s="32">
        <v>50</v>
      </c>
      <c r="P129" s="31" t="s">
        <v>6499</v>
      </c>
      <c r="Q129" s="30">
        <v>0</v>
      </c>
    </row>
    <row r="130" spans="1:17" x14ac:dyDescent="0.25">
      <c r="A130" s="51" t="s">
        <v>6514</v>
      </c>
      <c r="B130" s="45">
        <v>2024</v>
      </c>
      <c r="C130" s="39">
        <v>2026</v>
      </c>
      <c r="D130" s="62">
        <v>8</v>
      </c>
      <c r="E130" s="61" t="s">
        <v>6490</v>
      </c>
      <c r="F130" s="58">
        <v>8</v>
      </c>
      <c r="G130" s="38"/>
      <c r="H130" s="38"/>
      <c r="I130" s="40"/>
      <c r="J130" s="39"/>
      <c r="K130" s="39"/>
      <c r="L130" s="39"/>
      <c r="M130" s="39"/>
      <c r="N130" s="39"/>
      <c r="O130" s="39"/>
      <c r="P130" s="39"/>
      <c r="Q130" s="54"/>
    </row>
    <row r="131" spans="1:17" x14ac:dyDescent="0.25">
      <c r="A131" s="51" t="s">
        <v>6515</v>
      </c>
      <c r="B131" s="45">
        <v>2023</v>
      </c>
      <c r="C131" s="39">
        <v>2025</v>
      </c>
      <c r="D131" s="62">
        <v>8</v>
      </c>
      <c r="E131" s="61" t="s">
        <v>6490</v>
      </c>
      <c r="F131" s="58">
        <v>8</v>
      </c>
      <c r="G131" s="38"/>
      <c r="H131" s="38"/>
      <c r="I131" s="40"/>
      <c r="J131" s="39"/>
      <c r="K131" s="39"/>
      <c r="L131" s="39"/>
      <c r="M131" s="39"/>
      <c r="N131" s="39"/>
      <c r="O131" s="39"/>
      <c r="P131" s="39"/>
      <c r="Q131" s="54"/>
    </row>
    <row r="132" spans="1:17" x14ac:dyDescent="0.25">
      <c r="A132" s="51" t="s">
        <v>6516</v>
      </c>
      <c r="B132" s="45">
        <v>2021</v>
      </c>
      <c r="C132" s="39">
        <v>2026</v>
      </c>
      <c r="D132" s="62">
        <v>10</v>
      </c>
      <c r="E132" s="61" t="s">
        <v>6490</v>
      </c>
      <c r="F132" s="58">
        <v>10</v>
      </c>
      <c r="G132" s="38"/>
      <c r="H132" s="38"/>
      <c r="I132" s="40"/>
      <c r="J132" s="39"/>
      <c r="K132" s="39"/>
      <c r="L132" s="39"/>
      <c r="M132" s="39"/>
      <c r="N132" s="39"/>
      <c r="O132" s="39"/>
      <c r="P132" s="39"/>
      <c r="Q132" s="54"/>
    </row>
    <row r="133" spans="1:17" x14ac:dyDescent="0.25">
      <c r="A133" s="36" t="s">
        <v>3133</v>
      </c>
      <c r="B133" s="35" t="s">
        <v>6517</v>
      </c>
      <c r="C133" s="35" t="s">
        <v>6492</v>
      </c>
      <c r="D133" s="33">
        <v>70</v>
      </c>
      <c r="E133" s="34">
        <v>0</v>
      </c>
      <c r="F133" s="33">
        <v>70</v>
      </c>
      <c r="G133" s="31">
        <v>0.8</v>
      </c>
      <c r="H133" s="31">
        <v>0.5</v>
      </c>
      <c r="I133" s="32" t="s">
        <v>6490</v>
      </c>
      <c r="J133" s="32">
        <v>50</v>
      </c>
      <c r="K133" s="32" t="s">
        <v>6490</v>
      </c>
      <c r="L133" s="32" t="s">
        <v>6490</v>
      </c>
      <c r="M133" s="32">
        <v>100</v>
      </c>
      <c r="N133" s="32">
        <v>100</v>
      </c>
      <c r="O133" s="32" t="s">
        <v>6490</v>
      </c>
      <c r="P133" s="31" t="s">
        <v>6499</v>
      </c>
      <c r="Q133" s="30">
        <v>0</v>
      </c>
    </row>
    <row r="134" spans="1:17" x14ac:dyDescent="0.25">
      <c r="A134" s="36" t="s">
        <v>3184</v>
      </c>
      <c r="B134" s="35">
        <v>2024</v>
      </c>
      <c r="C134" s="35">
        <v>2027</v>
      </c>
      <c r="D134" s="33">
        <v>80</v>
      </c>
      <c r="E134" s="33" t="s">
        <v>6490</v>
      </c>
      <c r="F134" s="33">
        <v>80</v>
      </c>
      <c r="G134" s="31">
        <v>0.6</v>
      </c>
      <c r="H134" s="31">
        <v>0.5</v>
      </c>
      <c r="I134" s="35">
        <v>10</v>
      </c>
      <c r="J134" s="35">
        <v>50</v>
      </c>
      <c r="K134" s="35" t="s">
        <v>6490</v>
      </c>
      <c r="L134" s="35" t="s">
        <v>6490</v>
      </c>
      <c r="M134" s="35">
        <v>100</v>
      </c>
      <c r="N134" s="35">
        <v>100</v>
      </c>
      <c r="O134" s="35">
        <v>50</v>
      </c>
      <c r="P134" s="31">
        <v>60</v>
      </c>
      <c r="Q134" s="49">
        <v>0</v>
      </c>
    </row>
    <row r="135" spans="1:17" x14ac:dyDescent="0.25">
      <c r="A135" s="36" t="s">
        <v>3292</v>
      </c>
      <c r="B135" s="35" t="s">
        <v>6491</v>
      </c>
      <c r="C135" s="35" t="s">
        <v>6492</v>
      </c>
      <c r="D135" s="33">
        <v>78.5</v>
      </c>
      <c r="E135" s="34">
        <v>0</v>
      </c>
      <c r="F135" s="33">
        <v>78.5</v>
      </c>
      <c r="G135" s="31">
        <v>0.7</v>
      </c>
      <c r="H135" s="31">
        <v>0.5</v>
      </c>
      <c r="I135" s="32">
        <v>10</v>
      </c>
      <c r="J135" s="32">
        <v>50</v>
      </c>
      <c r="K135" s="32" t="s">
        <v>6490</v>
      </c>
      <c r="L135" s="32" t="s">
        <v>6490</v>
      </c>
      <c r="M135" s="32">
        <v>100</v>
      </c>
      <c r="N135" s="32">
        <v>100</v>
      </c>
      <c r="O135" s="32">
        <v>50</v>
      </c>
      <c r="P135" s="31" t="s">
        <v>6499</v>
      </c>
      <c r="Q135" s="30">
        <v>0</v>
      </c>
    </row>
    <row r="136" spans="1:17" x14ac:dyDescent="0.25">
      <c r="A136" s="36" t="s">
        <v>3517</v>
      </c>
      <c r="B136" s="35" t="s">
        <v>6494</v>
      </c>
      <c r="C136" s="35" t="s">
        <v>6492</v>
      </c>
      <c r="D136" s="33">
        <v>72</v>
      </c>
      <c r="E136" s="34">
        <v>0</v>
      </c>
      <c r="F136" s="33">
        <v>72</v>
      </c>
      <c r="G136" s="31">
        <v>1.2</v>
      </c>
      <c r="H136" s="31" t="s">
        <v>6490</v>
      </c>
      <c r="I136" s="32">
        <v>10</v>
      </c>
      <c r="J136" s="32">
        <v>50</v>
      </c>
      <c r="K136" s="32">
        <v>100</v>
      </c>
      <c r="L136" s="32">
        <v>100</v>
      </c>
      <c r="M136" s="32">
        <v>100</v>
      </c>
      <c r="N136" s="32">
        <v>100</v>
      </c>
      <c r="O136" s="32">
        <v>50</v>
      </c>
      <c r="P136" s="31">
        <v>100</v>
      </c>
      <c r="Q136" s="30">
        <v>0</v>
      </c>
    </row>
    <row r="137" spans="1:17" x14ac:dyDescent="0.25">
      <c r="A137" s="36" t="s">
        <v>3524</v>
      </c>
      <c r="B137" s="35">
        <v>2025</v>
      </c>
      <c r="C137" s="35">
        <v>2026</v>
      </c>
      <c r="D137" s="33">
        <v>70</v>
      </c>
      <c r="E137" s="33">
        <v>0</v>
      </c>
      <c r="F137" s="33">
        <v>70</v>
      </c>
      <c r="G137" s="31">
        <v>1.2</v>
      </c>
      <c r="H137" s="31">
        <v>0</v>
      </c>
      <c r="I137" s="35">
        <v>10</v>
      </c>
      <c r="J137" s="35">
        <v>50</v>
      </c>
      <c r="K137" s="35">
        <v>50</v>
      </c>
      <c r="L137" s="35">
        <v>50</v>
      </c>
      <c r="M137" s="35">
        <v>100</v>
      </c>
      <c r="N137" s="35">
        <v>100</v>
      </c>
      <c r="O137" s="35">
        <v>50</v>
      </c>
      <c r="P137" s="31">
        <v>50</v>
      </c>
      <c r="Q137" s="49">
        <v>0</v>
      </c>
    </row>
    <row r="138" spans="1:17" x14ac:dyDescent="0.25">
      <c r="A138" s="36" t="s">
        <v>3569</v>
      </c>
      <c r="B138" s="35" t="s">
        <v>6494</v>
      </c>
      <c r="C138" s="35" t="s">
        <v>6492</v>
      </c>
      <c r="D138" s="33">
        <v>81</v>
      </c>
      <c r="E138" s="34">
        <v>0</v>
      </c>
      <c r="F138" s="33">
        <v>81</v>
      </c>
      <c r="G138" s="31">
        <v>1</v>
      </c>
      <c r="H138" s="31" t="s">
        <v>6490</v>
      </c>
      <c r="I138" s="32" t="s">
        <v>6490</v>
      </c>
      <c r="J138" s="32">
        <v>50</v>
      </c>
      <c r="K138" s="32">
        <v>100</v>
      </c>
      <c r="L138" s="32">
        <v>100</v>
      </c>
      <c r="M138" s="32">
        <v>100</v>
      </c>
      <c r="N138" s="32">
        <v>100</v>
      </c>
      <c r="O138" s="32" t="s">
        <v>6490</v>
      </c>
      <c r="P138" s="31">
        <v>45</v>
      </c>
      <c r="Q138" s="49">
        <v>10</v>
      </c>
    </row>
    <row r="139" spans="1:17" x14ac:dyDescent="0.25">
      <c r="A139" s="36" t="s">
        <v>3572</v>
      </c>
      <c r="B139" s="35">
        <v>2025</v>
      </c>
      <c r="C139" s="35">
        <v>2026</v>
      </c>
      <c r="D139" s="33">
        <v>64.5</v>
      </c>
      <c r="E139" s="33" t="s">
        <v>6490</v>
      </c>
      <c r="F139" s="33">
        <v>64.5</v>
      </c>
      <c r="G139" s="31">
        <v>0.8</v>
      </c>
      <c r="H139" s="31">
        <v>0.5</v>
      </c>
      <c r="I139" s="35" t="s">
        <v>6490</v>
      </c>
      <c r="J139" s="35">
        <v>50</v>
      </c>
      <c r="K139" s="35">
        <v>70</v>
      </c>
      <c r="L139" s="35" t="s">
        <v>6490</v>
      </c>
      <c r="M139" s="35">
        <v>80</v>
      </c>
      <c r="N139" s="35">
        <v>100</v>
      </c>
      <c r="O139" s="35">
        <v>50</v>
      </c>
      <c r="P139" s="31">
        <v>40</v>
      </c>
      <c r="Q139" s="49">
        <v>0</v>
      </c>
    </row>
    <row r="140" spans="1:17" x14ac:dyDescent="0.25">
      <c r="A140" s="36" t="s">
        <v>3642</v>
      </c>
      <c r="B140" s="45" t="s">
        <v>6511</v>
      </c>
      <c r="C140" s="45" t="s">
        <v>6492</v>
      </c>
      <c r="D140" s="60">
        <v>72</v>
      </c>
      <c r="E140" s="59" t="s">
        <v>6490</v>
      </c>
      <c r="F140" s="58">
        <v>72</v>
      </c>
      <c r="G140" s="57">
        <v>1</v>
      </c>
      <c r="H140" s="57">
        <v>0.5</v>
      </c>
      <c r="I140" s="40" t="s">
        <v>6490</v>
      </c>
      <c r="J140" s="56">
        <v>50</v>
      </c>
      <c r="K140" s="56" t="s">
        <v>6490</v>
      </c>
      <c r="L140" s="56" t="s">
        <v>6490</v>
      </c>
      <c r="M140" s="56">
        <v>100</v>
      </c>
      <c r="N140" s="56">
        <v>100</v>
      </c>
      <c r="O140" s="56">
        <v>50</v>
      </c>
      <c r="P140" s="38">
        <v>50</v>
      </c>
      <c r="Q140" s="54">
        <v>0</v>
      </c>
    </row>
    <row r="141" spans="1:17" x14ac:dyDescent="0.25">
      <c r="A141" s="36" t="s">
        <v>4114</v>
      </c>
      <c r="B141" s="35" t="s">
        <v>6494</v>
      </c>
      <c r="C141" s="35" t="s">
        <v>6492</v>
      </c>
      <c r="D141" s="33">
        <v>80</v>
      </c>
      <c r="E141" s="34">
        <v>0</v>
      </c>
      <c r="F141" s="33">
        <v>80</v>
      </c>
      <c r="G141" s="31">
        <v>1</v>
      </c>
      <c r="H141" s="31">
        <v>0.5</v>
      </c>
      <c r="I141" s="32">
        <v>6</v>
      </c>
      <c r="J141" s="32">
        <v>50</v>
      </c>
      <c r="K141" s="32">
        <v>50</v>
      </c>
      <c r="L141" s="32">
        <v>50</v>
      </c>
      <c r="M141" s="32">
        <v>100</v>
      </c>
      <c r="N141" s="32">
        <v>100</v>
      </c>
      <c r="O141" s="32" t="s">
        <v>6490</v>
      </c>
      <c r="P141" s="31">
        <v>25</v>
      </c>
      <c r="Q141" s="30">
        <v>0</v>
      </c>
    </row>
    <row r="142" spans="1:17" x14ac:dyDescent="0.25">
      <c r="A142" s="36" t="s">
        <v>4119</v>
      </c>
      <c r="B142" s="35" t="s">
        <v>6494</v>
      </c>
      <c r="C142" s="35" t="s">
        <v>6492</v>
      </c>
      <c r="D142" s="33">
        <v>76</v>
      </c>
      <c r="E142" s="34">
        <v>0</v>
      </c>
      <c r="F142" s="33">
        <v>76</v>
      </c>
      <c r="G142" s="31">
        <v>0.8</v>
      </c>
      <c r="H142" s="31">
        <v>0.5</v>
      </c>
      <c r="I142" s="32" t="s">
        <v>6490</v>
      </c>
      <c r="J142" s="32">
        <v>50</v>
      </c>
      <c r="K142" s="32">
        <v>40</v>
      </c>
      <c r="L142" s="32">
        <v>40</v>
      </c>
      <c r="M142" s="32">
        <v>100</v>
      </c>
      <c r="N142" s="32">
        <v>100</v>
      </c>
      <c r="O142" s="32" t="s">
        <v>6490</v>
      </c>
      <c r="P142" s="31">
        <v>20</v>
      </c>
      <c r="Q142" s="30">
        <v>0</v>
      </c>
    </row>
    <row r="143" spans="1:17" x14ac:dyDescent="0.25">
      <c r="A143" s="36" t="s">
        <v>6518</v>
      </c>
      <c r="B143" s="35">
        <v>2025</v>
      </c>
      <c r="C143" s="35">
        <v>2026</v>
      </c>
      <c r="D143" s="33">
        <v>65</v>
      </c>
      <c r="E143" s="33" t="s">
        <v>6490</v>
      </c>
      <c r="F143" s="33">
        <v>65</v>
      </c>
      <c r="G143" s="31">
        <v>1</v>
      </c>
      <c r="H143" s="31">
        <v>0.5</v>
      </c>
      <c r="I143" s="35" t="s">
        <v>6490</v>
      </c>
      <c r="J143" s="35">
        <v>50</v>
      </c>
      <c r="K143" s="35">
        <v>50</v>
      </c>
      <c r="L143" s="35" t="s">
        <v>6490</v>
      </c>
      <c r="M143" s="35">
        <v>50</v>
      </c>
      <c r="N143" s="35">
        <v>100</v>
      </c>
      <c r="O143" s="35">
        <v>50</v>
      </c>
      <c r="P143" s="31">
        <v>60</v>
      </c>
      <c r="Q143" s="49">
        <v>0</v>
      </c>
    </row>
    <row r="144" spans="1:17" x14ac:dyDescent="0.25">
      <c r="A144" s="36" t="s">
        <v>4485</v>
      </c>
      <c r="B144" s="35" t="s">
        <v>6491</v>
      </c>
      <c r="C144" s="35" t="s">
        <v>6492</v>
      </c>
      <c r="D144" s="33">
        <v>75.5</v>
      </c>
      <c r="E144" s="34">
        <v>0</v>
      </c>
      <c r="F144" s="33">
        <v>75.5</v>
      </c>
      <c r="G144" s="31">
        <v>1</v>
      </c>
      <c r="H144" s="31" t="s">
        <v>6490</v>
      </c>
      <c r="I144" s="32" t="s">
        <v>6490</v>
      </c>
      <c r="J144" s="32">
        <v>50</v>
      </c>
      <c r="K144" s="32">
        <v>100</v>
      </c>
      <c r="L144" s="32" t="s">
        <v>6490</v>
      </c>
      <c r="M144" s="32">
        <v>100</v>
      </c>
      <c r="N144" s="32">
        <v>100</v>
      </c>
      <c r="O144" s="32">
        <v>50</v>
      </c>
      <c r="P144" s="31">
        <v>100</v>
      </c>
      <c r="Q144" s="30">
        <v>0</v>
      </c>
    </row>
    <row r="145" spans="1:17" x14ac:dyDescent="0.25">
      <c r="A145" s="36" t="s">
        <v>4544</v>
      </c>
      <c r="B145" s="35">
        <v>2025</v>
      </c>
      <c r="C145" s="35">
        <v>2026</v>
      </c>
      <c r="D145" s="33">
        <v>74</v>
      </c>
      <c r="E145" s="33" t="s">
        <v>6490</v>
      </c>
      <c r="F145" s="52">
        <v>74</v>
      </c>
      <c r="G145" s="31">
        <v>1</v>
      </c>
      <c r="H145" s="31">
        <v>0.5</v>
      </c>
      <c r="I145" s="35" t="s">
        <v>6490</v>
      </c>
      <c r="J145" s="35">
        <v>50</v>
      </c>
      <c r="K145" s="35" t="s">
        <v>6490</v>
      </c>
      <c r="L145" s="35" t="s">
        <v>6490</v>
      </c>
      <c r="M145" s="35">
        <v>100</v>
      </c>
      <c r="N145" s="35">
        <v>100</v>
      </c>
      <c r="O145" s="35" t="s">
        <v>6490</v>
      </c>
      <c r="P145" s="31">
        <v>100</v>
      </c>
      <c r="Q145" s="49">
        <v>0</v>
      </c>
    </row>
    <row r="146" spans="1:17" x14ac:dyDescent="0.25">
      <c r="A146" s="36" t="s">
        <v>6519</v>
      </c>
      <c r="B146" s="45">
        <v>2022</v>
      </c>
      <c r="C146" s="45">
        <v>2024</v>
      </c>
      <c r="D146" s="43">
        <v>79</v>
      </c>
      <c r="E146" s="43" t="s">
        <v>6490</v>
      </c>
      <c r="F146" s="55">
        <v>79</v>
      </c>
      <c r="G146" s="38">
        <v>1</v>
      </c>
      <c r="H146" s="38">
        <v>0.5</v>
      </c>
      <c r="I146" s="39">
        <v>10</v>
      </c>
      <c r="J146" s="39">
        <v>50</v>
      </c>
      <c r="K146" s="39">
        <v>100</v>
      </c>
      <c r="L146" s="39">
        <v>100</v>
      </c>
      <c r="M146" s="39">
        <v>100</v>
      </c>
      <c r="N146" s="39">
        <v>100</v>
      </c>
      <c r="O146" s="39" t="s">
        <v>6490</v>
      </c>
      <c r="P146" s="39" t="s">
        <v>6508</v>
      </c>
      <c r="Q146" s="54" t="s">
        <v>6490</v>
      </c>
    </row>
    <row r="147" spans="1:17" x14ac:dyDescent="0.25">
      <c r="A147" s="36" t="s">
        <v>4943</v>
      </c>
      <c r="B147" s="35">
        <v>2022</v>
      </c>
      <c r="C147" s="35">
        <v>2026</v>
      </c>
      <c r="D147" s="33">
        <v>71</v>
      </c>
      <c r="E147" s="33" t="s">
        <v>6490</v>
      </c>
      <c r="F147" s="52">
        <v>71</v>
      </c>
      <c r="G147" s="31">
        <v>1</v>
      </c>
      <c r="H147" s="31" t="s">
        <v>6490</v>
      </c>
      <c r="I147" s="35" t="s">
        <v>6490</v>
      </c>
      <c r="J147" s="35">
        <v>50</v>
      </c>
      <c r="K147" s="35">
        <v>100</v>
      </c>
      <c r="L147" s="35">
        <v>100</v>
      </c>
      <c r="M147" s="35">
        <v>100</v>
      </c>
      <c r="N147" s="35">
        <v>100</v>
      </c>
      <c r="O147" s="35" t="s">
        <v>6490</v>
      </c>
      <c r="P147" s="35" t="s">
        <v>6499</v>
      </c>
      <c r="Q147" s="49">
        <v>0</v>
      </c>
    </row>
    <row r="148" spans="1:17" x14ac:dyDescent="0.25">
      <c r="A148" s="36" t="s">
        <v>4988</v>
      </c>
      <c r="B148" s="35" t="s">
        <v>6511</v>
      </c>
      <c r="C148" s="35" t="s">
        <v>6492</v>
      </c>
      <c r="D148" s="33">
        <v>79.5</v>
      </c>
      <c r="E148" s="34">
        <v>0</v>
      </c>
      <c r="F148" s="52">
        <v>79.5</v>
      </c>
      <c r="G148" s="31">
        <v>1</v>
      </c>
      <c r="H148" s="31">
        <v>0.5</v>
      </c>
      <c r="I148" s="32" t="s">
        <v>6490</v>
      </c>
      <c r="J148" s="32">
        <v>50</v>
      </c>
      <c r="K148" s="32" t="s">
        <v>6490</v>
      </c>
      <c r="L148" s="32" t="s">
        <v>6490</v>
      </c>
      <c r="M148" s="32">
        <v>100</v>
      </c>
      <c r="N148" s="32">
        <v>100</v>
      </c>
      <c r="O148" s="32">
        <v>50</v>
      </c>
      <c r="P148" s="31">
        <v>50</v>
      </c>
      <c r="Q148" s="30">
        <v>0</v>
      </c>
    </row>
    <row r="149" spans="1:17" x14ac:dyDescent="0.25">
      <c r="A149" s="36" t="s">
        <v>5041</v>
      </c>
      <c r="B149" s="35" t="s">
        <v>6494</v>
      </c>
      <c r="C149" s="35" t="s">
        <v>6492</v>
      </c>
      <c r="D149" s="33">
        <v>81</v>
      </c>
      <c r="E149" s="34">
        <v>0</v>
      </c>
      <c r="F149" s="33">
        <v>81</v>
      </c>
      <c r="G149" s="31">
        <v>1.5</v>
      </c>
      <c r="H149" s="31">
        <v>0.5</v>
      </c>
      <c r="I149" s="32">
        <v>10</v>
      </c>
      <c r="J149" s="32">
        <v>50</v>
      </c>
      <c r="K149" s="32">
        <v>100</v>
      </c>
      <c r="L149" s="32">
        <v>100</v>
      </c>
      <c r="M149" s="32">
        <v>100</v>
      </c>
      <c r="N149" s="32">
        <v>100</v>
      </c>
      <c r="O149" s="32">
        <v>50</v>
      </c>
      <c r="P149" s="31">
        <v>40</v>
      </c>
      <c r="Q149" s="30">
        <v>0</v>
      </c>
    </row>
    <row r="150" spans="1:17" x14ac:dyDescent="0.25">
      <c r="A150" s="51" t="s">
        <v>5175</v>
      </c>
      <c r="B150" s="35">
        <v>2025</v>
      </c>
      <c r="C150" s="35">
        <v>2026</v>
      </c>
      <c r="D150" s="33">
        <v>76.5</v>
      </c>
      <c r="E150" s="33">
        <v>0</v>
      </c>
      <c r="F150" s="33">
        <v>76.5</v>
      </c>
      <c r="G150" s="31">
        <v>1</v>
      </c>
      <c r="H150" s="31">
        <v>0</v>
      </c>
      <c r="I150" s="35">
        <v>0</v>
      </c>
      <c r="J150" s="35">
        <v>50</v>
      </c>
      <c r="K150" s="35">
        <v>30</v>
      </c>
      <c r="L150" s="35">
        <v>30</v>
      </c>
      <c r="M150" s="35">
        <v>100</v>
      </c>
      <c r="N150" s="35">
        <v>100</v>
      </c>
      <c r="O150" s="35">
        <v>0</v>
      </c>
      <c r="P150" s="35" t="s">
        <v>6520</v>
      </c>
      <c r="Q150" s="49">
        <v>0</v>
      </c>
    </row>
    <row r="151" spans="1:17" x14ac:dyDescent="0.25">
      <c r="A151" s="51" t="s">
        <v>5324</v>
      </c>
      <c r="B151" s="35">
        <v>2025</v>
      </c>
      <c r="C151" s="35">
        <v>2026</v>
      </c>
      <c r="D151" s="33">
        <v>81</v>
      </c>
      <c r="E151" s="33">
        <v>0</v>
      </c>
      <c r="F151" s="33">
        <v>81</v>
      </c>
      <c r="G151" s="31">
        <v>1.1000000000000001</v>
      </c>
      <c r="H151" s="31">
        <v>0</v>
      </c>
      <c r="I151" s="35">
        <v>0</v>
      </c>
      <c r="J151" s="35">
        <v>50</v>
      </c>
      <c r="K151" s="35">
        <v>80</v>
      </c>
      <c r="L151" s="35">
        <v>80</v>
      </c>
      <c r="M151" s="35">
        <v>100</v>
      </c>
      <c r="N151" s="35">
        <v>100</v>
      </c>
      <c r="O151" s="35">
        <v>50</v>
      </c>
      <c r="P151" s="35" t="s">
        <v>6521</v>
      </c>
      <c r="Q151" s="49">
        <v>10</v>
      </c>
    </row>
    <row r="152" spans="1:17" x14ac:dyDescent="0.25">
      <c r="A152" s="51" t="s">
        <v>5414</v>
      </c>
      <c r="B152" s="45" t="s">
        <v>6491</v>
      </c>
      <c r="C152" s="45" t="s">
        <v>6492</v>
      </c>
      <c r="D152" s="44">
        <v>73</v>
      </c>
      <c r="E152" s="43" t="s">
        <v>6490</v>
      </c>
      <c r="F152" s="42">
        <f>+D152</f>
        <v>73</v>
      </c>
      <c r="G152" s="41">
        <v>1</v>
      </c>
      <c r="H152" s="38" t="s">
        <v>6490</v>
      </c>
      <c r="I152" s="40" t="s">
        <v>6490</v>
      </c>
      <c r="J152" s="39">
        <v>50</v>
      </c>
      <c r="K152" s="39">
        <v>30</v>
      </c>
      <c r="L152" s="39">
        <v>30</v>
      </c>
      <c r="M152" s="39">
        <v>40</v>
      </c>
      <c r="N152" s="39">
        <v>100</v>
      </c>
      <c r="O152" s="39" t="s">
        <v>6490</v>
      </c>
      <c r="P152" s="38">
        <v>60</v>
      </c>
      <c r="Q152" s="50">
        <v>10</v>
      </c>
    </row>
    <row r="153" spans="1:17" x14ac:dyDescent="0.25">
      <c r="A153" s="51" t="s">
        <v>62</v>
      </c>
      <c r="B153" s="45" t="s">
        <v>6491</v>
      </c>
      <c r="C153" s="45" t="s">
        <v>6495</v>
      </c>
      <c r="D153" s="44">
        <v>70</v>
      </c>
      <c r="E153" s="43" t="s">
        <v>6490</v>
      </c>
      <c r="F153" s="53">
        <f>+D153</f>
        <v>70</v>
      </c>
      <c r="G153" s="41">
        <v>1</v>
      </c>
      <c r="H153" s="38" t="s">
        <v>6490</v>
      </c>
      <c r="I153" s="40" t="s">
        <v>6490</v>
      </c>
      <c r="J153" s="39">
        <v>50</v>
      </c>
      <c r="K153" s="39">
        <v>100</v>
      </c>
      <c r="L153" s="39">
        <v>100</v>
      </c>
      <c r="M153" s="39">
        <v>100</v>
      </c>
      <c r="N153" s="39">
        <v>100</v>
      </c>
      <c r="O153" s="39">
        <v>50</v>
      </c>
      <c r="P153" s="38">
        <v>75</v>
      </c>
      <c r="Q153" s="50">
        <v>10</v>
      </c>
    </row>
    <row r="154" spans="1:17" x14ac:dyDescent="0.25">
      <c r="A154" s="36" t="s">
        <v>5621</v>
      </c>
      <c r="B154" s="35" t="s">
        <v>6494</v>
      </c>
      <c r="C154" s="35" t="s">
        <v>6492</v>
      </c>
      <c r="D154" s="33">
        <v>76</v>
      </c>
      <c r="E154" s="34">
        <v>0</v>
      </c>
      <c r="F154" s="33">
        <v>76</v>
      </c>
      <c r="G154" s="31">
        <v>1</v>
      </c>
      <c r="H154" s="31">
        <v>0.5</v>
      </c>
      <c r="I154" s="32" t="s">
        <v>6490</v>
      </c>
      <c r="J154" s="32">
        <v>50</v>
      </c>
      <c r="K154" s="32">
        <v>50</v>
      </c>
      <c r="L154" s="32">
        <v>50</v>
      </c>
      <c r="M154" s="32">
        <v>80</v>
      </c>
      <c r="N154" s="32">
        <v>100</v>
      </c>
      <c r="O154" s="32">
        <v>50</v>
      </c>
      <c r="P154" s="31" t="s">
        <v>6499</v>
      </c>
      <c r="Q154" s="30">
        <v>0</v>
      </c>
    </row>
    <row r="155" spans="1:17" x14ac:dyDescent="0.25">
      <c r="A155" s="36" t="s">
        <v>5652</v>
      </c>
      <c r="B155" s="35" t="s">
        <v>6494</v>
      </c>
      <c r="C155" s="35" t="s">
        <v>6492</v>
      </c>
      <c r="D155" s="33">
        <v>70</v>
      </c>
      <c r="E155" s="34">
        <v>0</v>
      </c>
      <c r="F155" s="33">
        <v>70</v>
      </c>
      <c r="G155" s="31">
        <v>0.8</v>
      </c>
      <c r="H155" s="31" t="s">
        <v>6490</v>
      </c>
      <c r="I155" s="32" t="s">
        <v>6490</v>
      </c>
      <c r="J155" s="32">
        <v>50</v>
      </c>
      <c r="K155" s="32" t="s">
        <v>6490</v>
      </c>
      <c r="L155" s="32" t="s">
        <v>6490</v>
      </c>
      <c r="M155" s="32">
        <v>100</v>
      </c>
      <c r="N155" s="32">
        <v>100</v>
      </c>
      <c r="O155" s="32" t="s">
        <v>6490</v>
      </c>
      <c r="P155" s="31">
        <v>60</v>
      </c>
      <c r="Q155" s="30">
        <v>0</v>
      </c>
    </row>
    <row r="156" spans="1:17" x14ac:dyDescent="0.25">
      <c r="A156" s="36" t="s">
        <v>5660</v>
      </c>
      <c r="B156" s="35" t="s">
        <v>6494</v>
      </c>
      <c r="C156" s="35" t="s">
        <v>6492</v>
      </c>
      <c r="D156" s="33">
        <v>72</v>
      </c>
      <c r="E156" s="34">
        <v>0</v>
      </c>
      <c r="F156" s="52">
        <v>72</v>
      </c>
      <c r="G156" s="31">
        <v>1</v>
      </c>
      <c r="H156" s="31">
        <v>0.5</v>
      </c>
      <c r="I156" s="32">
        <v>10</v>
      </c>
      <c r="J156" s="32">
        <v>50</v>
      </c>
      <c r="K156" s="32">
        <v>100</v>
      </c>
      <c r="L156" s="32">
        <v>100</v>
      </c>
      <c r="M156" s="32">
        <v>100</v>
      </c>
      <c r="N156" s="32">
        <v>100</v>
      </c>
      <c r="O156" s="32">
        <v>50</v>
      </c>
      <c r="P156" s="31">
        <v>60</v>
      </c>
      <c r="Q156" s="30">
        <v>0</v>
      </c>
    </row>
    <row r="157" spans="1:17" x14ac:dyDescent="0.25">
      <c r="A157" s="36" t="s">
        <v>5685</v>
      </c>
      <c r="B157" s="35" t="s">
        <v>6494</v>
      </c>
      <c r="C157" s="35" t="s">
        <v>6492</v>
      </c>
      <c r="D157" s="33">
        <v>71.5</v>
      </c>
      <c r="E157" s="34">
        <v>0</v>
      </c>
      <c r="F157" s="33">
        <v>71.5</v>
      </c>
      <c r="G157" s="31">
        <v>1.2</v>
      </c>
      <c r="H157" s="31">
        <v>0.5</v>
      </c>
      <c r="I157" s="32" t="s">
        <v>6490</v>
      </c>
      <c r="J157" s="32">
        <v>50</v>
      </c>
      <c r="K157" s="32">
        <v>50</v>
      </c>
      <c r="L157" s="32">
        <v>50</v>
      </c>
      <c r="M157" s="32">
        <v>100</v>
      </c>
      <c r="N157" s="32">
        <v>100</v>
      </c>
      <c r="O157" s="32">
        <v>50</v>
      </c>
      <c r="P157" s="31">
        <v>100</v>
      </c>
      <c r="Q157" s="30">
        <v>0</v>
      </c>
    </row>
    <row r="158" spans="1:17" x14ac:dyDescent="0.25">
      <c r="A158" s="36" t="s">
        <v>5785</v>
      </c>
      <c r="B158" s="35" t="s">
        <v>6494</v>
      </c>
      <c r="C158" s="35" t="s">
        <v>6495</v>
      </c>
      <c r="D158" s="33">
        <v>73</v>
      </c>
      <c r="E158" s="34">
        <v>0</v>
      </c>
      <c r="F158" s="33">
        <v>73</v>
      </c>
      <c r="G158" s="31">
        <v>1</v>
      </c>
      <c r="H158" s="31">
        <v>0.5</v>
      </c>
      <c r="I158" s="32" t="s">
        <v>6490</v>
      </c>
      <c r="J158" s="32">
        <v>50</v>
      </c>
      <c r="K158" s="32">
        <v>50</v>
      </c>
      <c r="L158" s="32">
        <v>50</v>
      </c>
      <c r="M158" s="32">
        <v>100</v>
      </c>
      <c r="N158" s="32">
        <v>100</v>
      </c>
      <c r="O158" s="32">
        <v>50</v>
      </c>
      <c r="P158" s="31" t="s">
        <v>6499</v>
      </c>
      <c r="Q158" s="49">
        <v>5</v>
      </c>
    </row>
    <row r="159" spans="1:17" x14ac:dyDescent="0.25">
      <c r="A159" s="36" t="s">
        <v>5797</v>
      </c>
      <c r="B159" s="35" t="s">
        <v>6494</v>
      </c>
      <c r="C159" s="35" t="s">
        <v>6492</v>
      </c>
      <c r="D159" s="33">
        <v>75</v>
      </c>
      <c r="E159" s="34">
        <v>0</v>
      </c>
      <c r="F159" s="33">
        <v>75</v>
      </c>
      <c r="G159" s="31">
        <v>1</v>
      </c>
      <c r="H159" s="31" t="s">
        <v>6490</v>
      </c>
      <c r="I159" s="32">
        <v>10</v>
      </c>
      <c r="J159" s="32">
        <v>50</v>
      </c>
      <c r="K159" s="32">
        <v>50</v>
      </c>
      <c r="L159" s="32">
        <v>50</v>
      </c>
      <c r="M159" s="32">
        <v>100</v>
      </c>
      <c r="N159" s="32">
        <v>100</v>
      </c>
      <c r="O159" s="32">
        <v>50</v>
      </c>
      <c r="P159" s="31">
        <v>100</v>
      </c>
      <c r="Q159" s="30">
        <v>0</v>
      </c>
    </row>
    <row r="160" spans="1:17" x14ac:dyDescent="0.25">
      <c r="A160" s="36" t="s">
        <v>5844</v>
      </c>
      <c r="B160" s="35" t="s">
        <v>6494</v>
      </c>
      <c r="C160" s="35" t="s">
        <v>6492</v>
      </c>
      <c r="D160" s="33">
        <v>70.5</v>
      </c>
      <c r="E160" s="34">
        <v>0</v>
      </c>
      <c r="F160" s="33">
        <v>70.5</v>
      </c>
      <c r="G160" s="31">
        <v>1</v>
      </c>
      <c r="H160" s="31" t="s">
        <v>6490</v>
      </c>
      <c r="I160" s="32" t="s">
        <v>6490</v>
      </c>
      <c r="J160" s="32">
        <v>50</v>
      </c>
      <c r="K160" s="32">
        <v>70</v>
      </c>
      <c r="L160" s="32">
        <v>100</v>
      </c>
      <c r="M160" s="32">
        <v>100</v>
      </c>
      <c r="N160" s="32">
        <v>100</v>
      </c>
      <c r="O160" s="32">
        <v>50</v>
      </c>
      <c r="P160" s="31">
        <v>80</v>
      </c>
      <c r="Q160" s="30">
        <v>0</v>
      </c>
    </row>
    <row r="161" spans="1:17" x14ac:dyDescent="0.25">
      <c r="A161" s="36" t="s">
        <v>5851</v>
      </c>
      <c r="B161" s="35">
        <v>2025</v>
      </c>
      <c r="C161" s="35">
        <v>2026</v>
      </c>
      <c r="D161" s="33">
        <v>71</v>
      </c>
      <c r="E161" s="33" t="s">
        <v>6490</v>
      </c>
      <c r="F161" s="33">
        <v>71</v>
      </c>
      <c r="G161" s="31">
        <v>1</v>
      </c>
      <c r="H161" s="31" t="s">
        <v>6490</v>
      </c>
      <c r="I161" s="35">
        <v>10</v>
      </c>
      <c r="J161" s="35">
        <v>50</v>
      </c>
      <c r="K161" s="35" t="s">
        <v>6490</v>
      </c>
      <c r="L161" s="35" t="s">
        <v>6490</v>
      </c>
      <c r="M161" s="35" t="s">
        <v>6490</v>
      </c>
      <c r="N161" s="35">
        <v>100</v>
      </c>
      <c r="O161" s="35">
        <v>50</v>
      </c>
      <c r="P161" s="35" t="s">
        <v>6499</v>
      </c>
      <c r="Q161" s="49">
        <v>0</v>
      </c>
    </row>
    <row r="162" spans="1:17" x14ac:dyDescent="0.25">
      <c r="A162" s="36" t="s">
        <v>5856</v>
      </c>
      <c r="B162" s="35" t="s">
        <v>6494</v>
      </c>
      <c r="C162" s="35" t="s">
        <v>6492</v>
      </c>
      <c r="D162" s="33">
        <v>77</v>
      </c>
      <c r="E162" s="34">
        <v>0</v>
      </c>
      <c r="F162" s="33">
        <v>77</v>
      </c>
      <c r="G162" s="31">
        <v>1</v>
      </c>
      <c r="H162" s="31" t="s">
        <v>6490</v>
      </c>
      <c r="I162" s="32">
        <v>10</v>
      </c>
      <c r="J162" s="32">
        <v>50</v>
      </c>
      <c r="K162" s="32">
        <v>50</v>
      </c>
      <c r="L162" s="32">
        <v>50</v>
      </c>
      <c r="M162" s="32">
        <v>100</v>
      </c>
      <c r="N162" s="32">
        <v>100</v>
      </c>
      <c r="O162" s="32">
        <v>50</v>
      </c>
      <c r="P162" s="31">
        <v>60</v>
      </c>
      <c r="Q162" s="30">
        <v>0</v>
      </c>
    </row>
    <row r="163" spans="1:17" x14ac:dyDescent="0.25">
      <c r="A163" s="36" t="s">
        <v>5859</v>
      </c>
      <c r="B163" s="35">
        <v>2024</v>
      </c>
      <c r="C163" s="35">
        <v>2026</v>
      </c>
      <c r="D163" s="33">
        <v>70</v>
      </c>
      <c r="E163" s="33" t="s">
        <v>6490</v>
      </c>
      <c r="F163" s="33">
        <v>70</v>
      </c>
      <c r="G163" s="31">
        <v>1</v>
      </c>
      <c r="H163" s="31">
        <v>0.5</v>
      </c>
      <c r="I163" s="35" t="s">
        <v>6490</v>
      </c>
      <c r="J163" s="35">
        <v>50</v>
      </c>
      <c r="K163" s="35">
        <v>100</v>
      </c>
      <c r="L163" s="35">
        <v>100</v>
      </c>
      <c r="M163" s="35">
        <v>100</v>
      </c>
      <c r="N163" s="35">
        <v>100</v>
      </c>
      <c r="O163" s="35">
        <v>50</v>
      </c>
      <c r="P163" s="31">
        <v>75</v>
      </c>
      <c r="Q163" s="49">
        <v>0</v>
      </c>
    </row>
    <row r="164" spans="1:17" x14ac:dyDescent="0.25">
      <c r="A164" s="36" t="s">
        <v>66</v>
      </c>
      <c r="B164" s="35">
        <v>2025</v>
      </c>
      <c r="C164" s="35">
        <v>2026</v>
      </c>
      <c r="D164" s="33">
        <v>81</v>
      </c>
      <c r="E164" s="33" t="s">
        <v>6490</v>
      </c>
      <c r="F164" s="33">
        <v>81</v>
      </c>
      <c r="G164" s="31">
        <v>0.5</v>
      </c>
      <c r="H164" s="31" t="s">
        <v>6490</v>
      </c>
      <c r="I164" s="35" t="s">
        <v>6490</v>
      </c>
      <c r="J164" s="35">
        <v>50</v>
      </c>
      <c r="K164" s="35">
        <v>50</v>
      </c>
      <c r="L164" s="35">
        <v>50</v>
      </c>
      <c r="M164" s="35">
        <v>50</v>
      </c>
      <c r="N164" s="35">
        <v>100</v>
      </c>
      <c r="O164" s="35" t="s">
        <v>6490</v>
      </c>
      <c r="P164" s="31">
        <v>60</v>
      </c>
      <c r="Q164" s="49">
        <v>0</v>
      </c>
    </row>
    <row r="165" spans="1:17" x14ac:dyDescent="0.25">
      <c r="A165" s="36" t="s">
        <v>6047</v>
      </c>
      <c r="B165" s="35">
        <v>2025</v>
      </c>
      <c r="C165" s="35">
        <v>2026</v>
      </c>
      <c r="D165" s="33">
        <v>72</v>
      </c>
      <c r="E165" s="33">
        <v>0</v>
      </c>
      <c r="F165" s="33">
        <v>72</v>
      </c>
      <c r="G165" s="31">
        <v>1</v>
      </c>
      <c r="H165" s="31">
        <v>0.5</v>
      </c>
      <c r="I165" s="35">
        <v>0</v>
      </c>
      <c r="J165" s="35">
        <v>50</v>
      </c>
      <c r="K165" s="35">
        <v>50</v>
      </c>
      <c r="L165" s="35">
        <v>50</v>
      </c>
      <c r="M165" s="35">
        <v>100</v>
      </c>
      <c r="N165" s="35">
        <v>100</v>
      </c>
      <c r="O165" s="35">
        <v>0</v>
      </c>
      <c r="P165" s="31">
        <v>20</v>
      </c>
      <c r="Q165" s="49">
        <v>0</v>
      </c>
    </row>
    <row r="166" spans="1:17" x14ac:dyDescent="0.25">
      <c r="A166" s="36" t="s">
        <v>6183</v>
      </c>
      <c r="B166" s="35">
        <v>2025</v>
      </c>
      <c r="C166" s="35">
        <v>2026</v>
      </c>
      <c r="D166" s="33">
        <v>70</v>
      </c>
      <c r="E166" s="33" t="s">
        <v>6490</v>
      </c>
      <c r="F166" s="33">
        <v>70</v>
      </c>
      <c r="G166" s="31">
        <v>0.7</v>
      </c>
      <c r="H166" s="31" t="s">
        <v>6490</v>
      </c>
      <c r="I166" s="35" t="s">
        <v>6490</v>
      </c>
      <c r="J166" s="35">
        <v>50</v>
      </c>
      <c r="K166" s="35">
        <v>50</v>
      </c>
      <c r="L166" s="35">
        <v>50</v>
      </c>
      <c r="M166" s="35">
        <v>50</v>
      </c>
      <c r="N166" s="35">
        <v>100</v>
      </c>
      <c r="O166" s="35" t="s">
        <v>6490</v>
      </c>
      <c r="P166" s="31">
        <v>50</v>
      </c>
      <c r="Q166" s="49">
        <v>0</v>
      </c>
    </row>
    <row r="167" spans="1:17" x14ac:dyDescent="0.25">
      <c r="A167" s="36" t="s">
        <v>6190</v>
      </c>
      <c r="B167" s="35">
        <v>2025</v>
      </c>
      <c r="C167" s="35">
        <v>2026</v>
      </c>
      <c r="D167" s="33">
        <v>75</v>
      </c>
      <c r="E167" s="33" t="s">
        <v>6490</v>
      </c>
      <c r="F167" s="33">
        <v>75</v>
      </c>
      <c r="G167" s="31">
        <v>0.7</v>
      </c>
      <c r="H167" s="31" t="s">
        <v>6490</v>
      </c>
      <c r="I167" s="35">
        <v>10</v>
      </c>
      <c r="J167" s="35">
        <v>50</v>
      </c>
      <c r="K167" s="35" t="s">
        <v>6490</v>
      </c>
      <c r="L167" s="35" t="s">
        <v>6490</v>
      </c>
      <c r="M167" s="35">
        <v>80</v>
      </c>
      <c r="N167" s="35">
        <v>100</v>
      </c>
      <c r="O167" s="35">
        <v>50</v>
      </c>
      <c r="P167" s="31">
        <v>40</v>
      </c>
      <c r="Q167" s="49">
        <v>0</v>
      </c>
    </row>
    <row r="168" spans="1:17" x14ac:dyDescent="0.25">
      <c r="A168" s="36" t="s">
        <v>6259</v>
      </c>
      <c r="B168" s="35">
        <v>2025</v>
      </c>
      <c r="C168" s="35">
        <v>2026</v>
      </c>
      <c r="D168" s="33">
        <v>75</v>
      </c>
      <c r="E168" s="33">
        <v>0</v>
      </c>
      <c r="F168" s="33">
        <v>75</v>
      </c>
      <c r="G168" s="31">
        <v>1.5</v>
      </c>
      <c r="H168" s="31">
        <v>0.5</v>
      </c>
      <c r="I168" s="35">
        <v>0</v>
      </c>
      <c r="J168" s="35">
        <v>50</v>
      </c>
      <c r="K168" s="35">
        <v>100</v>
      </c>
      <c r="L168" s="35">
        <v>100</v>
      </c>
      <c r="M168" s="35">
        <v>100</v>
      </c>
      <c r="N168" s="35">
        <v>100</v>
      </c>
      <c r="O168" s="35">
        <v>50</v>
      </c>
      <c r="P168" s="31">
        <v>70</v>
      </c>
      <c r="Q168" s="49">
        <v>0</v>
      </c>
    </row>
    <row r="169" spans="1:17" x14ac:dyDescent="0.25">
      <c r="A169" s="36" t="s">
        <v>6415</v>
      </c>
      <c r="B169" s="35">
        <v>2024</v>
      </c>
      <c r="C169" s="35">
        <v>2026</v>
      </c>
      <c r="D169" s="33">
        <v>73</v>
      </c>
      <c r="E169" s="33" t="s">
        <v>6490</v>
      </c>
      <c r="F169" s="33">
        <v>73</v>
      </c>
      <c r="G169" s="31">
        <v>1</v>
      </c>
      <c r="H169" s="31">
        <v>0.5</v>
      </c>
      <c r="I169" s="35" t="s">
        <v>6490</v>
      </c>
      <c r="J169" s="35">
        <v>50</v>
      </c>
      <c r="K169" s="35">
        <v>90</v>
      </c>
      <c r="L169" s="35">
        <v>90</v>
      </c>
      <c r="M169" s="35">
        <v>100</v>
      </c>
      <c r="N169" s="35">
        <v>100</v>
      </c>
      <c r="O169" s="35">
        <v>50</v>
      </c>
      <c r="P169" s="35" t="s">
        <v>6499</v>
      </c>
      <c r="Q169" s="49">
        <v>10</v>
      </c>
    </row>
    <row r="170" spans="1:17" x14ac:dyDescent="0.25">
      <c r="A170" s="48"/>
      <c r="B170" s="35"/>
      <c r="C170" s="35"/>
      <c r="D170" s="33"/>
      <c r="E170" s="33"/>
      <c r="F170" s="33"/>
      <c r="G170" s="31"/>
      <c r="H170" s="31"/>
      <c r="I170" s="35"/>
      <c r="J170" s="35"/>
      <c r="K170" s="35"/>
      <c r="L170" s="35"/>
      <c r="M170" s="35"/>
      <c r="N170" s="35"/>
      <c r="O170" s="35"/>
      <c r="P170" s="35"/>
      <c r="Q170" s="46"/>
    </row>
    <row r="171" spans="1:17" x14ac:dyDescent="0.25">
      <c r="A171" s="47" t="s">
        <v>6522</v>
      </c>
      <c r="B171" s="35"/>
      <c r="C171" s="35"/>
      <c r="D171" s="33"/>
      <c r="E171" s="33"/>
      <c r="F171" s="33"/>
      <c r="G171" s="31"/>
      <c r="H171" s="31"/>
      <c r="I171" s="35"/>
      <c r="J171" s="35"/>
      <c r="K171" s="35"/>
      <c r="L171" s="35"/>
      <c r="M171" s="35"/>
      <c r="N171" s="35"/>
      <c r="O171" s="35"/>
      <c r="P171" s="35"/>
      <c r="Q171" s="46"/>
    </row>
    <row r="172" spans="1:17" x14ac:dyDescent="0.25">
      <c r="A172" s="36" t="s">
        <v>43</v>
      </c>
      <c r="B172" s="35">
        <v>2025</v>
      </c>
      <c r="C172" s="35">
        <v>2027</v>
      </c>
      <c r="D172" s="33">
        <v>73</v>
      </c>
      <c r="E172" s="31" t="s">
        <v>6490</v>
      </c>
      <c r="F172" s="33">
        <v>73</v>
      </c>
      <c r="G172" s="31">
        <v>1</v>
      </c>
      <c r="H172" s="31">
        <v>0.5</v>
      </c>
      <c r="I172" s="35" t="s">
        <v>6490</v>
      </c>
      <c r="J172" s="35">
        <v>50</v>
      </c>
      <c r="K172" s="35">
        <v>50</v>
      </c>
      <c r="L172" s="35">
        <v>50</v>
      </c>
      <c r="M172" s="35">
        <v>100</v>
      </c>
      <c r="N172" s="35">
        <v>100</v>
      </c>
      <c r="O172" s="35">
        <v>50</v>
      </c>
      <c r="P172" s="31">
        <v>100</v>
      </c>
      <c r="Q172" s="30">
        <v>0</v>
      </c>
    </row>
    <row r="173" spans="1:17" x14ac:dyDescent="0.25">
      <c r="A173" s="36" t="s">
        <v>49</v>
      </c>
      <c r="B173" s="35">
        <v>2025</v>
      </c>
      <c r="C173" s="35">
        <v>2026</v>
      </c>
      <c r="D173" s="33">
        <v>64.5</v>
      </c>
      <c r="E173" s="31" t="s">
        <v>6490</v>
      </c>
      <c r="F173" s="33">
        <v>64.5</v>
      </c>
      <c r="G173" s="31">
        <v>1</v>
      </c>
      <c r="H173" s="31">
        <v>0.5</v>
      </c>
      <c r="I173" s="35" t="s">
        <v>6490</v>
      </c>
      <c r="J173" s="35">
        <v>50</v>
      </c>
      <c r="K173" s="35">
        <v>50</v>
      </c>
      <c r="L173" s="35">
        <v>50</v>
      </c>
      <c r="M173" s="35">
        <v>100</v>
      </c>
      <c r="N173" s="35">
        <v>100</v>
      </c>
      <c r="O173" s="35">
        <v>50</v>
      </c>
      <c r="P173" s="31">
        <v>80</v>
      </c>
      <c r="Q173" s="30">
        <v>0</v>
      </c>
    </row>
    <row r="174" spans="1:17" x14ac:dyDescent="0.25">
      <c r="A174" s="36" t="s">
        <v>2437</v>
      </c>
      <c r="B174" s="35">
        <v>2025</v>
      </c>
      <c r="C174" s="35">
        <v>2026</v>
      </c>
      <c r="D174" s="33">
        <v>59</v>
      </c>
      <c r="E174" s="31" t="s">
        <v>6490</v>
      </c>
      <c r="F174" s="33">
        <v>59</v>
      </c>
      <c r="G174" s="31">
        <v>1.5</v>
      </c>
      <c r="H174" s="31">
        <v>0.5</v>
      </c>
      <c r="I174" s="35" t="s">
        <v>6490</v>
      </c>
      <c r="J174" s="35">
        <v>50</v>
      </c>
      <c r="K174" s="35">
        <v>50</v>
      </c>
      <c r="L174" s="35" t="s">
        <v>6490</v>
      </c>
      <c r="M174" s="35">
        <v>50</v>
      </c>
      <c r="N174" s="35">
        <v>50</v>
      </c>
      <c r="O174" s="35">
        <v>50</v>
      </c>
      <c r="P174" s="35" t="s">
        <v>6523</v>
      </c>
      <c r="Q174" s="30">
        <v>0</v>
      </c>
    </row>
    <row r="175" spans="1:17" x14ac:dyDescent="0.25">
      <c r="A175" s="36" t="s">
        <v>52</v>
      </c>
      <c r="B175" s="35" t="s">
        <v>6491</v>
      </c>
      <c r="C175" s="35" t="s">
        <v>6524</v>
      </c>
      <c r="D175" s="33">
        <v>78.5</v>
      </c>
      <c r="E175" s="34">
        <v>0</v>
      </c>
      <c r="F175" s="33">
        <v>78.5</v>
      </c>
      <c r="G175" s="31">
        <v>1.5</v>
      </c>
      <c r="H175" s="31">
        <v>0.5</v>
      </c>
      <c r="I175" s="32" t="s">
        <v>6490</v>
      </c>
      <c r="J175" s="32">
        <v>50</v>
      </c>
      <c r="K175" s="32">
        <v>100</v>
      </c>
      <c r="L175" s="32">
        <v>100</v>
      </c>
      <c r="M175" s="32">
        <v>100</v>
      </c>
      <c r="N175" s="32">
        <v>100</v>
      </c>
      <c r="O175" s="32">
        <v>50</v>
      </c>
      <c r="P175" s="31">
        <v>90</v>
      </c>
      <c r="Q175" s="49">
        <v>14</v>
      </c>
    </row>
    <row r="176" spans="1:17" x14ac:dyDescent="0.25">
      <c r="A176" s="36" t="s">
        <v>53</v>
      </c>
      <c r="B176" s="35">
        <v>2025</v>
      </c>
      <c r="C176" s="35">
        <v>2026</v>
      </c>
      <c r="D176" s="33">
        <v>72</v>
      </c>
      <c r="E176" s="31" t="s">
        <v>6490</v>
      </c>
      <c r="F176" s="33">
        <v>72</v>
      </c>
      <c r="G176" s="31">
        <v>1.2</v>
      </c>
      <c r="H176" s="31">
        <v>0.5</v>
      </c>
      <c r="I176" s="35" t="s">
        <v>6490</v>
      </c>
      <c r="J176" s="35">
        <v>50</v>
      </c>
      <c r="K176" s="35" t="s">
        <v>6490</v>
      </c>
      <c r="L176" s="35" t="s">
        <v>6490</v>
      </c>
      <c r="M176" s="35">
        <v>100</v>
      </c>
      <c r="N176" s="35">
        <v>100</v>
      </c>
      <c r="O176" s="35">
        <v>50</v>
      </c>
      <c r="P176" s="31">
        <v>100</v>
      </c>
      <c r="Q176" s="30">
        <v>0</v>
      </c>
    </row>
    <row r="177" spans="1:17" x14ac:dyDescent="0.25">
      <c r="A177" s="36" t="s">
        <v>2592</v>
      </c>
      <c r="B177" s="35">
        <v>2025</v>
      </c>
      <c r="C177" s="35">
        <v>2027</v>
      </c>
      <c r="D177" s="33">
        <v>70.5</v>
      </c>
      <c r="E177" s="31" t="s">
        <v>6490</v>
      </c>
      <c r="F177" s="33">
        <v>70.5</v>
      </c>
      <c r="G177" s="31">
        <v>1.25</v>
      </c>
      <c r="H177" s="31">
        <v>0.5</v>
      </c>
      <c r="I177" s="35" t="s">
        <v>6490</v>
      </c>
      <c r="J177" s="35">
        <v>50</v>
      </c>
      <c r="K177" s="35">
        <v>100</v>
      </c>
      <c r="L177" s="35" t="s">
        <v>6490</v>
      </c>
      <c r="M177" s="35">
        <v>100</v>
      </c>
      <c r="N177" s="35">
        <v>100</v>
      </c>
      <c r="O177" s="35">
        <v>50</v>
      </c>
      <c r="P177" s="31">
        <v>150</v>
      </c>
      <c r="Q177" s="30">
        <v>0</v>
      </c>
    </row>
    <row r="178" spans="1:17" x14ac:dyDescent="0.25">
      <c r="A178" s="48"/>
      <c r="B178" s="35"/>
      <c r="C178" s="35"/>
      <c r="D178" s="33"/>
      <c r="E178" s="33"/>
      <c r="F178" s="33"/>
      <c r="G178" s="31"/>
      <c r="H178" s="31"/>
      <c r="I178" s="35"/>
      <c r="J178" s="35"/>
      <c r="K178" s="35"/>
      <c r="L178" s="35"/>
      <c r="M178" s="35"/>
      <c r="N178" s="35"/>
      <c r="O178" s="35"/>
      <c r="P178" s="35"/>
      <c r="Q178" s="46"/>
    </row>
    <row r="179" spans="1:17" x14ac:dyDescent="0.25">
      <c r="A179" s="47" t="s">
        <v>6525</v>
      </c>
      <c r="B179" s="35"/>
      <c r="C179" s="35"/>
      <c r="D179" s="33"/>
      <c r="E179" s="33"/>
      <c r="F179" s="33"/>
      <c r="G179" s="31"/>
      <c r="H179" s="31"/>
      <c r="I179" s="35"/>
      <c r="J179" s="35"/>
      <c r="K179" s="35"/>
      <c r="L179" s="35"/>
      <c r="M179" s="35"/>
      <c r="N179" s="35"/>
      <c r="O179" s="35"/>
      <c r="P179" s="35"/>
      <c r="Q179" s="46"/>
    </row>
    <row r="180" spans="1:17" x14ac:dyDescent="0.25">
      <c r="A180" s="36" t="s">
        <v>32</v>
      </c>
      <c r="B180" s="35">
        <v>2021</v>
      </c>
      <c r="C180" s="35">
        <v>2026</v>
      </c>
      <c r="D180" s="33">
        <v>72</v>
      </c>
      <c r="E180" s="33" t="s">
        <v>6490</v>
      </c>
      <c r="F180" s="33">
        <v>72</v>
      </c>
      <c r="G180" s="31">
        <v>1.5</v>
      </c>
      <c r="H180" s="31">
        <v>0.5</v>
      </c>
      <c r="I180" s="35" t="s">
        <v>6490</v>
      </c>
      <c r="J180" s="35">
        <v>50</v>
      </c>
      <c r="K180" s="35">
        <v>100</v>
      </c>
      <c r="L180" s="35">
        <v>50</v>
      </c>
      <c r="M180" s="35">
        <v>100</v>
      </c>
      <c r="N180" s="35">
        <v>100</v>
      </c>
      <c r="O180" s="35">
        <v>50</v>
      </c>
      <c r="P180" s="31">
        <v>100</v>
      </c>
      <c r="Q180" s="49">
        <v>5</v>
      </c>
    </row>
    <row r="181" spans="1:17" x14ac:dyDescent="0.25">
      <c r="A181" s="36" t="s">
        <v>36</v>
      </c>
      <c r="B181" s="35">
        <v>2024</v>
      </c>
      <c r="C181" s="35">
        <v>2026</v>
      </c>
      <c r="D181" s="33">
        <v>62.5</v>
      </c>
      <c r="E181" s="33" t="s">
        <v>6490</v>
      </c>
      <c r="F181" s="33">
        <v>62.5</v>
      </c>
      <c r="G181" s="31">
        <v>1.5</v>
      </c>
      <c r="H181" s="31">
        <v>0.5</v>
      </c>
      <c r="I181" s="35" t="s">
        <v>6490</v>
      </c>
      <c r="J181" s="35">
        <v>50</v>
      </c>
      <c r="K181" s="35">
        <v>100</v>
      </c>
      <c r="L181" s="35" t="s">
        <v>6490</v>
      </c>
      <c r="M181" s="35">
        <v>100</v>
      </c>
      <c r="N181" s="35">
        <v>100</v>
      </c>
      <c r="O181" s="35">
        <v>50</v>
      </c>
      <c r="P181" s="31">
        <v>100</v>
      </c>
      <c r="Q181" s="49">
        <v>0</v>
      </c>
    </row>
    <row r="182" spans="1:17" x14ac:dyDescent="0.25">
      <c r="A182" s="36" t="s">
        <v>1231</v>
      </c>
      <c r="B182" s="35">
        <v>2025</v>
      </c>
      <c r="C182" s="35">
        <v>2027</v>
      </c>
      <c r="D182" s="33">
        <v>67.5</v>
      </c>
      <c r="E182" s="33" t="s">
        <v>6490</v>
      </c>
      <c r="F182" s="33">
        <v>67.5</v>
      </c>
      <c r="G182" s="31">
        <v>1</v>
      </c>
      <c r="H182" s="31">
        <v>0.5</v>
      </c>
      <c r="I182" s="35" t="s">
        <v>6490</v>
      </c>
      <c r="J182" s="35">
        <v>50</v>
      </c>
      <c r="K182" s="35">
        <v>100</v>
      </c>
      <c r="L182" s="35" t="s">
        <v>6490</v>
      </c>
      <c r="M182" s="35">
        <v>100</v>
      </c>
      <c r="N182" s="35">
        <v>100</v>
      </c>
      <c r="O182" s="35">
        <v>50</v>
      </c>
      <c r="P182" s="31">
        <v>75</v>
      </c>
      <c r="Q182" s="49">
        <v>0</v>
      </c>
    </row>
    <row r="183" spans="1:17" x14ac:dyDescent="0.25">
      <c r="A183" s="36" t="s">
        <v>51</v>
      </c>
      <c r="B183" s="35" t="s">
        <v>6491</v>
      </c>
      <c r="C183" s="35" t="s">
        <v>6492</v>
      </c>
      <c r="D183" s="33">
        <v>69</v>
      </c>
      <c r="E183" s="34">
        <v>0</v>
      </c>
      <c r="F183" s="33">
        <v>69</v>
      </c>
      <c r="G183" s="31">
        <v>1</v>
      </c>
      <c r="H183" s="31">
        <v>0.5</v>
      </c>
      <c r="I183" s="32" t="s">
        <v>6490</v>
      </c>
      <c r="J183" s="32">
        <v>50</v>
      </c>
      <c r="K183" s="32">
        <v>100</v>
      </c>
      <c r="L183" s="32" t="s">
        <v>6490</v>
      </c>
      <c r="M183" s="32">
        <v>100</v>
      </c>
      <c r="N183" s="32">
        <v>100</v>
      </c>
      <c r="O183" s="32">
        <v>50</v>
      </c>
      <c r="P183" s="31">
        <v>100</v>
      </c>
      <c r="Q183" s="49">
        <v>10</v>
      </c>
    </row>
    <row r="184" spans="1:17" x14ac:dyDescent="0.25">
      <c r="A184" s="36" t="s">
        <v>2407</v>
      </c>
      <c r="B184" s="35" t="s">
        <v>6494</v>
      </c>
      <c r="C184" s="35" t="s">
        <v>6492</v>
      </c>
      <c r="D184" s="33">
        <v>71</v>
      </c>
      <c r="E184" s="34">
        <v>0</v>
      </c>
      <c r="F184" s="33">
        <v>71</v>
      </c>
      <c r="G184" s="31">
        <v>1</v>
      </c>
      <c r="H184" s="31" t="s">
        <v>6490</v>
      </c>
      <c r="I184" s="32" t="s">
        <v>6490</v>
      </c>
      <c r="J184" s="32">
        <v>50</v>
      </c>
      <c r="K184" s="32">
        <v>50</v>
      </c>
      <c r="L184" s="32">
        <v>50</v>
      </c>
      <c r="M184" s="32">
        <v>100</v>
      </c>
      <c r="N184" s="32">
        <v>100</v>
      </c>
      <c r="O184" s="32">
        <v>50</v>
      </c>
      <c r="P184" s="31">
        <v>60</v>
      </c>
      <c r="Q184" s="49">
        <v>10</v>
      </c>
    </row>
    <row r="185" spans="1:17" x14ac:dyDescent="0.25">
      <c r="A185" s="36" t="s">
        <v>55</v>
      </c>
      <c r="B185" s="35">
        <v>2025</v>
      </c>
      <c r="C185" s="35">
        <v>2027</v>
      </c>
      <c r="D185" s="33">
        <v>54</v>
      </c>
      <c r="E185" s="33" t="s">
        <v>6490</v>
      </c>
      <c r="F185" s="33">
        <v>54</v>
      </c>
      <c r="G185" s="31">
        <v>0.7</v>
      </c>
      <c r="H185" s="31">
        <v>0.5</v>
      </c>
      <c r="I185" s="35" t="s">
        <v>6490</v>
      </c>
      <c r="J185" s="35">
        <v>50</v>
      </c>
      <c r="K185" s="35" t="s">
        <v>6490</v>
      </c>
      <c r="L185" s="35" t="s">
        <v>6490</v>
      </c>
      <c r="M185" s="35">
        <v>100</v>
      </c>
      <c r="N185" s="35">
        <v>100</v>
      </c>
      <c r="O185" s="35">
        <v>50</v>
      </c>
      <c r="P185" s="31">
        <v>100</v>
      </c>
      <c r="Q185" s="49">
        <v>0</v>
      </c>
    </row>
    <row r="186" spans="1:17" x14ac:dyDescent="0.25">
      <c r="A186" s="36" t="s">
        <v>3503</v>
      </c>
      <c r="B186" s="35">
        <v>2025</v>
      </c>
      <c r="C186" s="35">
        <v>2026</v>
      </c>
      <c r="D186" s="33">
        <v>74.5</v>
      </c>
      <c r="E186" s="33" t="s">
        <v>6490</v>
      </c>
      <c r="F186" s="33">
        <v>74.5</v>
      </c>
      <c r="G186" s="31">
        <v>1</v>
      </c>
      <c r="H186" s="31">
        <v>0.5</v>
      </c>
      <c r="I186" s="35" t="s">
        <v>6490</v>
      </c>
      <c r="J186" s="35">
        <v>50</v>
      </c>
      <c r="K186" s="35" t="s">
        <v>6490</v>
      </c>
      <c r="L186" s="35" t="s">
        <v>6490</v>
      </c>
      <c r="M186" s="35">
        <v>100</v>
      </c>
      <c r="N186" s="35">
        <v>100</v>
      </c>
      <c r="O186" s="35">
        <v>50</v>
      </c>
      <c r="P186" s="31">
        <v>100</v>
      </c>
      <c r="Q186" s="49">
        <v>0</v>
      </c>
    </row>
    <row r="187" spans="1:17" x14ac:dyDescent="0.25">
      <c r="A187" s="36" t="s">
        <v>3682</v>
      </c>
      <c r="B187" s="35">
        <v>2025</v>
      </c>
      <c r="C187" s="35">
        <v>2026</v>
      </c>
      <c r="D187" s="33">
        <v>74.5</v>
      </c>
      <c r="E187" s="33" t="s">
        <v>6490</v>
      </c>
      <c r="F187" s="33">
        <v>74.5</v>
      </c>
      <c r="G187" s="31">
        <v>1</v>
      </c>
      <c r="H187" s="31">
        <v>0.5</v>
      </c>
      <c r="I187" s="35" t="s">
        <v>6490</v>
      </c>
      <c r="J187" s="35">
        <v>50</v>
      </c>
      <c r="K187" s="35">
        <v>100</v>
      </c>
      <c r="L187" s="35">
        <v>100</v>
      </c>
      <c r="M187" s="35">
        <v>100</v>
      </c>
      <c r="N187" s="35">
        <v>100</v>
      </c>
      <c r="O187" s="35">
        <v>50</v>
      </c>
      <c r="P187" s="31">
        <v>80</v>
      </c>
      <c r="Q187" s="49">
        <v>0</v>
      </c>
    </row>
    <row r="188" spans="1:17" x14ac:dyDescent="0.25">
      <c r="A188" s="36" t="s">
        <v>4747</v>
      </c>
      <c r="B188" s="35" t="s">
        <v>6494</v>
      </c>
      <c r="C188" s="35" t="s">
        <v>6495</v>
      </c>
      <c r="D188" s="33">
        <v>69</v>
      </c>
      <c r="E188" s="34">
        <v>0</v>
      </c>
      <c r="F188" s="33">
        <v>69</v>
      </c>
      <c r="G188" s="31">
        <v>1.1000000000000001</v>
      </c>
      <c r="H188" s="31">
        <v>0.5</v>
      </c>
      <c r="I188" s="32" t="s">
        <v>6490</v>
      </c>
      <c r="J188" s="32">
        <v>50</v>
      </c>
      <c r="K188" s="32" t="s">
        <v>6490</v>
      </c>
      <c r="L188" s="32" t="s">
        <v>6490</v>
      </c>
      <c r="M188" s="32">
        <v>100</v>
      </c>
      <c r="N188" s="32">
        <v>100</v>
      </c>
      <c r="O188" s="32">
        <v>50</v>
      </c>
      <c r="P188" s="31" t="s">
        <v>6499</v>
      </c>
      <c r="Q188" s="49">
        <v>12</v>
      </c>
    </row>
    <row r="189" spans="1:17" x14ac:dyDescent="0.25">
      <c r="A189" s="36" t="s">
        <v>4838</v>
      </c>
      <c r="B189" s="35">
        <v>2025</v>
      </c>
      <c r="C189" s="35">
        <v>2026</v>
      </c>
      <c r="D189" s="33">
        <v>66.5</v>
      </c>
      <c r="E189" s="33" t="s">
        <v>6490</v>
      </c>
      <c r="F189" s="33">
        <v>66.5</v>
      </c>
      <c r="G189" s="31">
        <v>0.7</v>
      </c>
      <c r="H189" s="31">
        <v>0.5</v>
      </c>
      <c r="I189" s="35" t="s">
        <v>6490</v>
      </c>
      <c r="J189" s="35">
        <v>50</v>
      </c>
      <c r="K189" s="35" t="s">
        <v>6490</v>
      </c>
      <c r="L189" s="35" t="s">
        <v>6490</v>
      </c>
      <c r="M189" s="35">
        <v>100</v>
      </c>
      <c r="N189" s="35">
        <v>100</v>
      </c>
      <c r="O189" s="35">
        <v>50</v>
      </c>
      <c r="P189" s="31">
        <v>100</v>
      </c>
      <c r="Q189" s="49">
        <v>0</v>
      </c>
    </row>
    <row r="190" spans="1:17" x14ac:dyDescent="0.25">
      <c r="A190" s="36" t="s">
        <v>5058</v>
      </c>
      <c r="B190" s="35">
        <v>2025</v>
      </c>
      <c r="C190" s="35">
        <v>2026</v>
      </c>
      <c r="D190" s="33">
        <v>68.5</v>
      </c>
      <c r="E190" s="33" t="s">
        <v>6490</v>
      </c>
      <c r="F190" s="33">
        <v>68.5</v>
      </c>
      <c r="G190" s="31">
        <v>1.1499999999999999</v>
      </c>
      <c r="H190" s="31">
        <v>0.5</v>
      </c>
      <c r="I190" s="35" t="s">
        <v>6490</v>
      </c>
      <c r="J190" s="35">
        <v>50</v>
      </c>
      <c r="K190" s="35" t="s">
        <v>6490</v>
      </c>
      <c r="L190" s="35" t="s">
        <v>6490</v>
      </c>
      <c r="M190" s="35">
        <v>100</v>
      </c>
      <c r="N190" s="35">
        <v>100</v>
      </c>
      <c r="O190" s="35">
        <v>50</v>
      </c>
      <c r="P190" s="31">
        <v>100</v>
      </c>
      <c r="Q190" s="49">
        <v>0</v>
      </c>
    </row>
    <row r="191" spans="1:17" x14ac:dyDescent="0.25">
      <c r="A191" s="36" t="s">
        <v>59</v>
      </c>
      <c r="B191" s="35">
        <v>2025</v>
      </c>
      <c r="C191" s="35">
        <v>2026</v>
      </c>
      <c r="D191" s="33">
        <v>61</v>
      </c>
      <c r="E191" s="33" t="s">
        <v>6490</v>
      </c>
      <c r="F191" s="33">
        <v>61</v>
      </c>
      <c r="G191" s="31">
        <v>0.7</v>
      </c>
      <c r="H191" s="31">
        <v>0.5</v>
      </c>
      <c r="I191" s="35" t="s">
        <v>6490</v>
      </c>
      <c r="J191" s="35">
        <v>50</v>
      </c>
      <c r="K191" s="35">
        <v>50</v>
      </c>
      <c r="L191" s="35" t="s">
        <v>6490</v>
      </c>
      <c r="M191" s="35">
        <v>100</v>
      </c>
      <c r="N191" s="35">
        <v>100</v>
      </c>
      <c r="O191" s="35">
        <v>50</v>
      </c>
      <c r="P191" s="31">
        <v>100</v>
      </c>
      <c r="Q191" s="49">
        <v>0</v>
      </c>
    </row>
    <row r="192" spans="1:17" x14ac:dyDescent="0.25">
      <c r="A192" s="36" t="s">
        <v>5273</v>
      </c>
      <c r="B192" s="35" t="s">
        <v>6494</v>
      </c>
      <c r="C192" s="35" t="s">
        <v>6492</v>
      </c>
      <c r="D192" s="33">
        <v>62</v>
      </c>
      <c r="E192" s="34">
        <v>0</v>
      </c>
      <c r="F192" s="33">
        <v>62</v>
      </c>
      <c r="G192" s="31">
        <v>1</v>
      </c>
      <c r="H192" s="31">
        <v>0.5</v>
      </c>
      <c r="I192" s="32" t="s">
        <v>6490</v>
      </c>
      <c r="J192" s="32">
        <v>50</v>
      </c>
      <c r="K192" s="32" t="s">
        <v>6490</v>
      </c>
      <c r="L192" s="32" t="s">
        <v>6490</v>
      </c>
      <c r="M192" s="32" t="s">
        <v>6490</v>
      </c>
      <c r="N192" s="32">
        <v>100</v>
      </c>
      <c r="O192" s="32">
        <v>50</v>
      </c>
      <c r="P192" s="31">
        <v>100</v>
      </c>
      <c r="Q192" s="30">
        <v>0</v>
      </c>
    </row>
    <row r="193" spans="1:17" x14ac:dyDescent="0.25">
      <c r="A193" s="36" t="s">
        <v>64</v>
      </c>
      <c r="B193" s="35">
        <v>2025</v>
      </c>
      <c r="C193" s="35">
        <v>2027</v>
      </c>
      <c r="D193" s="33">
        <v>69</v>
      </c>
      <c r="E193" s="33" t="s">
        <v>6490</v>
      </c>
      <c r="F193" s="33">
        <v>69</v>
      </c>
      <c r="G193" s="31">
        <v>1.2</v>
      </c>
      <c r="H193" s="31">
        <v>0.5</v>
      </c>
      <c r="I193" s="35" t="s">
        <v>6490</v>
      </c>
      <c r="J193" s="35">
        <v>50</v>
      </c>
      <c r="K193" s="35">
        <v>100</v>
      </c>
      <c r="L193" s="35">
        <v>100</v>
      </c>
      <c r="M193" s="35">
        <v>100</v>
      </c>
      <c r="N193" s="35">
        <v>100</v>
      </c>
      <c r="O193" s="35">
        <v>50</v>
      </c>
      <c r="P193" s="31">
        <v>70</v>
      </c>
      <c r="Q193" s="49">
        <v>15</v>
      </c>
    </row>
    <row r="194" spans="1:17" x14ac:dyDescent="0.25">
      <c r="A194" s="36" t="s">
        <v>5624</v>
      </c>
      <c r="B194" s="35" t="s">
        <v>6494</v>
      </c>
      <c r="C194" s="35" t="s">
        <v>6492</v>
      </c>
      <c r="D194" s="33">
        <v>69</v>
      </c>
      <c r="E194" s="34">
        <v>0</v>
      </c>
      <c r="F194" s="33">
        <v>69</v>
      </c>
      <c r="G194" s="31">
        <v>1</v>
      </c>
      <c r="H194" s="31">
        <v>0.5</v>
      </c>
      <c r="I194" s="32" t="s">
        <v>6490</v>
      </c>
      <c r="J194" s="32">
        <v>50</v>
      </c>
      <c r="K194" s="32" t="s">
        <v>6490</v>
      </c>
      <c r="L194" s="32" t="s">
        <v>6490</v>
      </c>
      <c r="M194" s="32">
        <v>100</v>
      </c>
      <c r="N194" s="32">
        <v>100</v>
      </c>
      <c r="O194" s="32">
        <v>50</v>
      </c>
      <c r="P194" s="31" t="s">
        <v>6526</v>
      </c>
      <c r="Q194" s="49">
        <v>5</v>
      </c>
    </row>
    <row r="195" spans="1:17" x14ac:dyDescent="0.25">
      <c r="A195" s="36" t="s">
        <v>5563</v>
      </c>
      <c r="B195" s="35">
        <v>2025</v>
      </c>
      <c r="C195" s="35">
        <v>2026</v>
      </c>
      <c r="D195" s="33">
        <v>74</v>
      </c>
      <c r="E195" s="33" t="s">
        <v>6490</v>
      </c>
      <c r="F195" s="33">
        <v>74</v>
      </c>
      <c r="G195" s="31">
        <v>1.2</v>
      </c>
      <c r="H195" s="31">
        <v>0.5</v>
      </c>
      <c r="I195" s="35" t="s">
        <v>6490</v>
      </c>
      <c r="J195" s="35">
        <v>50</v>
      </c>
      <c r="K195" s="35">
        <v>100</v>
      </c>
      <c r="L195" s="35">
        <v>60</v>
      </c>
      <c r="M195" s="35">
        <v>100</v>
      </c>
      <c r="N195" s="35">
        <v>100</v>
      </c>
      <c r="O195" s="35">
        <v>50</v>
      </c>
      <c r="P195" s="31">
        <v>150</v>
      </c>
      <c r="Q195" s="49">
        <v>0</v>
      </c>
    </row>
    <row r="196" spans="1:17" x14ac:dyDescent="0.25">
      <c r="A196" s="48"/>
      <c r="B196" s="35"/>
      <c r="C196" s="35"/>
      <c r="D196" s="33"/>
      <c r="E196" s="33"/>
      <c r="F196" s="33"/>
      <c r="G196" s="31"/>
      <c r="H196" s="31"/>
      <c r="I196" s="35"/>
      <c r="J196" s="35"/>
      <c r="K196" s="35"/>
      <c r="L196" s="35"/>
      <c r="M196" s="35"/>
      <c r="N196" s="35"/>
      <c r="O196" s="35"/>
      <c r="P196" s="35"/>
      <c r="Q196" s="46"/>
    </row>
    <row r="197" spans="1:17" x14ac:dyDescent="0.25">
      <c r="A197" s="47" t="s">
        <v>6527</v>
      </c>
      <c r="B197" s="35"/>
      <c r="C197" s="35"/>
      <c r="D197" s="33"/>
      <c r="E197" s="33"/>
      <c r="F197" s="33"/>
      <c r="G197" s="31"/>
      <c r="H197" s="31"/>
      <c r="I197" s="35"/>
      <c r="J197" s="35"/>
      <c r="K197" s="35"/>
      <c r="L197" s="35"/>
      <c r="M197" s="35"/>
      <c r="N197" s="35"/>
      <c r="O197" s="35"/>
      <c r="P197" s="35"/>
      <c r="Q197" s="46"/>
    </row>
    <row r="198" spans="1:17" x14ac:dyDescent="0.25">
      <c r="A198" s="36" t="s">
        <v>88</v>
      </c>
      <c r="B198" s="35">
        <v>2025</v>
      </c>
      <c r="C198" s="35">
        <v>2026</v>
      </c>
      <c r="D198" s="33">
        <v>60</v>
      </c>
      <c r="E198" s="33" t="s">
        <v>6490</v>
      </c>
      <c r="F198" s="33">
        <v>60</v>
      </c>
      <c r="G198" s="31">
        <v>1.1000000000000001</v>
      </c>
      <c r="H198" s="31">
        <v>0.5</v>
      </c>
      <c r="I198" s="35" t="s">
        <v>6490</v>
      </c>
      <c r="J198" s="35">
        <v>50</v>
      </c>
      <c r="K198" s="35">
        <v>50</v>
      </c>
      <c r="L198" s="35">
        <v>50</v>
      </c>
      <c r="M198" s="35">
        <v>100</v>
      </c>
      <c r="N198" s="35">
        <v>100</v>
      </c>
      <c r="O198" s="35">
        <v>50</v>
      </c>
      <c r="P198" s="31">
        <v>80</v>
      </c>
      <c r="Q198" s="49">
        <v>10</v>
      </c>
    </row>
    <row r="199" spans="1:17" x14ac:dyDescent="0.25">
      <c r="A199" s="36" t="s">
        <v>198</v>
      </c>
      <c r="B199" s="45" t="s">
        <v>6505</v>
      </c>
      <c r="C199" s="45">
        <v>2026</v>
      </c>
      <c r="D199" s="44">
        <v>65</v>
      </c>
      <c r="E199" s="43" t="s">
        <v>6490</v>
      </c>
      <c r="F199" s="42">
        <f>+D199</f>
        <v>65</v>
      </c>
      <c r="G199" s="41">
        <v>1.2</v>
      </c>
      <c r="H199" s="38" t="s">
        <v>6490</v>
      </c>
      <c r="I199" s="40" t="s">
        <v>6490</v>
      </c>
      <c r="J199" s="39">
        <v>50</v>
      </c>
      <c r="K199" s="39">
        <v>50</v>
      </c>
      <c r="L199" s="39">
        <v>50</v>
      </c>
      <c r="M199" s="39">
        <v>100</v>
      </c>
      <c r="N199" s="39">
        <v>100</v>
      </c>
      <c r="O199" s="39">
        <v>50</v>
      </c>
      <c r="P199" s="38">
        <v>50</v>
      </c>
      <c r="Q199" s="37" t="s">
        <v>6528</v>
      </c>
    </row>
    <row r="200" spans="1:17" x14ac:dyDescent="0.25">
      <c r="A200" s="36" t="s">
        <v>249</v>
      </c>
      <c r="B200" s="35">
        <v>2025</v>
      </c>
      <c r="C200" s="35">
        <v>2026</v>
      </c>
      <c r="D200" s="33">
        <v>67</v>
      </c>
      <c r="E200" s="33">
        <v>1</v>
      </c>
      <c r="F200" s="33">
        <v>68</v>
      </c>
      <c r="G200" s="31">
        <v>1</v>
      </c>
      <c r="H200" s="31">
        <v>0.5</v>
      </c>
      <c r="I200" s="35" t="s">
        <v>6490</v>
      </c>
      <c r="J200" s="35">
        <v>50</v>
      </c>
      <c r="K200" s="35">
        <v>50</v>
      </c>
      <c r="L200" s="35">
        <v>50</v>
      </c>
      <c r="M200" s="35">
        <v>100</v>
      </c>
      <c r="N200" s="35">
        <v>100</v>
      </c>
      <c r="O200" s="35">
        <v>50</v>
      </c>
      <c r="P200" s="31">
        <v>100</v>
      </c>
      <c r="Q200" s="49">
        <v>0</v>
      </c>
    </row>
    <row r="201" spans="1:17" x14ac:dyDescent="0.25">
      <c r="A201" s="36" t="s">
        <v>352</v>
      </c>
      <c r="B201" s="35">
        <v>2024</v>
      </c>
      <c r="C201" s="35">
        <v>2026</v>
      </c>
      <c r="D201" s="33">
        <v>73</v>
      </c>
      <c r="E201" s="33" t="s">
        <v>6490</v>
      </c>
      <c r="F201" s="33">
        <v>73</v>
      </c>
      <c r="G201" s="31">
        <v>0.5</v>
      </c>
      <c r="H201" s="31">
        <v>0.5</v>
      </c>
      <c r="I201" s="35" t="s">
        <v>6490</v>
      </c>
      <c r="J201" s="35">
        <v>50</v>
      </c>
      <c r="K201" s="35" t="s">
        <v>6490</v>
      </c>
      <c r="L201" s="35" t="s">
        <v>6490</v>
      </c>
      <c r="M201" s="35">
        <v>100</v>
      </c>
      <c r="N201" s="35">
        <v>100</v>
      </c>
      <c r="O201" s="35">
        <v>50</v>
      </c>
      <c r="P201" s="35" t="s">
        <v>6529</v>
      </c>
      <c r="Q201" s="49">
        <v>0</v>
      </c>
    </row>
    <row r="202" spans="1:17" x14ac:dyDescent="0.25">
      <c r="A202" s="36" t="s">
        <v>475</v>
      </c>
      <c r="B202" s="35" t="s">
        <v>6494</v>
      </c>
      <c r="C202" s="35" t="s">
        <v>6492</v>
      </c>
      <c r="D202" s="33">
        <v>75.5</v>
      </c>
      <c r="E202" s="34">
        <v>0</v>
      </c>
      <c r="F202" s="33">
        <v>75.5</v>
      </c>
      <c r="G202" s="31">
        <v>1</v>
      </c>
      <c r="H202" s="31" t="s">
        <v>6490</v>
      </c>
      <c r="I202" s="32" t="s">
        <v>6490</v>
      </c>
      <c r="J202" s="32">
        <v>50</v>
      </c>
      <c r="K202" s="32">
        <v>50</v>
      </c>
      <c r="L202" s="32">
        <v>50</v>
      </c>
      <c r="M202" s="32">
        <v>100</v>
      </c>
      <c r="N202" s="32">
        <v>100</v>
      </c>
      <c r="O202" s="32">
        <v>50</v>
      </c>
      <c r="P202" s="31" t="s">
        <v>6503</v>
      </c>
      <c r="Q202" s="30">
        <v>0</v>
      </c>
    </row>
    <row r="203" spans="1:17" x14ac:dyDescent="0.25">
      <c r="A203" s="36" t="s">
        <v>622</v>
      </c>
      <c r="B203" s="35">
        <v>2025</v>
      </c>
      <c r="C203" s="35">
        <v>2026</v>
      </c>
      <c r="D203" s="33">
        <v>69</v>
      </c>
      <c r="E203" s="33" t="s">
        <v>6490</v>
      </c>
      <c r="F203" s="33">
        <v>69</v>
      </c>
      <c r="G203" s="31">
        <v>0.57999999999999996</v>
      </c>
      <c r="H203" s="31" t="s">
        <v>6490</v>
      </c>
      <c r="I203" s="35" t="s">
        <v>6490</v>
      </c>
      <c r="J203" s="35">
        <v>50</v>
      </c>
      <c r="K203" s="35">
        <v>50</v>
      </c>
      <c r="L203" s="35">
        <v>50</v>
      </c>
      <c r="M203" s="35">
        <v>100</v>
      </c>
      <c r="N203" s="35">
        <v>100</v>
      </c>
      <c r="O203" s="35">
        <v>50</v>
      </c>
      <c r="P203" s="31">
        <v>100</v>
      </c>
      <c r="Q203" s="49">
        <v>10</v>
      </c>
    </row>
    <row r="204" spans="1:17" x14ac:dyDescent="0.25">
      <c r="A204" s="36" t="s">
        <v>270</v>
      </c>
      <c r="B204" s="35">
        <v>2025</v>
      </c>
      <c r="C204" s="35">
        <v>2026</v>
      </c>
      <c r="D204" s="33">
        <v>62</v>
      </c>
      <c r="E204" s="33" t="s">
        <v>6490</v>
      </c>
      <c r="F204" s="33">
        <v>62</v>
      </c>
      <c r="G204" s="31">
        <v>1.2</v>
      </c>
      <c r="H204" s="31" t="s">
        <v>6490</v>
      </c>
      <c r="I204" s="35" t="s">
        <v>6490</v>
      </c>
      <c r="J204" s="35">
        <v>50</v>
      </c>
      <c r="K204" s="35">
        <v>50</v>
      </c>
      <c r="L204" s="35">
        <v>50</v>
      </c>
      <c r="M204" s="35">
        <v>100</v>
      </c>
      <c r="N204" s="35">
        <v>100</v>
      </c>
      <c r="O204" s="35">
        <v>50</v>
      </c>
      <c r="P204" s="31">
        <v>80</v>
      </c>
      <c r="Q204" s="49">
        <v>0</v>
      </c>
    </row>
    <row r="205" spans="1:17" x14ac:dyDescent="0.25">
      <c r="A205" s="36" t="s">
        <v>40</v>
      </c>
      <c r="B205" s="35" t="s">
        <v>6494</v>
      </c>
      <c r="C205" s="35" t="s">
        <v>6492</v>
      </c>
      <c r="D205" s="33">
        <v>68</v>
      </c>
      <c r="E205" s="34">
        <v>0</v>
      </c>
      <c r="F205" s="33">
        <v>68</v>
      </c>
      <c r="G205" s="31">
        <v>1</v>
      </c>
      <c r="H205" s="31">
        <v>0.5</v>
      </c>
      <c r="I205" s="32" t="s">
        <v>6490</v>
      </c>
      <c r="J205" s="32">
        <v>50</v>
      </c>
      <c r="K205" s="32" t="s">
        <v>6490</v>
      </c>
      <c r="L205" s="32" t="s">
        <v>6490</v>
      </c>
      <c r="M205" s="32">
        <v>100</v>
      </c>
      <c r="N205" s="32">
        <v>100</v>
      </c>
      <c r="O205" s="32">
        <v>50</v>
      </c>
      <c r="P205" s="31">
        <v>40</v>
      </c>
      <c r="Q205" s="30">
        <v>0</v>
      </c>
    </row>
    <row r="206" spans="1:17" x14ac:dyDescent="0.25">
      <c r="A206" s="36" t="s">
        <v>853</v>
      </c>
      <c r="B206" s="35">
        <v>2025</v>
      </c>
      <c r="C206" s="35">
        <v>2026</v>
      </c>
      <c r="D206" s="33">
        <v>52</v>
      </c>
      <c r="E206" s="33" t="s">
        <v>6490</v>
      </c>
      <c r="F206" s="33">
        <v>52</v>
      </c>
      <c r="G206" s="31">
        <v>1</v>
      </c>
      <c r="H206" s="31">
        <v>0.5</v>
      </c>
      <c r="I206" s="35" t="s">
        <v>6490</v>
      </c>
      <c r="J206" s="35">
        <v>50</v>
      </c>
      <c r="K206" s="35">
        <v>100</v>
      </c>
      <c r="L206" s="35" t="s">
        <v>6490</v>
      </c>
      <c r="M206" s="35">
        <v>100</v>
      </c>
      <c r="N206" s="35">
        <v>100</v>
      </c>
      <c r="O206" s="35">
        <v>50</v>
      </c>
      <c r="P206" s="31">
        <v>100</v>
      </c>
      <c r="Q206" s="49">
        <v>0</v>
      </c>
    </row>
    <row r="207" spans="1:17" x14ac:dyDescent="0.25">
      <c r="A207" s="36" t="s">
        <v>1106</v>
      </c>
      <c r="B207" s="35">
        <v>2024</v>
      </c>
      <c r="C207" s="35">
        <v>2026</v>
      </c>
      <c r="D207" s="33">
        <v>77</v>
      </c>
      <c r="E207" s="33" t="s">
        <v>6490</v>
      </c>
      <c r="F207" s="33">
        <v>77</v>
      </c>
      <c r="G207" s="31">
        <v>1</v>
      </c>
      <c r="H207" s="31">
        <v>0.5</v>
      </c>
      <c r="I207" s="35" t="s">
        <v>6490</v>
      </c>
      <c r="J207" s="35">
        <v>50</v>
      </c>
      <c r="K207" s="35">
        <v>50</v>
      </c>
      <c r="L207" s="35" t="s">
        <v>6490</v>
      </c>
      <c r="M207" s="35">
        <v>75</v>
      </c>
      <c r="N207" s="35">
        <v>100</v>
      </c>
      <c r="O207" s="35" t="s">
        <v>6490</v>
      </c>
      <c r="P207" s="31">
        <v>30</v>
      </c>
      <c r="Q207" s="49">
        <v>0</v>
      </c>
    </row>
    <row r="208" spans="1:17" x14ac:dyDescent="0.25">
      <c r="A208" s="36" t="s">
        <v>1218</v>
      </c>
      <c r="B208" s="35" t="s">
        <v>6494</v>
      </c>
      <c r="C208" s="35" t="s">
        <v>6492</v>
      </c>
      <c r="D208" s="33">
        <v>70</v>
      </c>
      <c r="E208" s="34">
        <v>0</v>
      </c>
      <c r="F208" s="33">
        <v>70</v>
      </c>
      <c r="G208" s="31">
        <v>1</v>
      </c>
      <c r="H208" s="31" t="s">
        <v>6490</v>
      </c>
      <c r="I208" s="32" t="s">
        <v>6490</v>
      </c>
      <c r="J208" s="32">
        <v>50</v>
      </c>
      <c r="K208" s="32">
        <v>100</v>
      </c>
      <c r="L208" s="32">
        <v>100</v>
      </c>
      <c r="M208" s="32">
        <v>100</v>
      </c>
      <c r="N208" s="32">
        <v>100</v>
      </c>
      <c r="O208" s="32" t="s">
        <v>6490</v>
      </c>
      <c r="P208" s="31" t="s">
        <v>6499</v>
      </c>
      <c r="Q208" s="30">
        <v>0</v>
      </c>
    </row>
    <row r="209" spans="1:17" x14ac:dyDescent="0.25">
      <c r="A209" s="36" t="s">
        <v>1240</v>
      </c>
      <c r="B209" s="35" t="s">
        <v>6491</v>
      </c>
      <c r="C209" s="35" t="s">
        <v>6492</v>
      </c>
      <c r="D209" s="33">
        <v>62</v>
      </c>
      <c r="E209" s="34">
        <v>0</v>
      </c>
      <c r="F209" s="33">
        <v>62</v>
      </c>
      <c r="G209" s="31">
        <v>1</v>
      </c>
      <c r="H209" s="31">
        <v>0.5</v>
      </c>
      <c r="I209" s="32" t="s">
        <v>6490</v>
      </c>
      <c r="J209" s="32">
        <v>50</v>
      </c>
      <c r="K209" s="32">
        <v>50</v>
      </c>
      <c r="L209" s="32" t="s">
        <v>6490</v>
      </c>
      <c r="M209" s="32">
        <v>30</v>
      </c>
      <c r="N209" s="32">
        <v>100</v>
      </c>
      <c r="O209" s="32">
        <v>50</v>
      </c>
      <c r="P209" s="31" t="s">
        <v>6490</v>
      </c>
      <c r="Q209" s="30">
        <v>0</v>
      </c>
    </row>
    <row r="210" spans="1:17" x14ac:dyDescent="0.25">
      <c r="A210" s="36" t="s">
        <v>1244</v>
      </c>
      <c r="B210" s="35">
        <v>2025</v>
      </c>
      <c r="C210" s="35">
        <v>2026</v>
      </c>
      <c r="D210" s="33">
        <v>72</v>
      </c>
      <c r="E210" s="33" t="s">
        <v>6490</v>
      </c>
      <c r="F210" s="33">
        <v>72</v>
      </c>
      <c r="G210" s="31">
        <v>1</v>
      </c>
      <c r="H210" s="31">
        <v>0.5</v>
      </c>
      <c r="I210" s="35" t="s">
        <v>6490</v>
      </c>
      <c r="J210" s="35">
        <v>50</v>
      </c>
      <c r="K210" s="35">
        <v>50</v>
      </c>
      <c r="L210" s="35">
        <v>50</v>
      </c>
      <c r="M210" s="35">
        <v>50</v>
      </c>
      <c r="N210" s="35">
        <v>100</v>
      </c>
      <c r="O210" s="35">
        <v>50</v>
      </c>
      <c r="P210" s="31">
        <v>50</v>
      </c>
      <c r="Q210" s="49">
        <v>0</v>
      </c>
    </row>
    <row r="211" spans="1:17" x14ac:dyDescent="0.25">
      <c r="A211" s="36" t="s">
        <v>1410</v>
      </c>
      <c r="B211" s="35">
        <v>2025</v>
      </c>
      <c r="C211" s="35">
        <v>2026</v>
      </c>
      <c r="D211" s="33">
        <v>66</v>
      </c>
      <c r="E211" s="33" t="s">
        <v>6490</v>
      </c>
      <c r="F211" s="33">
        <v>66</v>
      </c>
      <c r="G211" s="31">
        <v>1</v>
      </c>
      <c r="H211" s="31">
        <v>0.5</v>
      </c>
      <c r="I211" s="35" t="s">
        <v>6490</v>
      </c>
      <c r="J211" s="35">
        <v>50</v>
      </c>
      <c r="K211" s="35">
        <v>100</v>
      </c>
      <c r="L211" s="35">
        <v>50</v>
      </c>
      <c r="M211" s="35">
        <v>100</v>
      </c>
      <c r="N211" s="35">
        <v>100</v>
      </c>
      <c r="O211" s="35">
        <v>50</v>
      </c>
      <c r="P211" s="35" t="s">
        <v>6499</v>
      </c>
      <c r="Q211" s="49">
        <v>0</v>
      </c>
    </row>
    <row r="212" spans="1:17" x14ac:dyDescent="0.25">
      <c r="A212" s="36" t="s">
        <v>1514</v>
      </c>
      <c r="B212" s="35">
        <v>2025</v>
      </c>
      <c r="C212" s="35">
        <v>2026</v>
      </c>
      <c r="D212" s="33">
        <v>76</v>
      </c>
      <c r="E212" s="33" t="s">
        <v>6490</v>
      </c>
      <c r="F212" s="33">
        <v>76</v>
      </c>
      <c r="G212" s="31">
        <v>1</v>
      </c>
      <c r="H212" s="31">
        <v>0.5</v>
      </c>
      <c r="I212" s="35" t="s">
        <v>6490</v>
      </c>
      <c r="J212" s="35">
        <v>50</v>
      </c>
      <c r="K212" s="35">
        <v>50</v>
      </c>
      <c r="L212" s="35">
        <v>50</v>
      </c>
      <c r="M212" s="35">
        <v>100</v>
      </c>
      <c r="N212" s="35">
        <v>100</v>
      </c>
      <c r="O212" s="35">
        <v>50</v>
      </c>
      <c r="P212" s="31">
        <v>80</v>
      </c>
      <c r="Q212" s="49">
        <v>0</v>
      </c>
    </row>
    <row r="213" spans="1:17" x14ac:dyDescent="0.25">
      <c r="A213" s="36" t="s">
        <v>1575</v>
      </c>
      <c r="B213" s="35">
        <v>2025</v>
      </c>
      <c r="C213" s="35">
        <v>2026</v>
      </c>
      <c r="D213" s="33">
        <v>63</v>
      </c>
      <c r="E213" s="33" t="s">
        <v>6490</v>
      </c>
      <c r="F213" s="33">
        <v>63</v>
      </c>
      <c r="G213" s="31">
        <v>1</v>
      </c>
      <c r="H213" s="31">
        <v>0.5</v>
      </c>
      <c r="I213" s="35" t="s">
        <v>6490</v>
      </c>
      <c r="J213" s="35">
        <v>50</v>
      </c>
      <c r="K213" s="35" t="s">
        <v>6490</v>
      </c>
      <c r="L213" s="35" t="s">
        <v>6490</v>
      </c>
      <c r="M213" s="35">
        <v>100</v>
      </c>
      <c r="N213" s="35">
        <v>100</v>
      </c>
      <c r="O213" s="35">
        <v>50</v>
      </c>
      <c r="P213" s="31">
        <v>50</v>
      </c>
      <c r="Q213" s="49">
        <v>0</v>
      </c>
    </row>
    <row r="214" spans="1:17" x14ac:dyDescent="0.25">
      <c r="A214" s="36" t="s">
        <v>46</v>
      </c>
      <c r="B214" s="35">
        <v>2024</v>
      </c>
      <c r="C214" s="35">
        <v>2026</v>
      </c>
      <c r="D214" s="33">
        <v>62</v>
      </c>
      <c r="E214" s="33" t="s">
        <v>6490</v>
      </c>
      <c r="F214" s="33">
        <v>62</v>
      </c>
      <c r="G214" s="31">
        <v>1</v>
      </c>
      <c r="H214" s="31">
        <v>0.5</v>
      </c>
      <c r="I214" s="35" t="s">
        <v>6490</v>
      </c>
      <c r="J214" s="35">
        <v>50</v>
      </c>
      <c r="K214" s="35">
        <v>100</v>
      </c>
      <c r="L214" s="35">
        <v>100</v>
      </c>
      <c r="M214" s="35">
        <v>100</v>
      </c>
      <c r="N214" s="35">
        <v>100</v>
      </c>
      <c r="O214" s="35">
        <v>50</v>
      </c>
      <c r="P214" s="31">
        <v>50</v>
      </c>
      <c r="Q214" s="49">
        <v>0</v>
      </c>
    </row>
    <row r="215" spans="1:17" x14ac:dyDescent="0.25">
      <c r="A215" s="36" t="s">
        <v>1604</v>
      </c>
      <c r="B215" s="35">
        <v>2021</v>
      </c>
      <c r="C215" s="35">
        <v>2026</v>
      </c>
      <c r="D215" s="33">
        <v>75</v>
      </c>
      <c r="E215" s="33" t="s">
        <v>6490</v>
      </c>
      <c r="F215" s="33">
        <v>75</v>
      </c>
      <c r="G215" s="31">
        <v>1</v>
      </c>
      <c r="H215" s="31" t="s">
        <v>6490</v>
      </c>
      <c r="I215" s="35" t="s">
        <v>6490</v>
      </c>
      <c r="J215" s="35">
        <v>50</v>
      </c>
      <c r="K215" s="35" t="s">
        <v>6490</v>
      </c>
      <c r="L215" s="35" t="s">
        <v>6490</v>
      </c>
      <c r="M215" s="35">
        <v>100</v>
      </c>
      <c r="N215" s="35">
        <v>100</v>
      </c>
      <c r="O215" s="35" t="s">
        <v>6490</v>
      </c>
      <c r="P215" s="31">
        <v>50</v>
      </c>
      <c r="Q215" s="49">
        <v>0</v>
      </c>
    </row>
    <row r="216" spans="1:17" x14ac:dyDescent="0.25">
      <c r="A216" s="36" t="s">
        <v>47</v>
      </c>
      <c r="B216" s="35">
        <v>2025</v>
      </c>
      <c r="C216" s="35">
        <v>2026</v>
      </c>
      <c r="D216" s="33">
        <v>60.5</v>
      </c>
      <c r="E216" s="33" t="s">
        <v>6490</v>
      </c>
      <c r="F216" s="33">
        <v>60.5</v>
      </c>
      <c r="G216" s="31">
        <v>1</v>
      </c>
      <c r="H216" s="31">
        <v>0.5</v>
      </c>
      <c r="I216" s="35" t="s">
        <v>6490</v>
      </c>
      <c r="J216" s="35">
        <v>50</v>
      </c>
      <c r="K216" s="35" t="s">
        <v>6490</v>
      </c>
      <c r="L216" s="35" t="s">
        <v>6490</v>
      </c>
      <c r="M216" s="35">
        <v>50</v>
      </c>
      <c r="N216" s="35">
        <v>100</v>
      </c>
      <c r="O216" s="35">
        <v>50</v>
      </c>
      <c r="P216" s="31">
        <v>60</v>
      </c>
      <c r="Q216" s="49">
        <v>0</v>
      </c>
    </row>
    <row r="217" spans="1:17" x14ac:dyDescent="0.25">
      <c r="A217" s="36" t="s">
        <v>1691</v>
      </c>
      <c r="B217" s="35">
        <v>2025</v>
      </c>
      <c r="C217" s="35">
        <v>2026</v>
      </c>
      <c r="D217" s="33">
        <v>66</v>
      </c>
      <c r="E217" s="33" t="s">
        <v>6490</v>
      </c>
      <c r="F217" s="33">
        <v>66</v>
      </c>
      <c r="G217" s="31">
        <v>1</v>
      </c>
      <c r="H217" s="31">
        <v>0.5</v>
      </c>
      <c r="I217" s="35" t="s">
        <v>6490</v>
      </c>
      <c r="J217" s="35">
        <v>50</v>
      </c>
      <c r="K217" s="35">
        <v>100</v>
      </c>
      <c r="L217" s="35" t="s">
        <v>6490</v>
      </c>
      <c r="M217" s="35">
        <v>100</v>
      </c>
      <c r="N217" s="35">
        <v>100</v>
      </c>
      <c r="O217" s="35">
        <v>50</v>
      </c>
      <c r="P217" s="31">
        <v>50</v>
      </c>
      <c r="Q217" s="49">
        <v>0</v>
      </c>
    </row>
    <row r="218" spans="1:17" x14ac:dyDescent="0.25">
      <c r="A218" s="36" t="s">
        <v>1725</v>
      </c>
      <c r="B218" s="35" t="s">
        <v>6491</v>
      </c>
      <c r="C218" s="35" t="s">
        <v>6492</v>
      </c>
      <c r="D218" s="33">
        <v>46</v>
      </c>
      <c r="E218" s="34">
        <v>0</v>
      </c>
      <c r="F218" s="33">
        <v>46</v>
      </c>
      <c r="G218" s="31">
        <v>1</v>
      </c>
      <c r="H218" s="31">
        <v>0.5</v>
      </c>
      <c r="I218" s="32" t="s">
        <v>6490</v>
      </c>
      <c r="J218" s="32">
        <v>30</v>
      </c>
      <c r="K218" s="32">
        <v>40</v>
      </c>
      <c r="L218" s="32" t="s">
        <v>6490</v>
      </c>
      <c r="M218" s="32">
        <v>50</v>
      </c>
      <c r="N218" s="32">
        <v>50</v>
      </c>
      <c r="O218" s="32">
        <v>50</v>
      </c>
      <c r="P218" s="31">
        <v>150</v>
      </c>
      <c r="Q218" s="30">
        <v>0</v>
      </c>
    </row>
    <row r="219" spans="1:17" x14ac:dyDescent="0.25">
      <c r="A219" s="36" t="s">
        <v>1909</v>
      </c>
      <c r="B219" s="35">
        <v>2025</v>
      </c>
      <c r="C219" s="35">
        <v>2026</v>
      </c>
      <c r="D219" s="33">
        <v>60</v>
      </c>
      <c r="E219" s="33" t="s">
        <v>6490</v>
      </c>
      <c r="F219" s="33">
        <v>60</v>
      </c>
      <c r="G219" s="31">
        <v>1</v>
      </c>
      <c r="H219" s="31" t="s">
        <v>6490</v>
      </c>
      <c r="I219" s="35" t="s">
        <v>6490</v>
      </c>
      <c r="J219" s="35">
        <v>50</v>
      </c>
      <c r="K219" s="35">
        <v>50</v>
      </c>
      <c r="L219" s="35" t="s">
        <v>6490</v>
      </c>
      <c r="M219" s="35">
        <v>100</v>
      </c>
      <c r="N219" s="35">
        <v>100</v>
      </c>
      <c r="O219" s="35">
        <v>50</v>
      </c>
      <c r="P219" s="31">
        <v>50</v>
      </c>
      <c r="Q219" s="49">
        <v>10</v>
      </c>
    </row>
    <row r="220" spans="1:17" x14ac:dyDescent="0.25">
      <c r="A220" s="36" t="s">
        <v>1956</v>
      </c>
      <c r="B220" s="35" t="s">
        <v>6494</v>
      </c>
      <c r="C220" s="35" t="s">
        <v>6492</v>
      </c>
      <c r="D220" s="33">
        <v>64</v>
      </c>
      <c r="E220" s="34">
        <v>0</v>
      </c>
      <c r="F220" s="33">
        <v>64</v>
      </c>
      <c r="G220" s="31">
        <v>1.3</v>
      </c>
      <c r="H220" s="31">
        <v>0.5</v>
      </c>
      <c r="I220" s="32" t="s">
        <v>6490</v>
      </c>
      <c r="J220" s="32">
        <v>50</v>
      </c>
      <c r="K220" s="32" t="s">
        <v>6490</v>
      </c>
      <c r="L220" s="32" t="s">
        <v>6490</v>
      </c>
      <c r="M220" s="32">
        <v>50</v>
      </c>
      <c r="N220" s="32">
        <v>100</v>
      </c>
      <c r="O220" s="32">
        <v>50</v>
      </c>
      <c r="P220" s="31">
        <v>60</v>
      </c>
      <c r="Q220" s="30">
        <v>0</v>
      </c>
    </row>
    <row r="221" spans="1:17" x14ac:dyDescent="0.25">
      <c r="A221" s="36" t="s">
        <v>1965</v>
      </c>
      <c r="B221" s="35">
        <v>2024</v>
      </c>
      <c r="C221" s="35">
        <v>2027</v>
      </c>
      <c r="D221" s="33">
        <v>76</v>
      </c>
      <c r="E221" s="33" t="s">
        <v>6490</v>
      </c>
      <c r="F221" s="33">
        <v>76</v>
      </c>
      <c r="G221" s="31">
        <v>1</v>
      </c>
      <c r="H221" s="31">
        <v>0.5</v>
      </c>
      <c r="I221" s="35" t="s">
        <v>6490</v>
      </c>
      <c r="J221" s="35">
        <v>50</v>
      </c>
      <c r="K221" s="35" t="s">
        <v>6490</v>
      </c>
      <c r="L221" s="35" t="s">
        <v>6490</v>
      </c>
      <c r="M221" s="35" t="s">
        <v>6490</v>
      </c>
      <c r="N221" s="35" t="s">
        <v>6490</v>
      </c>
      <c r="O221" s="35">
        <v>50</v>
      </c>
      <c r="P221" s="31">
        <v>60</v>
      </c>
      <c r="Q221" s="49">
        <v>0</v>
      </c>
    </row>
    <row r="222" spans="1:17" x14ac:dyDescent="0.25">
      <c r="A222" s="36" t="s">
        <v>2053</v>
      </c>
      <c r="B222" s="35">
        <v>2025</v>
      </c>
      <c r="C222" s="35">
        <v>2026</v>
      </c>
      <c r="D222" s="33">
        <v>73</v>
      </c>
      <c r="E222" s="33" t="s">
        <v>6490</v>
      </c>
      <c r="F222" s="33">
        <v>73</v>
      </c>
      <c r="G222" s="31">
        <v>1.2</v>
      </c>
      <c r="H222" s="31">
        <v>0.5</v>
      </c>
      <c r="I222" s="35" t="s">
        <v>6490</v>
      </c>
      <c r="J222" s="35">
        <v>50</v>
      </c>
      <c r="K222" s="35">
        <v>50</v>
      </c>
      <c r="L222" s="35">
        <v>50</v>
      </c>
      <c r="M222" s="35">
        <v>100</v>
      </c>
      <c r="N222" s="35">
        <v>100</v>
      </c>
      <c r="O222" s="35">
        <v>50</v>
      </c>
      <c r="P222" s="31">
        <v>100</v>
      </c>
      <c r="Q222" s="49">
        <v>10</v>
      </c>
    </row>
    <row r="223" spans="1:17" x14ac:dyDescent="0.25">
      <c r="A223" s="36" t="s">
        <v>2146</v>
      </c>
      <c r="B223" s="35" t="s">
        <v>6494</v>
      </c>
      <c r="C223" s="35" t="s">
        <v>6492</v>
      </c>
      <c r="D223" s="33">
        <v>74</v>
      </c>
      <c r="E223" s="34">
        <v>0</v>
      </c>
      <c r="F223" s="33">
        <v>74</v>
      </c>
      <c r="G223" s="31">
        <v>1</v>
      </c>
      <c r="H223" s="31">
        <v>0.5</v>
      </c>
      <c r="I223" s="32" t="s">
        <v>6490</v>
      </c>
      <c r="J223" s="32">
        <v>50</v>
      </c>
      <c r="K223" s="32">
        <v>50</v>
      </c>
      <c r="L223" s="32">
        <v>50</v>
      </c>
      <c r="M223" s="32">
        <v>100</v>
      </c>
      <c r="N223" s="32">
        <v>100</v>
      </c>
      <c r="O223" s="32">
        <v>50</v>
      </c>
      <c r="P223" s="31">
        <v>100</v>
      </c>
      <c r="Q223" s="49">
        <v>10</v>
      </c>
    </row>
    <row r="224" spans="1:17" x14ac:dyDescent="0.25">
      <c r="A224" s="36" t="s">
        <v>2166</v>
      </c>
      <c r="B224" s="35" t="s">
        <v>6511</v>
      </c>
      <c r="C224" s="35" t="s">
        <v>6492</v>
      </c>
      <c r="D224" s="33">
        <v>70</v>
      </c>
      <c r="E224" s="34">
        <v>0</v>
      </c>
      <c r="F224" s="33">
        <v>70</v>
      </c>
      <c r="G224" s="31">
        <v>1</v>
      </c>
      <c r="H224" s="31">
        <v>0.5</v>
      </c>
      <c r="I224" s="32" t="s">
        <v>6490</v>
      </c>
      <c r="J224" s="32">
        <v>50</v>
      </c>
      <c r="K224" s="32">
        <v>100</v>
      </c>
      <c r="L224" s="32">
        <v>100</v>
      </c>
      <c r="M224" s="32">
        <v>100</v>
      </c>
      <c r="N224" s="32">
        <v>100</v>
      </c>
      <c r="O224" s="32">
        <v>50</v>
      </c>
      <c r="P224" s="31">
        <v>70</v>
      </c>
      <c r="Q224" s="30">
        <v>0</v>
      </c>
    </row>
    <row r="225" spans="1:17" x14ac:dyDescent="0.25">
      <c r="A225" s="36" t="s">
        <v>6530</v>
      </c>
      <c r="B225" s="35">
        <v>2025</v>
      </c>
      <c r="C225" s="35">
        <v>2026</v>
      </c>
      <c r="D225" s="33">
        <v>68</v>
      </c>
      <c r="E225" s="33" t="s">
        <v>6490</v>
      </c>
      <c r="F225" s="33">
        <v>68</v>
      </c>
      <c r="G225" s="31">
        <v>1</v>
      </c>
      <c r="H225" s="31">
        <v>0.5</v>
      </c>
      <c r="I225" s="35" t="s">
        <v>6490</v>
      </c>
      <c r="J225" s="35">
        <v>50</v>
      </c>
      <c r="K225" s="35" t="s">
        <v>6490</v>
      </c>
      <c r="L225" s="35" t="s">
        <v>6490</v>
      </c>
      <c r="M225" s="35">
        <v>100</v>
      </c>
      <c r="N225" s="35">
        <v>100</v>
      </c>
      <c r="O225" s="35">
        <v>50</v>
      </c>
      <c r="P225" s="31">
        <v>70</v>
      </c>
      <c r="Q225" s="49">
        <v>0</v>
      </c>
    </row>
    <row r="226" spans="1:17" x14ac:dyDescent="0.25">
      <c r="A226" s="36" t="s">
        <v>2450</v>
      </c>
      <c r="B226" s="35">
        <v>2025</v>
      </c>
      <c r="C226" s="35">
        <v>2026</v>
      </c>
      <c r="D226" s="33">
        <v>76</v>
      </c>
      <c r="E226" s="33" t="s">
        <v>6490</v>
      </c>
      <c r="F226" s="33">
        <v>76</v>
      </c>
      <c r="G226" s="31">
        <v>1.2</v>
      </c>
      <c r="H226" s="31">
        <v>0.5</v>
      </c>
      <c r="I226" s="35" t="s">
        <v>6490</v>
      </c>
      <c r="J226" s="35">
        <v>50</v>
      </c>
      <c r="K226" s="35">
        <v>50</v>
      </c>
      <c r="L226" s="35">
        <v>50</v>
      </c>
      <c r="M226" s="35">
        <v>100</v>
      </c>
      <c r="N226" s="35">
        <v>100</v>
      </c>
      <c r="O226" s="35">
        <v>50</v>
      </c>
      <c r="P226" s="31">
        <v>50</v>
      </c>
      <c r="Q226" s="49">
        <v>10</v>
      </c>
    </row>
    <row r="227" spans="1:17" x14ac:dyDescent="0.25">
      <c r="A227" s="36" t="s">
        <v>2465</v>
      </c>
      <c r="B227" s="35" t="s">
        <v>6494</v>
      </c>
      <c r="C227" s="35" t="s">
        <v>6492</v>
      </c>
      <c r="D227" s="33">
        <v>70</v>
      </c>
      <c r="E227" s="34">
        <v>0</v>
      </c>
      <c r="F227" s="33">
        <v>70</v>
      </c>
      <c r="G227" s="31">
        <v>1</v>
      </c>
      <c r="H227" s="31">
        <v>0.5</v>
      </c>
      <c r="I227" s="32" t="s">
        <v>6490</v>
      </c>
      <c r="J227" s="32">
        <v>50</v>
      </c>
      <c r="K227" s="32">
        <v>50</v>
      </c>
      <c r="L227" s="32" t="s">
        <v>6490</v>
      </c>
      <c r="M227" s="32">
        <v>100</v>
      </c>
      <c r="N227" s="32">
        <v>100</v>
      </c>
      <c r="O227" s="32">
        <v>50</v>
      </c>
      <c r="P227" s="31">
        <v>100</v>
      </c>
      <c r="Q227" s="30">
        <v>0</v>
      </c>
    </row>
    <row r="228" spans="1:17" x14ac:dyDescent="0.25">
      <c r="A228" s="36" t="s">
        <v>3054</v>
      </c>
      <c r="B228" s="35">
        <v>2025</v>
      </c>
      <c r="C228" s="35">
        <v>2026</v>
      </c>
      <c r="D228" s="33">
        <v>73</v>
      </c>
      <c r="E228" s="33" t="s">
        <v>6490</v>
      </c>
      <c r="F228" s="33">
        <v>73</v>
      </c>
      <c r="G228" s="31">
        <v>1.5</v>
      </c>
      <c r="H228" s="31">
        <v>0.5</v>
      </c>
      <c r="I228" s="35" t="s">
        <v>6490</v>
      </c>
      <c r="J228" s="35">
        <v>50</v>
      </c>
      <c r="K228" s="35">
        <v>50</v>
      </c>
      <c r="L228" s="35">
        <v>50</v>
      </c>
      <c r="M228" s="35">
        <v>100</v>
      </c>
      <c r="N228" s="35">
        <v>100</v>
      </c>
      <c r="O228" s="35">
        <v>50</v>
      </c>
      <c r="P228" s="31">
        <v>80</v>
      </c>
      <c r="Q228" s="49">
        <v>0</v>
      </c>
    </row>
    <row r="229" spans="1:17" x14ac:dyDescent="0.25">
      <c r="A229" s="36" t="s">
        <v>3299</v>
      </c>
      <c r="B229" s="35">
        <v>2025</v>
      </c>
      <c r="C229" s="35">
        <v>2026</v>
      </c>
      <c r="D229" s="33">
        <v>75</v>
      </c>
      <c r="E229" s="33" t="s">
        <v>6490</v>
      </c>
      <c r="F229" s="33">
        <v>75</v>
      </c>
      <c r="G229" s="31">
        <v>1</v>
      </c>
      <c r="H229" s="31">
        <v>0.5</v>
      </c>
      <c r="I229" s="35" t="s">
        <v>6490</v>
      </c>
      <c r="J229" s="35">
        <v>50</v>
      </c>
      <c r="K229" s="35">
        <v>100</v>
      </c>
      <c r="L229" s="35">
        <v>100</v>
      </c>
      <c r="M229" s="35">
        <v>100</v>
      </c>
      <c r="N229" s="35">
        <v>100</v>
      </c>
      <c r="O229" s="35">
        <v>50</v>
      </c>
      <c r="P229" s="31">
        <v>100</v>
      </c>
      <c r="Q229" s="49">
        <v>0</v>
      </c>
    </row>
    <row r="230" spans="1:17" x14ac:dyDescent="0.25">
      <c r="A230" s="36" t="s">
        <v>54</v>
      </c>
      <c r="B230" s="35">
        <v>2025</v>
      </c>
      <c r="C230" s="35">
        <v>2026</v>
      </c>
      <c r="D230" s="33">
        <v>55</v>
      </c>
      <c r="E230" s="33" t="s">
        <v>6490</v>
      </c>
      <c r="F230" s="33">
        <v>55</v>
      </c>
      <c r="G230" s="31">
        <v>1</v>
      </c>
      <c r="H230" s="31">
        <v>0.5</v>
      </c>
      <c r="I230" s="35" t="s">
        <v>6490</v>
      </c>
      <c r="J230" s="35">
        <v>50</v>
      </c>
      <c r="K230" s="35">
        <v>100</v>
      </c>
      <c r="L230" s="35">
        <v>100</v>
      </c>
      <c r="M230" s="35">
        <v>100</v>
      </c>
      <c r="N230" s="35">
        <v>100</v>
      </c>
      <c r="O230" s="35">
        <v>50</v>
      </c>
      <c r="P230" s="31">
        <v>100</v>
      </c>
      <c r="Q230" s="49">
        <v>0</v>
      </c>
    </row>
    <row r="231" spans="1:17" x14ac:dyDescent="0.25">
      <c r="A231" s="36" t="s">
        <v>6531</v>
      </c>
      <c r="B231" s="35">
        <v>2025</v>
      </c>
      <c r="C231" s="35">
        <v>2026</v>
      </c>
      <c r="D231" s="33">
        <v>58</v>
      </c>
      <c r="E231" s="33" t="s">
        <v>6490</v>
      </c>
      <c r="F231" s="33">
        <v>58</v>
      </c>
      <c r="G231" s="31">
        <v>1.25</v>
      </c>
      <c r="H231" s="31">
        <v>0.5</v>
      </c>
      <c r="I231" s="35" t="s">
        <v>6490</v>
      </c>
      <c r="J231" s="35">
        <v>50</v>
      </c>
      <c r="K231" s="35">
        <v>100</v>
      </c>
      <c r="L231" s="35">
        <v>50</v>
      </c>
      <c r="M231" s="35">
        <v>100</v>
      </c>
      <c r="N231" s="35">
        <v>100</v>
      </c>
      <c r="O231" s="35">
        <v>50</v>
      </c>
      <c r="P231" s="31">
        <v>70</v>
      </c>
      <c r="Q231" s="49">
        <v>0</v>
      </c>
    </row>
    <row r="232" spans="1:17" x14ac:dyDescent="0.25">
      <c r="A232" s="36" t="s">
        <v>3405</v>
      </c>
      <c r="B232" s="35" t="s">
        <v>6494</v>
      </c>
      <c r="C232" s="35" t="s">
        <v>6492</v>
      </c>
      <c r="D232" s="33">
        <v>61.5</v>
      </c>
      <c r="E232" s="34">
        <v>0</v>
      </c>
      <c r="F232" s="33">
        <v>61.5</v>
      </c>
      <c r="G232" s="31">
        <v>1</v>
      </c>
      <c r="H232" s="31">
        <v>0.5</v>
      </c>
      <c r="I232" s="32" t="s">
        <v>6490</v>
      </c>
      <c r="J232" s="32">
        <v>50</v>
      </c>
      <c r="K232" s="32">
        <v>50</v>
      </c>
      <c r="L232" s="32">
        <v>50</v>
      </c>
      <c r="M232" s="32">
        <v>50</v>
      </c>
      <c r="N232" s="32">
        <v>100</v>
      </c>
      <c r="O232" s="32">
        <v>50</v>
      </c>
      <c r="P232" s="31" t="s">
        <v>6499</v>
      </c>
      <c r="Q232" s="30">
        <v>0</v>
      </c>
    </row>
    <row r="233" spans="1:17" x14ac:dyDescent="0.25">
      <c r="A233" s="36" t="s">
        <v>2328</v>
      </c>
      <c r="B233" s="45" t="s">
        <v>6491</v>
      </c>
      <c r="C233" s="45" t="s">
        <v>6492</v>
      </c>
      <c r="D233" s="44">
        <v>75</v>
      </c>
      <c r="E233" s="43" t="s">
        <v>6490</v>
      </c>
      <c r="F233" s="42">
        <f>+D233</f>
        <v>75</v>
      </c>
      <c r="G233" s="41">
        <v>1</v>
      </c>
      <c r="H233" s="38">
        <v>0.5</v>
      </c>
      <c r="I233" s="40" t="s">
        <v>6490</v>
      </c>
      <c r="J233" s="39">
        <v>50</v>
      </c>
      <c r="K233" s="39">
        <v>50</v>
      </c>
      <c r="L233" s="39">
        <v>50</v>
      </c>
      <c r="M233" s="39">
        <v>100</v>
      </c>
      <c r="N233" s="39">
        <v>100</v>
      </c>
      <c r="O233" s="39" t="s">
        <v>6490</v>
      </c>
      <c r="P233" s="38">
        <v>20</v>
      </c>
      <c r="Q233" s="37">
        <v>0</v>
      </c>
    </row>
    <row r="234" spans="1:17" x14ac:dyDescent="0.25">
      <c r="A234" s="36" t="s">
        <v>3555</v>
      </c>
      <c r="B234" s="35" t="s">
        <v>6494</v>
      </c>
      <c r="C234" s="35" t="s">
        <v>6492</v>
      </c>
      <c r="D234" s="33">
        <v>76</v>
      </c>
      <c r="E234" s="34">
        <v>0</v>
      </c>
      <c r="F234" s="33">
        <v>76</v>
      </c>
      <c r="G234" s="31">
        <v>1</v>
      </c>
      <c r="H234" s="31">
        <v>0.5</v>
      </c>
      <c r="I234" s="32" t="s">
        <v>6490</v>
      </c>
      <c r="J234" s="32">
        <v>50</v>
      </c>
      <c r="K234" s="32">
        <v>100</v>
      </c>
      <c r="L234" s="32">
        <v>100</v>
      </c>
      <c r="M234" s="32">
        <v>100</v>
      </c>
      <c r="N234" s="32">
        <v>100</v>
      </c>
      <c r="O234" s="32" t="s">
        <v>6490</v>
      </c>
      <c r="P234" s="31">
        <v>40</v>
      </c>
      <c r="Q234" s="30">
        <v>0</v>
      </c>
    </row>
    <row r="235" spans="1:17" x14ac:dyDescent="0.25">
      <c r="A235" s="36" t="s">
        <v>6532</v>
      </c>
      <c r="B235" s="35">
        <v>2025</v>
      </c>
      <c r="C235" s="35">
        <v>2026</v>
      </c>
      <c r="D235" s="33">
        <v>74</v>
      </c>
      <c r="E235" s="33" t="s">
        <v>6490</v>
      </c>
      <c r="F235" s="33">
        <v>74</v>
      </c>
      <c r="G235" s="31">
        <v>1</v>
      </c>
      <c r="H235" s="31" t="s">
        <v>6490</v>
      </c>
      <c r="I235" s="35" t="s">
        <v>6490</v>
      </c>
      <c r="J235" s="35">
        <v>50</v>
      </c>
      <c r="K235" s="35" t="s">
        <v>6490</v>
      </c>
      <c r="L235" s="35" t="s">
        <v>6490</v>
      </c>
      <c r="M235" s="35">
        <v>80</v>
      </c>
      <c r="N235" s="35">
        <v>100</v>
      </c>
      <c r="O235" s="35">
        <v>50</v>
      </c>
      <c r="P235" s="31">
        <v>50</v>
      </c>
      <c r="Q235" s="49">
        <v>0</v>
      </c>
    </row>
    <row r="236" spans="1:17" x14ac:dyDescent="0.25">
      <c r="A236" s="36" t="s">
        <v>3673</v>
      </c>
      <c r="B236" s="35" t="s">
        <v>6494</v>
      </c>
      <c r="C236" s="35" t="s">
        <v>6492</v>
      </c>
      <c r="D236" s="33">
        <v>76</v>
      </c>
      <c r="E236" s="34">
        <v>0</v>
      </c>
      <c r="F236" s="33">
        <v>76</v>
      </c>
      <c r="G236" s="31">
        <v>1</v>
      </c>
      <c r="H236" s="31">
        <v>0.5</v>
      </c>
      <c r="I236" s="32" t="s">
        <v>6490</v>
      </c>
      <c r="J236" s="32">
        <v>50</v>
      </c>
      <c r="K236" s="32" t="s">
        <v>6490</v>
      </c>
      <c r="L236" s="32" t="s">
        <v>6490</v>
      </c>
      <c r="M236" s="32">
        <v>100</v>
      </c>
      <c r="N236" s="32">
        <v>100</v>
      </c>
      <c r="O236" s="32">
        <v>50</v>
      </c>
      <c r="P236" s="31">
        <v>100</v>
      </c>
      <c r="Q236" s="30">
        <v>0</v>
      </c>
    </row>
    <row r="237" spans="1:17" x14ac:dyDescent="0.25">
      <c r="A237" s="36" t="s">
        <v>3976</v>
      </c>
      <c r="B237" s="35" t="s">
        <v>6491</v>
      </c>
      <c r="C237" s="35" t="s">
        <v>6492</v>
      </c>
      <c r="D237" s="33">
        <v>64</v>
      </c>
      <c r="E237" s="34">
        <v>0</v>
      </c>
      <c r="F237" s="33">
        <v>64</v>
      </c>
      <c r="G237" s="31">
        <v>0.3</v>
      </c>
      <c r="H237" s="31" t="s">
        <v>6490</v>
      </c>
      <c r="I237" s="32" t="s">
        <v>6490</v>
      </c>
      <c r="J237" s="32">
        <v>50</v>
      </c>
      <c r="K237" s="32">
        <v>100</v>
      </c>
      <c r="L237" s="32">
        <v>50</v>
      </c>
      <c r="M237" s="32">
        <v>100</v>
      </c>
      <c r="N237" s="32">
        <v>100</v>
      </c>
      <c r="O237" s="32">
        <v>50</v>
      </c>
      <c r="P237" s="31">
        <v>60</v>
      </c>
      <c r="Q237" s="30">
        <v>0</v>
      </c>
    </row>
    <row r="238" spans="1:17" x14ac:dyDescent="0.25">
      <c r="A238" s="36" t="s">
        <v>56</v>
      </c>
      <c r="B238" s="35">
        <v>2025</v>
      </c>
      <c r="C238" s="35">
        <v>2026</v>
      </c>
      <c r="D238" s="33">
        <v>67</v>
      </c>
      <c r="E238" s="33" t="s">
        <v>6490</v>
      </c>
      <c r="F238" s="33">
        <v>67</v>
      </c>
      <c r="G238" s="31">
        <v>1</v>
      </c>
      <c r="H238" s="31">
        <v>0.5</v>
      </c>
      <c r="I238" s="35" t="s">
        <v>6490</v>
      </c>
      <c r="J238" s="35">
        <v>50</v>
      </c>
      <c r="K238" s="35">
        <v>100</v>
      </c>
      <c r="L238" s="35">
        <v>100</v>
      </c>
      <c r="M238" s="35">
        <v>100</v>
      </c>
      <c r="N238" s="35">
        <v>100</v>
      </c>
      <c r="O238" s="35">
        <v>50</v>
      </c>
      <c r="P238" s="31">
        <v>80</v>
      </c>
      <c r="Q238" s="49">
        <v>0</v>
      </c>
    </row>
    <row r="239" spans="1:17" x14ac:dyDescent="0.25">
      <c r="A239" s="36" t="s">
        <v>4744</v>
      </c>
      <c r="B239" s="35" t="s">
        <v>6511</v>
      </c>
      <c r="C239" s="35" t="s">
        <v>6492</v>
      </c>
      <c r="D239" s="33">
        <v>73</v>
      </c>
      <c r="E239" s="34">
        <v>0</v>
      </c>
      <c r="F239" s="33">
        <v>73</v>
      </c>
      <c r="G239" s="31">
        <v>0.65</v>
      </c>
      <c r="H239" s="31">
        <v>0.5</v>
      </c>
      <c r="I239" s="32" t="s">
        <v>6490</v>
      </c>
      <c r="J239" s="32">
        <v>50</v>
      </c>
      <c r="K239" s="32">
        <v>100</v>
      </c>
      <c r="L239" s="32">
        <v>100</v>
      </c>
      <c r="M239" s="32">
        <v>100</v>
      </c>
      <c r="N239" s="32">
        <v>100</v>
      </c>
      <c r="O239" s="32">
        <v>50</v>
      </c>
      <c r="P239" s="31">
        <v>50</v>
      </c>
      <c r="Q239" s="30">
        <v>0</v>
      </c>
    </row>
    <row r="240" spans="1:17" x14ac:dyDescent="0.25">
      <c r="A240" s="36" t="s">
        <v>4938</v>
      </c>
      <c r="B240" s="35">
        <v>2021</v>
      </c>
      <c r="C240" s="35">
        <v>2026</v>
      </c>
      <c r="D240" s="33">
        <v>66</v>
      </c>
      <c r="E240" s="33" t="s">
        <v>6490</v>
      </c>
      <c r="F240" s="33">
        <v>66</v>
      </c>
      <c r="G240" s="31">
        <v>1</v>
      </c>
      <c r="H240" s="31" t="s">
        <v>6490</v>
      </c>
      <c r="I240" s="35" t="s">
        <v>6490</v>
      </c>
      <c r="J240" s="35">
        <v>50</v>
      </c>
      <c r="K240" s="35">
        <v>30</v>
      </c>
      <c r="L240" s="35">
        <v>30</v>
      </c>
      <c r="M240" s="35">
        <v>100</v>
      </c>
      <c r="N240" s="35">
        <v>100</v>
      </c>
      <c r="O240" s="35">
        <v>50</v>
      </c>
      <c r="P240" s="35" t="s">
        <v>6533</v>
      </c>
      <c r="Q240" s="49">
        <v>0</v>
      </c>
    </row>
    <row r="241" spans="1:17" x14ac:dyDescent="0.25">
      <c r="A241" s="36" t="s">
        <v>57</v>
      </c>
      <c r="B241" s="35">
        <v>2025</v>
      </c>
      <c r="C241" s="35">
        <v>2026</v>
      </c>
      <c r="D241" s="33">
        <v>65</v>
      </c>
      <c r="E241" s="33" t="s">
        <v>6490</v>
      </c>
      <c r="F241" s="33">
        <v>65</v>
      </c>
      <c r="G241" s="31">
        <v>1</v>
      </c>
      <c r="H241" s="31">
        <v>0.5</v>
      </c>
      <c r="I241" s="35" t="s">
        <v>6490</v>
      </c>
      <c r="J241" s="35">
        <v>50</v>
      </c>
      <c r="K241" s="35">
        <v>100</v>
      </c>
      <c r="L241" s="35" t="s">
        <v>6490</v>
      </c>
      <c r="M241" s="35">
        <v>100</v>
      </c>
      <c r="N241" s="35">
        <v>100</v>
      </c>
      <c r="O241" s="35">
        <v>50</v>
      </c>
      <c r="P241" s="31">
        <v>90</v>
      </c>
      <c r="Q241" s="49">
        <v>0</v>
      </c>
    </row>
    <row r="242" spans="1:17" x14ac:dyDescent="0.25">
      <c r="A242" s="51" t="s">
        <v>5341</v>
      </c>
      <c r="B242" s="35">
        <v>2025</v>
      </c>
      <c r="C242" s="35">
        <v>2026</v>
      </c>
      <c r="D242" s="33">
        <v>56</v>
      </c>
      <c r="E242" s="33">
        <v>0</v>
      </c>
      <c r="F242" s="33">
        <v>56</v>
      </c>
      <c r="G242" s="31">
        <v>1</v>
      </c>
      <c r="H242" s="31">
        <v>0.5</v>
      </c>
      <c r="I242" s="35">
        <v>0</v>
      </c>
      <c r="J242" s="35">
        <v>50</v>
      </c>
      <c r="K242" s="35">
        <v>50</v>
      </c>
      <c r="L242" s="35">
        <v>50</v>
      </c>
      <c r="M242" s="35">
        <v>100</v>
      </c>
      <c r="N242" s="35">
        <v>100</v>
      </c>
      <c r="O242" s="35">
        <v>50</v>
      </c>
      <c r="P242" s="31">
        <v>100</v>
      </c>
      <c r="Q242" s="49">
        <v>0</v>
      </c>
    </row>
    <row r="243" spans="1:17" x14ac:dyDescent="0.25">
      <c r="A243" s="51" t="s">
        <v>5529</v>
      </c>
      <c r="B243" s="35">
        <v>2025</v>
      </c>
      <c r="C243" s="35">
        <v>2026</v>
      </c>
      <c r="D243" s="33">
        <v>69</v>
      </c>
      <c r="E243" s="33">
        <v>0</v>
      </c>
      <c r="F243" s="33">
        <v>69</v>
      </c>
      <c r="G243" s="31">
        <v>1</v>
      </c>
      <c r="H243" s="31">
        <v>0.5</v>
      </c>
      <c r="I243" s="35">
        <v>0</v>
      </c>
      <c r="J243" s="35">
        <v>50</v>
      </c>
      <c r="K243" s="35">
        <v>0</v>
      </c>
      <c r="L243" s="35">
        <v>0</v>
      </c>
      <c r="M243" s="35">
        <v>100</v>
      </c>
      <c r="N243" s="35">
        <v>100</v>
      </c>
      <c r="O243" s="35">
        <v>0</v>
      </c>
      <c r="P243" s="31">
        <v>80</v>
      </c>
      <c r="Q243" s="49">
        <v>0</v>
      </c>
    </row>
    <row r="244" spans="1:17" x14ac:dyDescent="0.25">
      <c r="A244" s="36" t="s">
        <v>5537</v>
      </c>
      <c r="B244" s="35">
        <v>2025</v>
      </c>
      <c r="C244" s="35">
        <v>2026</v>
      </c>
      <c r="D244" s="33">
        <v>77</v>
      </c>
      <c r="E244" s="33" t="s">
        <v>6490</v>
      </c>
      <c r="F244" s="33">
        <v>77</v>
      </c>
      <c r="G244" s="31">
        <v>1</v>
      </c>
      <c r="H244" s="31">
        <v>0.5</v>
      </c>
      <c r="I244" s="35" t="s">
        <v>6490</v>
      </c>
      <c r="J244" s="35">
        <v>50</v>
      </c>
      <c r="K244" s="35" t="s">
        <v>6490</v>
      </c>
      <c r="L244" s="35" t="s">
        <v>6490</v>
      </c>
      <c r="M244" s="35">
        <v>70</v>
      </c>
      <c r="N244" s="35">
        <v>100</v>
      </c>
      <c r="O244" s="35" t="s">
        <v>6490</v>
      </c>
      <c r="P244" s="31">
        <v>75</v>
      </c>
      <c r="Q244" s="49">
        <v>0</v>
      </c>
    </row>
    <row r="245" spans="1:17" x14ac:dyDescent="0.25">
      <c r="A245" s="36" t="s">
        <v>5541</v>
      </c>
      <c r="B245" s="35">
        <v>2025</v>
      </c>
      <c r="C245" s="35">
        <v>2026</v>
      </c>
      <c r="D245" s="33">
        <v>59</v>
      </c>
      <c r="E245" s="33" t="s">
        <v>6490</v>
      </c>
      <c r="F245" s="33">
        <v>59</v>
      </c>
      <c r="G245" s="31">
        <v>1.2</v>
      </c>
      <c r="H245" s="31">
        <v>0.5</v>
      </c>
      <c r="I245" s="35" t="s">
        <v>6490</v>
      </c>
      <c r="J245" s="35">
        <v>50</v>
      </c>
      <c r="K245" s="35">
        <v>100</v>
      </c>
      <c r="L245" s="35">
        <v>100</v>
      </c>
      <c r="M245" s="35">
        <v>100</v>
      </c>
      <c r="N245" s="35">
        <v>100</v>
      </c>
      <c r="O245" s="35">
        <v>50</v>
      </c>
      <c r="P245" s="35" t="s">
        <v>6534</v>
      </c>
      <c r="Q245" s="49">
        <v>0</v>
      </c>
    </row>
    <row r="246" spans="1:17" x14ac:dyDescent="0.25">
      <c r="A246" s="36" t="s">
        <v>5595</v>
      </c>
      <c r="B246" s="35">
        <v>2025</v>
      </c>
      <c r="C246" s="35">
        <v>2026</v>
      </c>
      <c r="D246" s="33">
        <v>77</v>
      </c>
      <c r="E246" s="33" t="s">
        <v>6490</v>
      </c>
      <c r="F246" s="33">
        <v>77</v>
      </c>
      <c r="G246" s="31">
        <v>1</v>
      </c>
      <c r="H246" s="31">
        <v>0.5</v>
      </c>
      <c r="I246" s="35" t="s">
        <v>6490</v>
      </c>
      <c r="J246" s="35">
        <v>50</v>
      </c>
      <c r="K246" s="35">
        <v>50</v>
      </c>
      <c r="L246" s="35">
        <v>50</v>
      </c>
      <c r="M246" s="35">
        <v>100</v>
      </c>
      <c r="N246" s="35">
        <v>100</v>
      </c>
      <c r="O246" s="35">
        <v>50</v>
      </c>
      <c r="P246" s="31">
        <v>150</v>
      </c>
      <c r="Q246" s="49">
        <v>0</v>
      </c>
    </row>
    <row r="247" spans="1:17" x14ac:dyDescent="0.25">
      <c r="A247" s="36" t="s">
        <v>5619</v>
      </c>
      <c r="B247" s="35">
        <v>2021</v>
      </c>
      <c r="C247" s="35">
        <v>2026</v>
      </c>
      <c r="D247" s="33">
        <v>68.5</v>
      </c>
      <c r="E247" s="33" t="s">
        <v>6490</v>
      </c>
      <c r="F247" s="33">
        <v>68.5</v>
      </c>
      <c r="G247" s="31">
        <v>1</v>
      </c>
      <c r="H247" s="31">
        <v>0.5</v>
      </c>
      <c r="I247" s="35" t="s">
        <v>6490</v>
      </c>
      <c r="J247" s="35">
        <v>50</v>
      </c>
      <c r="K247" s="35">
        <v>100</v>
      </c>
      <c r="L247" s="35">
        <v>100</v>
      </c>
      <c r="M247" s="35">
        <v>100</v>
      </c>
      <c r="N247" s="35">
        <v>100</v>
      </c>
      <c r="O247" s="35" t="s">
        <v>6490</v>
      </c>
      <c r="P247" s="31">
        <v>50</v>
      </c>
      <c r="Q247" s="49">
        <v>0</v>
      </c>
    </row>
    <row r="248" spans="1:17" x14ac:dyDescent="0.25">
      <c r="A248" s="36" t="s">
        <v>5716</v>
      </c>
      <c r="B248" s="35" t="s">
        <v>6494</v>
      </c>
      <c r="C248" s="35" t="s">
        <v>6492</v>
      </c>
      <c r="D248" s="33">
        <v>64</v>
      </c>
      <c r="E248" s="34">
        <v>0</v>
      </c>
      <c r="F248" s="33">
        <v>64</v>
      </c>
      <c r="G248" s="31">
        <v>1</v>
      </c>
      <c r="H248" s="31">
        <v>0.5</v>
      </c>
      <c r="I248" s="32" t="s">
        <v>6490</v>
      </c>
      <c r="J248" s="32">
        <v>50</v>
      </c>
      <c r="K248" s="32">
        <v>50</v>
      </c>
      <c r="L248" s="32" t="s">
        <v>6490</v>
      </c>
      <c r="M248" s="32">
        <v>100</v>
      </c>
      <c r="N248" s="32">
        <v>100</v>
      </c>
      <c r="O248" s="32">
        <v>50</v>
      </c>
      <c r="P248" s="31">
        <v>30</v>
      </c>
      <c r="Q248" s="30">
        <v>0</v>
      </c>
    </row>
    <row r="249" spans="1:17" x14ac:dyDescent="0.25">
      <c r="A249" s="36" t="s">
        <v>5922</v>
      </c>
      <c r="B249" s="35" t="s">
        <v>6491</v>
      </c>
      <c r="C249" s="35" t="s">
        <v>6492</v>
      </c>
      <c r="D249" s="33">
        <v>56</v>
      </c>
      <c r="E249" s="34">
        <v>0</v>
      </c>
      <c r="F249" s="33">
        <v>56</v>
      </c>
      <c r="G249" s="31">
        <v>1.25</v>
      </c>
      <c r="H249" s="31">
        <v>0.5</v>
      </c>
      <c r="I249" s="32" t="s">
        <v>6490</v>
      </c>
      <c r="J249" s="32">
        <v>50</v>
      </c>
      <c r="K249" s="32">
        <v>50</v>
      </c>
      <c r="L249" s="32" t="s">
        <v>6490</v>
      </c>
      <c r="M249" s="32">
        <v>50</v>
      </c>
      <c r="N249" s="32">
        <v>50</v>
      </c>
      <c r="O249" s="32">
        <v>50</v>
      </c>
      <c r="P249" s="31">
        <v>30</v>
      </c>
      <c r="Q249" s="30">
        <v>0</v>
      </c>
    </row>
    <row r="250" spans="1:17" x14ac:dyDescent="0.25">
      <c r="A250" s="36" t="s">
        <v>6075</v>
      </c>
      <c r="B250" s="35">
        <v>2025</v>
      </c>
      <c r="C250" s="35">
        <v>2026</v>
      </c>
      <c r="D250" s="33">
        <v>74</v>
      </c>
      <c r="E250" s="33" t="s">
        <v>6490</v>
      </c>
      <c r="F250" s="33">
        <v>74</v>
      </c>
      <c r="G250" s="31">
        <v>1.2</v>
      </c>
      <c r="H250" s="31">
        <v>0.5</v>
      </c>
      <c r="I250" s="35" t="s">
        <v>6490</v>
      </c>
      <c r="J250" s="35">
        <v>50</v>
      </c>
      <c r="K250" s="35">
        <v>50</v>
      </c>
      <c r="L250" s="35">
        <v>50</v>
      </c>
      <c r="M250" s="35">
        <v>50</v>
      </c>
      <c r="N250" s="35">
        <v>100</v>
      </c>
      <c r="O250" s="35">
        <v>50</v>
      </c>
      <c r="P250" s="31">
        <v>100</v>
      </c>
      <c r="Q250" s="49">
        <v>0</v>
      </c>
    </row>
    <row r="251" spans="1:17" x14ac:dyDescent="0.25">
      <c r="A251" s="36" t="s">
        <v>6174</v>
      </c>
      <c r="B251" s="35">
        <v>2025</v>
      </c>
      <c r="C251" s="35">
        <v>2026</v>
      </c>
      <c r="D251" s="33">
        <v>60.5</v>
      </c>
      <c r="E251" s="33" t="s">
        <v>6490</v>
      </c>
      <c r="F251" s="33">
        <v>60.5</v>
      </c>
      <c r="G251" s="31">
        <v>0.8</v>
      </c>
      <c r="H251" s="31">
        <v>0.5</v>
      </c>
      <c r="I251" s="35" t="s">
        <v>6490</v>
      </c>
      <c r="J251" s="35">
        <v>50</v>
      </c>
      <c r="K251" s="35" t="s">
        <v>6490</v>
      </c>
      <c r="L251" s="35" t="s">
        <v>6490</v>
      </c>
      <c r="M251" s="35">
        <v>50</v>
      </c>
      <c r="N251" s="35">
        <v>50</v>
      </c>
      <c r="O251" s="35" t="s">
        <v>6490</v>
      </c>
      <c r="P251" s="35" t="s">
        <v>6499</v>
      </c>
      <c r="Q251" s="49">
        <v>0</v>
      </c>
    </row>
    <row r="252" spans="1:17" x14ac:dyDescent="0.25">
      <c r="A252" s="36" t="s">
        <v>6206</v>
      </c>
      <c r="B252" s="35" t="s">
        <v>6511</v>
      </c>
      <c r="C252" s="35" t="s">
        <v>6492</v>
      </c>
      <c r="D252" s="33">
        <v>76</v>
      </c>
      <c r="E252" s="34">
        <v>0</v>
      </c>
      <c r="F252" s="33">
        <v>76</v>
      </c>
      <c r="G252" s="31">
        <v>1</v>
      </c>
      <c r="H252" s="31" t="s">
        <v>6490</v>
      </c>
      <c r="I252" s="32" t="s">
        <v>6490</v>
      </c>
      <c r="J252" s="32">
        <v>50</v>
      </c>
      <c r="K252" s="32">
        <v>100</v>
      </c>
      <c r="L252" s="32">
        <v>100</v>
      </c>
      <c r="M252" s="32">
        <v>100</v>
      </c>
      <c r="N252" s="32">
        <v>100</v>
      </c>
      <c r="O252" s="32">
        <v>50</v>
      </c>
      <c r="P252" s="31" t="s">
        <v>6499</v>
      </c>
      <c r="Q252" s="30">
        <v>0</v>
      </c>
    </row>
    <row r="253" spans="1:17" x14ac:dyDescent="0.25">
      <c r="A253" s="36" t="s">
        <v>6250</v>
      </c>
      <c r="B253" s="35">
        <v>2025</v>
      </c>
      <c r="C253" s="35">
        <v>2026</v>
      </c>
      <c r="D253" s="33">
        <v>68</v>
      </c>
      <c r="E253" s="33" t="s">
        <v>6490</v>
      </c>
      <c r="F253" s="33">
        <v>68</v>
      </c>
      <c r="G253" s="31">
        <v>1</v>
      </c>
      <c r="H253" s="31">
        <v>0.5</v>
      </c>
      <c r="I253" s="35" t="s">
        <v>6490</v>
      </c>
      <c r="J253" s="35">
        <v>50</v>
      </c>
      <c r="K253" s="35">
        <v>50</v>
      </c>
      <c r="L253" s="35">
        <v>50</v>
      </c>
      <c r="M253" s="35">
        <v>50</v>
      </c>
      <c r="N253" s="35">
        <v>100</v>
      </c>
      <c r="O253" s="35">
        <v>50</v>
      </c>
      <c r="P253" s="31">
        <v>100</v>
      </c>
      <c r="Q253" s="49">
        <v>0</v>
      </c>
    </row>
    <row r="254" spans="1:17" x14ac:dyDescent="0.25">
      <c r="A254" s="48"/>
      <c r="B254" s="35"/>
      <c r="C254" s="35"/>
      <c r="D254" s="33"/>
      <c r="E254" s="33"/>
      <c r="F254" s="33"/>
      <c r="G254" s="31"/>
      <c r="H254" s="31"/>
      <c r="I254" s="35"/>
      <c r="J254" s="35"/>
      <c r="K254" s="35"/>
      <c r="L254" s="35"/>
      <c r="M254" s="35"/>
      <c r="N254" s="35"/>
      <c r="O254" s="35"/>
      <c r="P254" s="35"/>
      <c r="Q254" s="46"/>
    </row>
    <row r="255" spans="1:17" x14ac:dyDescent="0.25">
      <c r="A255" s="47" t="s">
        <v>6535</v>
      </c>
      <c r="B255" s="35"/>
      <c r="C255" s="35"/>
      <c r="D255" s="33"/>
      <c r="E255" s="33"/>
      <c r="F255" s="33"/>
      <c r="G255" s="31"/>
      <c r="H255" s="31"/>
      <c r="I255" s="35"/>
      <c r="J255" s="35"/>
      <c r="K255" s="35"/>
      <c r="L255" s="35"/>
      <c r="M255" s="35"/>
      <c r="N255" s="35"/>
      <c r="O255" s="35"/>
      <c r="P255" s="35"/>
      <c r="Q255" s="46"/>
    </row>
    <row r="256" spans="1:17" x14ac:dyDescent="0.25">
      <c r="A256" s="36" t="s">
        <v>207</v>
      </c>
      <c r="B256" s="35">
        <v>2025</v>
      </c>
      <c r="C256" s="35">
        <v>2026</v>
      </c>
      <c r="D256" s="33">
        <v>66</v>
      </c>
      <c r="E256" s="33" t="s">
        <v>6490</v>
      </c>
      <c r="F256" s="33">
        <v>66</v>
      </c>
      <c r="G256" s="31">
        <v>1</v>
      </c>
      <c r="H256" s="31">
        <v>0.5</v>
      </c>
      <c r="I256" s="35" t="s">
        <v>6490</v>
      </c>
      <c r="J256" s="35">
        <v>50</v>
      </c>
      <c r="K256" s="35">
        <v>25</v>
      </c>
      <c r="L256" s="35" t="s">
        <v>6490</v>
      </c>
      <c r="M256" s="35">
        <v>25</v>
      </c>
      <c r="N256" s="35">
        <v>50</v>
      </c>
      <c r="O256" s="35">
        <v>50</v>
      </c>
      <c r="P256" s="31">
        <v>50</v>
      </c>
      <c r="Q256" s="49">
        <v>0</v>
      </c>
    </row>
    <row r="257" spans="1:17" x14ac:dyDescent="0.25">
      <c r="A257" s="36" t="s">
        <v>219</v>
      </c>
      <c r="B257" s="35">
        <v>2025</v>
      </c>
      <c r="C257" s="35">
        <v>2027</v>
      </c>
      <c r="D257" s="33">
        <v>64</v>
      </c>
      <c r="E257" s="33" t="s">
        <v>6490</v>
      </c>
      <c r="F257" s="33">
        <v>64</v>
      </c>
      <c r="G257" s="31">
        <v>1.5</v>
      </c>
      <c r="H257" s="31" t="s">
        <v>6490</v>
      </c>
      <c r="I257" s="35" t="s">
        <v>6490</v>
      </c>
      <c r="J257" s="35">
        <v>50</v>
      </c>
      <c r="K257" s="35">
        <v>50</v>
      </c>
      <c r="L257" s="35" t="s">
        <v>6490</v>
      </c>
      <c r="M257" s="35">
        <v>100</v>
      </c>
      <c r="N257" s="35">
        <v>100</v>
      </c>
      <c r="O257" s="35">
        <v>50</v>
      </c>
      <c r="P257" s="31">
        <v>50</v>
      </c>
      <c r="Q257" s="49">
        <v>0</v>
      </c>
    </row>
    <row r="258" spans="1:17" x14ac:dyDescent="0.25">
      <c r="A258" s="36" t="s">
        <v>234</v>
      </c>
      <c r="B258" s="35">
        <v>2025</v>
      </c>
      <c r="C258" s="35">
        <v>2026</v>
      </c>
      <c r="D258" s="33">
        <v>72.5</v>
      </c>
      <c r="E258" s="33" t="s">
        <v>6490</v>
      </c>
      <c r="F258" s="33">
        <v>72.5</v>
      </c>
      <c r="G258" s="31">
        <v>1.4</v>
      </c>
      <c r="H258" s="31">
        <v>0.5</v>
      </c>
      <c r="I258" s="35" t="s">
        <v>6490</v>
      </c>
      <c r="J258" s="35">
        <v>50</v>
      </c>
      <c r="K258" s="35">
        <v>100</v>
      </c>
      <c r="L258" s="35" t="s">
        <v>6490</v>
      </c>
      <c r="M258" s="35">
        <v>100</v>
      </c>
      <c r="N258" s="35">
        <v>100</v>
      </c>
      <c r="O258" s="35">
        <v>50</v>
      </c>
      <c r="P258" s="31">
        <v>90</v>
      </c>
      <c r="Q258" s="49">
        <v>0</v>
      </c>
    </row>
    <row r="259" spans="1:17" x14ac:dyDescent="0.25">
      <c r="A259" s="36" t="s">
        <v>388</v>
      </c>
      <c r="B259" s="35">
        <v>2025</v>
      </c>
      <c r="C259" s="35">
        <v>2026</v>
      </c>
      <c r="D259" s="33">
        <v>62.5</v>
      </c>
      <c r="E259" s="33" t="s">
        <v>6490</v>
      </c>
      <c r="F259" s="33">
        <v>62.5</v>
      </c>
      <c r="G259" s="31">
        <v>1.5</v>
      </c>
      <c r="H259" s="31" t="s">
        <v>6490</v>
      </c>
      <c r="I259" s="35" t="s">
        <v>6490</v>
      </c>
      <c r="J259" s="35">
        <v>50</v>
      </c>
      <c r="K259" s="35" t="s">
        <v>6490</v>
      </c>
      <c r="L259" s="35" t="s">
        <v>6490</v>
      </c>
      <c r="M259" s="35">
        <v>100</v>
      </c>
      <c r="N259" s="35">
        <v>100</v>
      </c>
      <c r="O259" s="35">
        <v>50</v>
      </c>
      <c r="P259" s="31">
        <v>100</v>
      </c>
      <c r="Q259" s="49">
        <v>0</v>
      </c>
    </row>
    <row r="260" spans="1:17" x14ac:dyDescent="0.25">
      <c r="A260" s="36" t="s">
        <v>745</v>
      </c>
      <c r="B260" s="35">
        <v>2025</v>
      </c>
      <c r="C260" s="35">
        <v>2026</v>
      </c>
      <c r="D260" s="33">
        <v>70</v>
      </c>
      <c r="E260" s="33" t="s">
        <v>6490</v>
      </c>
      <c r="F260" s="33">
        <v>70</v>
      </c>
      <c r="G260" s="31">
        <v>1</v>
      </c>
      <c r="H260" s="31">
        <v>0.5</v>
      </c>
      <c r="I260" s="35" t="s">
        <v>6490</v>
      </c>
      <c r="J260" s="35">
        <v>50</v>
      </c>
      <c r="K260" s="35">
        <v>50</v>
      </c>
      <c r="L260" s="35" t="s">
        <v>6490</v>
      </c>
      <c r="M260" s="35">
        <v>50</v>
      </c>
      <c r="N260" s="35">
        <v>100</v>
      </c>
      <c r="O260" s="35">
        <v>50</v>
      </c>
      <c r="P260" s="31">
        <v>30</v>
      </c>
      <c r="Q260" s="49">
        <v>0</v>
      </c>
    </row>
    <row r="261" spans="1:17" x14ac:dyDescent="0.25">
      <c r="A261" s="36" t="s">
        <v>761</v>
      </c>
      <c r="B261" s="35">
        <v>2025</v>
      </c>
      <c r="C261" s="35">
        <v>2026</v>
      </c>
      <c r="D261" s="33">
        <v>57</v>
      </c>
      <c r="E261" s="33" t="s">
        <v>6490</v>
      </c>
      <c r="F261" s="33">
        <v>57</v>
      </c>
      <c r="G261" s="31">
        <v>1.5</v>
      </c>
      <c r="H261" s="31" t="s">
        <v>6490</v>
      </c>
      <c r="I261" s="35" t="s">
        <v>6490</v>
      </c>
      <c r="J261" s="35">
        <v>50</v>
      </c>
      <c r="K261" s="35" t="s">
        <v>6490</v>
      </c>
      <c r="L261" s="35" t="s">
        <v>6490</v>
      </c>
      <c r="M261" s="35">
        <v>100</v>
      </c>
      <c r="N261" s="35">
        <v>100</v>
      </c>
      <c r="O261" s="35">
        <v>50</v>
      </c>
      <c r="P261" s="35" t="s">
        <v>6533</v>
      </c>
      <c r="Q261" s="49">
        <v>0</v>
      </c>
    </row>
    <row r="262" spans="1:17" x14ac:dyDescent="0.25">
      <c r="A262" s="36" t="s">
        <v>874</v>
      </c>
      <c r="B262" s="35">
        <v>2025</v>
      </c>
      <c r="C262" s="35">
        <v>2026</v>
      </c>
      <c r="D262" s="33">
        <v>62</v>
      </c>
      <c r="E262" s="33" t="s">
        <v>6490</v>
      </c>
      <c r="F262" s="33">
        <v>62</v>
      </c>
      <c r="G262" s="31">
        <v>0.75</v>
      </c>
      <c r="H262" s="31" t="s">
        <v>6490</v>
      </c>
      <c r="I262" s="35" t="s">
        <v>6490</v>
      </c>
      <c r="J262" s="35">
        <v>50</v>
      </c>
      <c r="K262" s="35" t="s">
        <v>6490</v>
      </c>
      <c r="L262" s="35" t="s">
        <v>6490</v>
      </c>
      <c r="M262" s="35">
        <v>80</v>
      </c>
      <c r="N262" s="35">
        <v>100</v>
      </c>
      <c r="O262" s="35">
        <v>50</v>
      </c>
      <c r="P262" s="35" t="s">
        <v>6499</v>
      </c>
      <c r="Q262" s="49">
        <v>0</v>
      </c>
    </row>
    <row r="263" spans="1:17" x14ac:dyDescent="0.25">
      <c r="A263" s="36" t="s">
        <v>883</v>
      </c>
      <c r="B263" s="35" t="s">
        <v>6494</v>
      </c>
      <c r="C263" s="35" t="s">
        <v>6492</v>
      </c>
      <c r="D263" s="33">
        <v>71</v>
      </c>
      <c r="E263" s="34">
        <v>0</v>
      </c>
      <c r="F263" s="33">
        <v>71</v>
      </c>
      <c r="G263" s="31">
        <v>1</v>
      </c>
      <c r="H263" s="31">
        <v>0.5</v>
      </c>
      <c r="I263" s="32" t="s">
        <v>6490</v>
      </c>
      <c r="J263" s="32">
        <v>50</v>
      </c>
      <c r="K263" s="32">
        <v>50</v>
      </c>
      <c r="L263" s="32">
        <v>30</v>
      </c>
      <c r="M263" s="32">
        <v>80</v>
      </c>
      <c r="N263" s="32">
        <v>100</v>
      </c>
      <c r="O263" s="32" t="s">
        <v>6490</v>
      </c>
      <c r="P263" s="31" t="s">
        <v>6499</v>
      </c>
      <c r="Q263" s="30">
        <v>0</v>
      </c>
    </row>
    <row r="264" spans="1:17" x14ac:dyDescent="0.25">
      <c r="A264" s="36" t="s">
        <v>888</v>
      </c>
      <c r="B264" s="35" t="s">
        <v>6494</v>
      </c>
      <c r="C264" s="35" t="s">
        <v>6492</v>
      </c>
      <c r="D264" s="33">
        <v>75</v>
      </c>
      <c r="E264" s="34">
        <v>0</v>
      </c>
      <c r="F264" s="33">
        <v>75</v>
      </c>
      <c r="G264" s="31">
        <v>1.5</v>
      </c>
      <c r="H264" s="31">
        <v>0.5</v>
      </c>
      <c r="I264" s="32" t="s">
        <v>6490</v>
      </c>
      <c r="J264" s="32">
        <v>50</v>
      </c>
      <c r="K264" s="32" t="s">
        <v>6490</v>
      </c>
      <c r="L264" s="32" t="s">
        <v>6490</v>
      </c>
      <c r="M264" s="32">
        <v>70</v>
      </c>
      <c r="N264" s="32">
        <v>90</v>
      </c>
      <c r="O264" s="32">
        <v>50</v>
      </c>
      <c r="P264" s="31">
        <v>50</v>
      </c>
      <c r="Q264" s="30">
        <v>0</v>
      </c>
    </row>
    <row r="265" spans="1:17" x14ac:dyDescent="0.25">
      <c r="A265" s="36" t="s">
        <v>1089</v>
      </c>
      <c r="B265" s="35">
        <v>2025</v>
      </c>
      <c r="C265" s="35">
        <v>2026</v>
      </c>
      <c r="D265" s="33">
        <v>58</v>
      </c>
      <c r="E265" s="33" t="s">
        <v>6490</v>
      </c>
      <c r="F265" s="33">
        <v>58</v>
      </c>
      <c r="G265" s="31">
        <v>1.5</v>
      </c>
      <c r="H265" s="31">
        <v>0.5</v>
      </c>
      <c r="I265" s="35" t="s">
        <v>6490</v>
      </c>
      <c r="J265" s="35">
        <v>50</v>
      </c>
      <c r="K265" s="35" t="s">
        <v>6490</v>
      </c>
      <c r="L265" s="35" t="s">
        <v>6490</v>
      </c>
      <c r="M265" s="35">
        <v>50</v>
      </c>
      <c r="N265" s="35">
        <v>100</v>
      </c>
      <c r="O265" s="35">
        <v>50</v>
      </c>
      <c r="P265" s="31">
        <v>50</v>
      </c>
      <c r="Q265" s="49">
        <v>0</v>
      </c>
    </row>
    <row r="266" spans="1:17" x14ac:dyDescent="0.25">
      <c r="A266" s="36" t="s">
        <v>1100</v>
      </c>
      <c r="B266" s="35">
        <v>2025</v>
      </c>
      <c r="C266" s="35">
        <v>2026</v>
      </c>
      <c r="D266" s="33">
        <v>66</v>
      </c>
      <c r="E266" s="33" t="s">
        <v>6490</v>
      </c>
      <c r="F266" s="33">
        <v>66</v>
      </c>
      <c r="G266" s="31">
        <v>1.5</v>
      </c>
      <c r="H266" s="31" t="s">
        <v>6490</v>
      </c>
      <c r="I266" s="35" t="s">
        <v>6490</v>
      </c>
      <c r="J266" s="35">
        <v>50</v>
      </c>
      <c r="K266" s="35" t="s">
        <v>6490</v>
      </c>
      <c r="L266" s="35" t="s">
        <v>6490</v>
      </c>
      <c r="M266" s="35">
        <v>100</v>
      </c>
      <c r="N266" s="35">
        <v>100</v>
      </c>
      <c r="O266" s="35">
        <v>50</v>
      </c>
      <c r="P266" s="31">
        <v>80</v>
      </c>
      <c r="Q266" s="49">
        <v>0</v>
      </c>
    </row>
    <row r="267" spans="1:17" x14ac:dyDescent="0.25">
      <c r="A267" s="36" t="s">
        <v>1205</v>
      </c>
      <c r="B267" s="35">
        <v>2025</v>
      </c>
      <c r="C267" s="35">
        <v>2026</v>
      </c>
      <c r="D267" s="33">
        <v>59</v>
      </c>
      <c r="E267" s="33" t="s">
        <v>6490</v>
      </c>
      <c r="F267" s="33">
        <v>59</v>
      </c>
      <c r="G267" s="31">
        <v>1</v>
      </c>
      <c r="H267" s="31" t="s">
        <v>6490</v>
      </c>
      <c r="I267" s="35" t="s">
        <v>6490</v>
      </c>
      <c r="J267" s="35">
        <v>50</v>
      </c>
      <c r="K267" s="35" t="s">
        <v>6490</v>
      </c>
      <c r="L267" s="35" t="s">
        <v>6490</v>
      </c>
      <c r="M267" s="35">
        <v>100</v>
      </c>
      <c r="N267" s="35">
        <v>100</v>
      </c>
      <c r="O267" s="35">
        <v>50</v>
      </c>
      <c r="P267" s="31">
        <v>100</v>
      </c>
      <c r="Q267" s="49">
        <v>0</v>
      </c>
    </row>
    <row r="268" spans="1:17" x14ac:dyDescent="0.25">
      <c r="A268" s="36" t="s">
        <v>1247</v>
      </c>
      <c r="B268" s="35" t="s">
        <v>6494</v>
      </c>
      <c r="C268" s="35" t="s">
        <v>6492</v>
      </c>
      <c r="D268" s="33">
        <v>49</v>
      </c>
      <c r="E268" s="34">
        <v>0</v>
      </c>
      <c r="F268" s="33">
        <v>49</v>
      </c>
      <c r="G268" s="31">
        <v>1</v>
      </c>
      <c r="H268" s="31" t="s">
        <v>6490</v>
      </c>
      <c r="I268" s="32" t="s">
        <v>6490</v>
      </c>
      <c r="J268" s="32">
        <v>50</v>
      </c>
      <c r="K268" s="32">
        <v>45</v>
      </c>
      <c r="L268" s="32" t="s">
        <v>6490</v>
      </c>
      <c r="M268" s="32">
        <v>70</v>
      </c>
      <c r="N268" s="32">
        <v>100</v>
      </c>
      <c r="O268" s="32">
        <v>45</v>
      </c>
      <c r="P268" s="31" t="s">
        <v>6490</v>
      </c>
      <c r="Q268" s="30">
        <v>0</v>
      </c>
    </row>
    <row r="269" spans="1:17" x14ac:dyDescent="0.25">
      <c r="A269" s="36" t="s">
        <v>1252</v>
      </c>
      <c r="B269" s="35">
        <v>2025</v>
      </c>
      <c r="C269" s="35">
        <v>2026</v>
      </c>
      <c r="D269" s="33">
        <v>58</v>
      </c>
      <c r="E269" s="33" t="s">
        <v>6490</v>
      </c>
      <c r="F269" s="33">
        <v>58</v>
      </c>
      <c r="G269" s="31">
        <v>1.3</v>
      </c>
      <c r="H269" s="31" t="s">
        <v>6490</v>
      </c>
      <c r="I269" s="35" t="s">
        <v>6490</v>
      </c>
      <c r="J269" s="35">
        <v>50</v>
      </c>
      <c r="K269" s="35" t="s">
        <v>6490</v>
      </c>
      <c r="L269" s="35" t="s">
        <v>6490</v>
      </c>
      <c r="M269" s="35">
        <v>100</v>
      </c>
      <c r="N269" s="35">
        <v>100</v>
      </c>
      <c r="O269" s="35">
        <v>50</v>
      </c>
      <c r="P269" s="35" t="s">
        <v>6499</v>
      </c>
      <c r="Q269" s="49">
        <v>0</v>
      </c>
    </row>
    <row r="270" spans="1:17" x14ac:dyDescent="0.25">
      <c r="A270" s="36" t="s">
        <v>1281</v>
      </c>
      <c r="B270" s="35">
        <v>2025</v>
      </c>
      <c r="C270" s="35">
        <v>2026</v>
      </c>
      <c r="D270" s="33">
        <v>57</v>
      </c>
      <c r="E270" s="33" t="s">
        <v>6490</v>
      </c>
      <c r="F270" s="33">
        <v>57</v>
      </c>
      <c r="G270" s="31">
        <v>1.5</v>
      </c>
      <c r="H270" s="31">
        <v>0.5</v>
      </c>
      <c r="I270" s="35" t="s">
        <v>6490</v>
      </c>
      <c r="J270" s="35">
        <v>50</v>
      </c>
      <c r="K270" s="35" t="s">
        <v>6490</v>
      </c>
      <c r="L270" s="35" t="s">
        <v>6490</v>
      </c>
      <c r="M270" s="35">
        <v>100</v>
      </c>
      <c r="N270" s="35">
        <v>100</v>
      </c>
      <c r="O270" s="35">
        <v>50</v>
      </c>
      <c r="P270" s="31">
        <v>50</v>
      </c>
      <c r="Q270" s="49">
        <v>0</v>
      </c>
    </row>
    <row r="271" spans="1:17" x14ac:dyDescent="0.25">
      <c r="A271" s="36" t="s">
        <v>6536</v>
      </c>
      <c r="B271" s="35">
        <v>2025</v>
      </c>
      <c r="C271" s="35">
        <v>2026</v>
      </c>
      <c r="D271" s="33">
        <v>59</v>
      </c>
      <c r="E271" s="33" t="s">
        <v>6490</v>
      </c>
      <c r="F271" s="33">
        <v>59</v>
      </c>
      <c r="G271" s="31">
        <v>1</v>
      </c>
      <c r="H271" s="31" t="s">
        <v>6490</v>
      </c>
      <c r="I271" s="35" t="s">
        <v>6490</v>
      </c>
      <c r="J271" s="35">
        <v>50</v>
      </c>
      <c r="K271" s="35" t="s">
        <v>6490</v>
      </c>
      <c r="L271" s="35" t="s">
        <v>6490</v>
      </c>
      <c r="M271" s="35">
        <v>70</v>
      </c>
      <c r="N271" s="35">
        <v>100</v>
      </c>
      <c r="O271" s="35">
        <v>50</v>
      </c>
      <c r="P271" s="35" t="s">
        <v>6499</v>
      </c>
      <c r="Q271" s="49" t="s">
        <v>6537</v>
      </c>
    </row>
    <row r="272" spans="1:17" x14ac:dyDescent="0.25">
      <c r="A272" s="36" t="s">
        <v>1448</v>
      </c>
      <c r="B272" s="35">
        <v>2025</v>
      </c>
      <c r="C272" s="35">
        <v>2026</v>
      </c>
      <c r="D272" s="33">
        <v>65</v>
      </c>
      <c r="E272" s="33" t="s">
        <v>6490</v>
      </c>
      <c r="F272" s="33">
        <v>65</v>
      </c>
      <c r="G272" s="31">
        <v>1</v>
      </c>
      <c r="H272" s="31" t="s">
        <v>6490</v>
      </c>
      <c r="I272" s="35" t="s">
        <v>6490</v>
      </c>
      <c r="J272" s="35">
        <v>50</v>
      </c>
      <c r="K272" s="35" t="s">
        <v>6490</v>
      </c>
      <c r="L272" s="35" t="s">
        <v>6490</v>
      </c>
      <c r="M272" s="35">
        <v>50</v>
      </c>
      <c r="N272" s="35">
        <v>100</v>
      </c>
      <c r="O272" s="35">
        <v>50</v>
      </c>
      <c r="P272" s="31">
        <v>60</v>
      </c>
      <c r="Q272" s="49">
        <v>0</v>
      </c>
    </row>
    <row r="273" spans="1:17" x14ac:dyDescent="0.25">
      <c r="A273" s="36" t="s">
        <v>1635</v>
      </c>
      <c r="B273" s="35">
        <v>2025</v>
      </c>
      <c r="C273" s="35">
        <v>2026</v>
      </c>
      <c r="D273" s="33">
        <v>66</v>
      </c>
      <c r="E273" s="33" t="s">
        <v>6490</v>
      </c>
      <c r="F273" s="33">
        <v>66</v>
      </c>
      <c r="G273" s="31">
        <v>1</v>
      </c>
      <c r="H273" s="31">
        <v>0.5</v>
      </c>
      <c r="I273" s="35" t="s">
        <v>6490</v>
      </c>
      <c r="J273" s="35">
        <v>50</v>
      </c>
      <c r="K273" s="35">
        <v>50</v>
      </c>
      <c r="L273" s="35" t="s">
        <v>6490</v>
      </c>
      <c r="M273" s="35">
        <v>100</v>
      </c>
      <c r="N273" s="35">
        <v>100</v>
      </c>
      <c r="O273" s="35">
        <v>50</v>
      </c>
      <c r="P273" s="35" t="s">
        <v>6499</v>
      </c>
      <c r="Q273" s="49">
        <v>0</v>
      </c>
    </row>
    <row r="274" spans="1:17" x14ac:dyDescent="0.25">
      <c r="A274" s="36" t="s">
        <v>1642</v>
      </c>
      <c r="B274" s="35">
        <v>2022</v>
      </c>
      <c r="C274" s="35">
        <v>2026</v>
      </c>
      <c r="D274" s="33">
        <v>53</v>
      </c>
      <c r="E274" s="33" t="s">
        <v>6490</v>
      </c>
      <c r="F274" s="33">
        <v>53</v>
      </c>
      <c r="G274" s="31">
        <v>1</v>
      </c>
      <c r="H274" s="31">
        <v>0.5</v>
      </c>
      <c r="I274" s="35" t="s">
        <v>6490</v>
      </c>
      <c r="J274" s="35">
        <v>50</v>
      </c>
      <c r="K274" s="35">
        <v>30</v>
      </c>
      <c r="L274" s="35" t="s">
        <v>6490</v>
      </c>
      <c r="M274" s="35">
        <v>50</v>
      </c>
      <c r="N274" s="35">
        <v>100</v>
      </c>
      <c r="O274" s="35">
        <v>50</v>
      </c>
      <c r="P274" s="31">
        <v>40</v>
      </c>
      <c r="Q274" s="49">
        <v>0</v>
      </c>
    </row>
    <row r="275" spans="1:17" x14ac:dyDescent="0.25">
      <c r="A275" s="36" t="s">
        <v>1893</v>
      </c>
      <c r="B275" s="35">
        <v>2025</v>
      </c>
      <c r="C275" s="35">
        <v>2026</v>
      </c>
      <c r="D275" s="33">
        <v>66.5</v>
      </c>
      <c r="E275" s="33" t="s">
        <v>6490</v>
      </c>
      <c r="F275" s="33">
        <v>66.5</v>
      </c>
      <c r="G275" s="31">
        <v>1.3</v>
      </c>
      <c r="H275" s="31" t="s">
        <v>6490</v>
      </c>
      <c r="I275" s="35" t="s">
        <v>6490</v>
      </c>
      <c r="J275" s="35">
        <v>50</v>
      </c>
      <c r="K275" s="35">
        <v>50</v>
      </c>
      <c r="L275" s="35">
        <v>50</v>
      </c>
      <c r="M275" s="35">
        <v>100</v>
      </c>
      <c r="N275" s="35">
        <v>100</v>
      </c>
      <c r="O275" s="35">
        <v>50</v>
      </c>
      <c r="P275" s="31">
        <v>50</v>
      </c>
      <c r="Q275" s="49">
        <v>10</v>
      </c>
    </row>
    <row r="276" spans="1:17" x14ac:dyDescent="0.25">
      <c r="A276" s="36" t="s">
        <v>1933</v>
      </c>
      <c r="B276" s="35">
        <v>2025</v>
      </c>
      <c r="C276" s="35">
        <v>2026</v>
      </c>
      <c r="D276" s="33">
        <v>59.5</v>
      </c>
      <c r="E276" s="33" t="s">
        <v>6490</v>
      </c>
      <c r="F276" s="33">
        <v>59.5</v>
      </c>
      <c r="G276" s="31">
        <v>1</v>
      </c>
      <c r="H276" s="31" t="s">
        <v>6490</v>
      </c>
      <c r="I276" s="35" t="s">
        <v>6490</v>
      </c>
      <c r="J276" s="35">
        <v>50</v>
      </c>
      <c r="K276" s="35">
        <v>50</v>
      </c>
      <c r="L276" s="35">
        <v>50</v>
      </c>
      <c r="M276" s="35">
        <v>100</v>
      </c>
      <c r="N276" s="35">
        <v>100</v>
      </c>
      <c r="O276" s="35">
        <v>50</v>
      </c>
      <c r="P276" s="35" t="s">
        <v>6499</v>
      </c>
      <c r="Q276" s="49" t="s">
        <v>6490</v>
      </c>
    </row>
    <row r="277" spans="1:17" x14ac:dyDescent="0.25">
      <c r="A277" s="36" t="s">
        <v>2003</v>
      </c>
      <c r="B277" s="35">
        <v>2025</v>
      </c>
      <c r="C277" s="35">
        <v>2026</v>
      </c>
      <c r="D277" s="33">
        <v>57</v>
      </c>
      <c r="E277" s="33" t="s">
        <v>6490</v>
      </c>
      <c r="F277" s="33">
        <v>57</v>
      </c>
      <c r="G277" s="31">
        <v>1</v>
      </c>
      <c r="H277" s="31" t="s">
        <v>6490</v>
      </c>
      <c r="I277" s="35" t="s">
        <v>6490</v>
      </c>
      <c r="J277" s="35">
        <v>50</v>
      </c>
      <c r="K277" s="35" t="s">
        <v>6490</v>
      </c>
      <c r="L277" s="35" t="s">
        <v>6490</v>
      </c>
      <c r="M277" s="35">
        <v>100</v>
      </c>
      <c r="N277" s="35">
        <v>100</v>
      </c>
      <c r="O277" s="35">
        <v>50</v>
      </c>
      <c r="P277" s="31">
        <v>90</v>
      </c>
      <c r="Q277" s="49">
        <v>0</v>
      </c>
    </row>
    <row r="278" spans="1:17" x14ac:dyDescent="0.25">
      <c r="A278" s="36" t="s">
        <v>2023</v>
      </c>
      <c r="B278" s="35">
        <v>2025</v>
      </c>
      <c r="C278" s="35">
        <v>2026</v>
      </c>
      <c r="D278" s="33">
        <v>52</v>
      </c>
      <c r="E278" s="33" t="s">
        <v>6490</v>
      </c>
      <c r="F278" s="33">
        <v>52</v>
      </c>
      <c r="G278" s="31">
        <v>1</v>
      </c>
      <c r="H278" s="31" t="s">
        <v>6490</v>
      </c>
      <c r="I278" s="35" t="s">
        <v>6490</v>
      </c>
      <c r="J278" s="35">
        <v>50</v>
      </c>
      <c r="K278" s="35" t="s">
        <v>6490</v>
      </c>
      <c r="L278" s="35" t="s">
        <v>6490</v>
      </c>
      <c r="M278" s="35">
        <v>50</v>
      </c>
      <c r="N278" s="35">
        <v>50</v>
      </c>
      <c r="O278" s="35">
        <v>50</v>
      </c>
      <c r="P278" s="35" t="s">
        <v>6503</v>
      </c>
      <c r="Q278" s="49">
        <v>0</v>
      </c>
    </row>
    <row r="279" spans="1:17" x14ac:dyDescent="0.25">
      <c r="A279" s="36" t="s">
        <v>2044</v>
      </c>
      <c r="B279" s="35">
        <v>2025</v>
      </c>
      <c r="C279" s="35">
        <v>2026</v>
      </c>
      <c r="D279" s="33">
        <v>62.5</v>
      </c>
      <c r="E279" s="33" t="s">
        <v>6490</v>
      </c>
      <c r="F279" s="33">
        <v>62.5</v>
      </c>
      <c r="G279" s="31">
        <v>1</v>
      </c>
      <c r="H279" s="31" t="s">
        <v>6490</v>
      </c>
      <c r="I279" s="35" t="s">
        <v>6490</v>
      </c>
      <c r="J279" s="35">
        <v>50</v>
      </c>
      <c r="K279" s="35" t="s">
        <v>6490</v>
      </c>
      <c r="L279" s="35" t="s">
        <v>6490</v>
      </c>
      <c r="M279" s="35">
        <v>50</v>
      </c>
      <c r="N279" s="35">
        <v>100</v>
      </c>
      <c r="O279" s="35">
        <v>50</v>
      </c>
      <c r="P279" s="31">
        <v>40</v>
      </c>
      <c r="Q279" s="49">
        <v>0</v>
      </c>
    </row>
    <row r="280" spans="1:17" x14ac:dyDescent="0.25">
      <c r="A280" s="36" t="s">
        <v>2073</v>
      </c>
      <c r="B280" s="35">
        <v>2025</v>
      </c>
      <c r="C280" s="35">
        <v>2026</v>
      </c>
      <c r="D280" s="33">
        <v>60</v>
      </c>
      <c r="E280" s="33" t="s">
        <v>6490</v>
      </c>
      <c r="F280" s="33">
        <v>60</v>
      </c>
      <c r="G280" s="31">
        <v>0.6</v>
      </c>
      <c r="H280" s="31">
        <v>0.5</v>
      </c>
      <c r="I280" s="35" t="s">
        <v>6490</v>
      </c>
      <c r="J280" s="35">
        <v>50</v>
      </c>
      <c r="K280" s="35" t="s">
        <v>6490</v>
      </c>
      <c r="L280" s="35" t="s">
        <v>6490</v>
      </c>
      <c r="M280" s="35">
        <v>25</v>
      </c>
      <c r="N280" s="35">
        <v>100</v>
      </c>
      <c r="O280" s="35">
        <v>50</v>
      </c>
      <c r="P280" s="31">
        <v>100</v>
      </c>
      <c r="Q280" s="49">
        <v>0</v>
      </c>
    </row>
    <row r="281" spans="1:17" x14ac:dyDescent="0.25">
      <c r="A281" s="36" t="s">
        <v>2084</v>
      </c>
      <c r="B281" s="35">
        <v>2025</v>
      </c>
      <c r="C281" s="35">
        <v>2026</v>
      </c>
      <c r="D281" s="33">
        <v>68.5</v>
      </c>
      <c r="E281" s="33" t="s">
        <v>6490</v>
      </c>
      <c r="F281" s="33">
        <v>68.5</v>
      </c>
      <c r="G281" s="31">
        <v>0.9</v>
      </c>
      <c r="H281" s="31" t="s">
        <v>6490</v>
      </c>
      <c r="I281" s="35" t="s">
        <v>6490</v>
      </c>
      <c r="J281" s="35">
        <v>50</v>
      </c>
      <c r="K281" s="35" t="s">
        <v>6490</v>
      </c>
      <c r="L281" s="35" t="s">
        <v>6490</v>
      </c>
      <c r="M281" s="35" t="s">
        <v>6490</v>
      </c>
      <c r="N281" s="35">
        <v>100</v>
      </c>
      <c r="O281" s="35" t="s">
        <v>6490</v>
      </c>
      <c r="P281" s="31">
        <v>80</v>
      </c>
      <c r="Q281" s="49">
        <v>0</v>
      </c>
    </row>
    <row r="282" spans="1:17" x14ac:dyDescent="0.25">
      <c r="A282" s="36" t="s">
        <v>2089</v>
      </c>
      <c r="B282" s="35">
        <v>2025</v>
      </c>
      <c r="C282" s="35">
        <v>2026</v>
      </c>
      <c r="D282" s="33">
        <v>61</v>
      </c>
      <c r="E282" s="33" t="s">
        <v>6490</v>
      </c>
      <c r="F282" s="33">
        <v>61</v>
      </c>
      <c r="G282" s="31">
        <v>1</v>
      </c>
      <c r="H282" s="31" t="s">
        <v>6490</v>
      </c>
      <c r="I282" s="35" t="s">
        <v>6490</v>
      </c>
      <c r="J282" s="35">
        <v>50</v>
      </c>
      <c r="K282" s="35">
        <v>50</v>
      </c>
      <c r="L282" s="35">
        <v>50</v>
      </c>
      <c r="M282" s="35">
        <v>100</v>
      </c>
      <c r="N282" s="35">
        <v>100</v>
      </c>
      <c r="O282" s="35">
        <v>50</v>
      </c>
      <c r="P282" s="31">
        <v>100</v>
      </c>
      <c r="Q282" s="49">
        <v>0</v>
      </c>
    </row>
    <row r="283" spans="1:17" x14ac:dyDescent="0.25">
      <c r="A283" s="36" t="s">
        <v>2211</v>
      </c>
      <c r="B283" s="35">
        <v>2025</v>
      </c>
      <c r="C283" s="35">
        <v>2026</v>
      </c>
      <c r="D283" s="33">
        <v>60</v>
      </c>
      <c r="E283" s="33" t="s">
        <v>6490</v>
      </c>
      <c r="F283" s="33">
        <v>60</v>
      </c>
      <c r="G283" s="31">
        <v>1</v>
      </c>
      <c r="H283" s="31" t="s">
        <v>6490</v>
      </c>
      <c r="I283" s="35" t="s">
        <v>6490</v>
      </c>
      <c r="J283" s="35">
        <v>50</v>
      </c>
      <c r="K283" s="35" t="s">
        <v>6490</v>
      </c>
      <c r="L283" s="35" t="s">
        <v>6490</v>
      </c>
      <c r="M283" s="35">
        <v>50</v>
      </c>
      <c r="N283" s="35">
        <v>50</v>
      </c>
      <c r="O283" s="35">
        <v>50</v>
      </c>
      <c r="P283" s="31">
        <v>50</v>
      </c>
      <c r="Q283" s="49">
        <v>5</v>
      </c>
    </row>
    <row r="284" spans="1:17" x14ac:dyDescent="0.25">
      <c r="A284" s="36" t="s">
        <v>2460</v>
      </c>
      <c r="B284" s="35">
        <v>2025</v>
      </c>
      <c r="C284" s="35">
        <v>2026</v>
      </c>
      <c r="D284" s="33">
        <v>63.5</v>
      </c>
      <c r="E284" s="33" t="s">
        <v>6490</v>
      </c>
      <c r="F284" s="33">
        <v>63.5</v>
      </c>
      <c r="G284" s="31">
        <v>1</v>
      </c>
      <c r="H284" s="31" t="s">
        <v>6490</v>
      </c>
      <c r="I284" s="35" t="s">
        <v>6490</v>
      </c>
      <c r="J284" s="35">
        <v>50</v>
      </c>
      <c r="K284" s="35" t="s">
        <v>6490</v>
      </c>
      <c r="L284" s="35" t="s">
        <v>6490</v>
      </c>
      <c r="M284" s="35">
        <v>50</v>
      </c>
      <c r="N284" s="35">
        <v>100</v>
      </c>
      <c r="O284" s="35">
        <v>50</v>
      </c>
      <c r="P284" s="31">
        <v>100</v>
      </c>
      <c r="Q284" s="49">
        <v>0</v>
      </c>
    </row>
    <row r="285" spans="1:17" x14ac:dyDescent="0.25">
      <c r="A285" s="36" t="s">
        <v>3179</v>
      </c>
      <c r="B285" s="35" t="s">
        <v>6494</v>
      </c>
      <c r="C285" s="35" t="s">
        <v>6492</v>
      </c>
      <c r="D285" s="33">
        <v>69</v>
      </c>
      <c r="E285" s="34">
        <v>0</v>
      </c>
      <c r="F285" s="33">
        <v>69</v>
      </c>
      <c r="G285" s="31">
        <v>1.5</v>
      </c>
      <c r="H285" s="31" t="s">
        <v>6490</v>
      </c>
      <c r="I285" s="32" t="s">
        <v>6490</v>
      </c>
      <c r="J285" s="32">
        <v>50</v>
      </c>
      <c r="K285" s="32" t="s">
        <v>6490</v>
      </c>
      <c r="L285" s="32" t="s">
        <v>6490</v>
      </c>
      <c r="M285" s="32">
        <v>100</v>
      </c>
      <c r="N285" s="32">
        <v>100</v>
      </c>
      <c r="O285" s="32">
        <v>50</v>
      </c>
      <c r="P285" s="31">
        <v>100</v>
      </c>
      <c r="Q285" s="30">
        <v>0</v>
      </c>
    </row>
    <row r="286" spans="1:17" x14ac:dyDescent="0.25">
      <c r="A286" s="36" t="s">
        <v>3352</v>
      </c>
      <c r="B286" s="35" t="s">
        <v>6494</v>
      </c>
      <c r="C286" s="35" t="s">
        <v>6492</v>
      </c>
      <c r="D286" s="33">
        <v>77.5</v>
      </c>
      <c r="E286" s="34">
        <v>0</v>
      </c>
      <c r="F286" s="33">
        <v>77.5</v>
      </c>
      <c r="G286" s="31">
        <v>1</v>
      </c>
      <c r="H286" s="31">
        <v>0.5</v>
      </c>
      <c r="I286" s="32" t="s">
        <v>6490</v>
      </c>
      <c r="J286" s="32">
        <v>50</v>
      </c>
      <c r="K286" s="32" t="s">
        <v>6490</v>
      </c>
      <c r="L286" s="32" t="s">
        <v>6490</v>
      </c>
      <c r="M286" s="32">
        <v>80</v>
      </c>
      <c r="N286" s="32">
        <v>100</v>
      </c>
      <c r="O286" s="32">
        <v>50</v>
      </c>
      <c r="P286" s="31">
        <v>90</v>
      </c>
      <c r="Q286" s="30">
        <v>0</v>
      </c>
    </row>
    <row r="287" spans="1:17" x14ac:dyDescent="0.25">
      <c r="A287" s="36" t="s">
        <v>3391</v>
      </c>
      <c r="B287" s="35">
        <v>2025</v>
      </c>
      <c r="C287" s="35">
        <v>2026</v>
      </c>
      <c r="D287" s="33">
        <v>58.5</v>
      </c>
      <c r="E287" s="33" t="s">
        <v>6490</v>
      </c>
      <c r="F287" s="33">
        <v>58.5</v>
      </c>
      <c r="G287" s="31">
        <v>1.5</v>
      </c>
      <c r="H287" s="31" t="s">
        <v>6490</v>
      </c>
      <c r="I287" s="35" t="s">
        <v>6490</v>
      </c>
      <c r="J287" s="35">
        <v>50</v>
      </c>
      <c r="K287" s="35">
        <v>50</v>
      </c>
      <c r="L287" s="35">
        <v>40</v>
      </c>
      <c r="M287" s="35">
        <v>100</v>
      </c>
      <c r="N287" s="35">
        <v>100</v>
      </c>
      <c r="O287" s="35">
        <v>30</v>
      </c>
      <c r="P287" s="35" t="s">
        <v>6523</v>
      </c>
      <c r="Q287" s="49">
        <v>0</v>
      </c>
    </row>
    <row r="288" spans="1:17" x14ac:dyDescent="0.25">
      <c r="A288" s="36" t="s">
        <v>3512</v>
      </c>
      <c r="B288" s="35">
        <v>2025</v>
      </c>
      <c r="C288" s="35">
        <v>2026</v>
      </c>
      <c r="D288" s="33">
        <v>77.5</v>
      </c>
      <c r="E288" s="33" t="s">
        <v>6490</v>
      </c>
      <c r="F288" s="33">
        <v>77.5</v>
      </c>
      <c r="G288" s="31">
        <v>1</v>
      </c>
      <c r="H288" s="31">
        <v>0.5</v>
      </c>
      <c r="I288" s="35" t="s">
        <v>6490</v>
      </c>
      <c r="J288" s="35">
        <v>50</v>
      </c>
      <c r="K288" s="35">
        <v>50</v>
      </c>
      <c r="L288" s="35">
        <v>50</v>
      </c>
      <c r="M288" s="35">
        <v>100</v>
      </c>
      <c r="N288" s="35">
        <v>100</v>
      </c>
      <c r="O288" s="35">
        <v>50</v>
      </c>
      <c r="P288" s="31">
        <v>80</v>
      </c>
      <c r="Q288" s="49">
        <v>0</v>
      </c>
    </row>
    <row r="289" spans="1:17" x14ac:dyDescent="0.25">
      <c r="A289" s="36" t="s">
        <v>3544</v>
      </c>
      <c r="B289" s="35">
        <v>2025</v>
      </c>
      <c r="C289" s="35">
        <v>2026</v>
      </c>
      <c r="D289" s="33">
        <v>54</v>
      </c>
      <c r="E289" s="33" t="s">
        <v>6490</v>
      </c>
      <c r="F289" s="33">
        <v>54</v>
      </c>
      <c r="G289" s="31">
        <v>1</v>
      </c>
      <c r="H289" s="31" t="s">
        <v>6490</v>
      </c>
      <c r="I289" s="35" t="s">
        <v>6490</v>
      </c>
      <c r="J289" s="35">
        <v>50</v>
      </c>
      <c r="K289" s="35" t="s">
        <v>6490</v>
      </c>
      <c r="L289" s="35" t="s">
        <v>6490</v>
      </c>
      <c r="M289" s="35">
        <v>75</v>
      </c>
      <c r="N289" s="35">
        <v>75</v>
      </c>
      <c r="O289" s="35">
        <v>50</v>
      </c>
      <c r="P289" s="31">
        <v>50</v>
      </c>
      <c r="Q289" s="49">
        <v>0</v>
      </c>
    </row>
    <row r="290" spans="1:17" x14ac:dyDescent="0.25">
      <c r="A290" s="36" t="s">
        <v>3990</v>
      </c>
      <c r="B290" s="35">
        <v>2025</v>
      </c>
      <c r="C290" s="35">
        <v>2026</v>
      </c>
      <c r="D290" s="33">
        <v>62</v>
      </c>
      <c r="E290" s="33" t="s">
        <v>6490</v>
      </c>
      <c r="F290" s="33">
        <v>62</v>
      </c>
      <c r="G290" s="31">
        <v>1</v>
      </c>
      <c r="H290" s="31">
        <v>0.5</v>
      </c>
      <c r="I290" s="35" t="s">
        <v>6490</v>
      </c>
      <c r="J290" s="35">
        <v>50</v>
      </c>
      <c r="K290" s="35">
        <v>40</v>
      </c>
      <c r="L290" s="35">
        <v>40</v>
      </c>
      <c r="M290" s="35">
        <v>100</v>
      </c>
      <c r="N290" s="35">
        <v>100</v>
      </c>
      <c r="O290" s="35">
        <v>30</v>
      </c>
      <c r="P290" s="35" t="s">
        <v>6499</v>
      </c>
      <c r="Q290" s="49">
        <v>0</v>
      </c>
    </row>
    <row r="291" spans="1:17" x14ac:dyDescent="0.25">
      <c r="A291" s="36" t="s">
        <v>4135</v>
      </c>
      <c r="B291" s="35">
        <v>2023</v>
      </c>
      <c r="C291" s="35">
        <v>2026</v>
      </c>
      <c r="D291" s="33">
        <v>61</v>
      </c>
      <c r="E291" s="33" t="s">
        <v>6490</v>
      </c>
      <c r="F291" s="33">
        <v>61</v>
      </c>
      <c r="G291" s="31">
        <v>1.5</v>
      </c>
      <c r="H291" s="31" t="s">
        <v>6490</v>
      </c>
      <c r="I291" s="35" t="s">
        <v>6490</v>
      </c>
      <c r="J291" s="35">
        <v>50</v>
      </c>
      <c r="K291" s="35">
        <v>100</v>
      </c>
      <c r="L291" s="35">
        <v>100</v>
      </c>
      <c r="M291" s="35">
        <v>100</v>
      </c>
      <c r="N291" s="35">
        <v>100</v>
      </c>
      <c r="O291" s="35">
        <v>50</v>
      </c>
      <c r="P291" s="31">
        <v>75</v>
      </c>
      <c r="Q291" s="49">
        <v>0</v>
      </c>
    </row>
    <row r="292" spans="1:17" x14ac:dyDescent="0.25">
      <c r="A292" s="36" t="s">
        <v>4920</v>
      </c>
      <c r="B292" s="35">
        <v>2025</v>
      </c>
      <c r="C292" s="35">
        <v>2026</v>
      </c>
      <c r="D292" s="33">
        <v>60.5</v>
      </c>
      <c r="E292" s="33" t="s">
        <v>6490</v>
      </c>
      <c r="F292" s="33">
        <v>60.5</v>
      </c>
      <c r="G292" s="31">
        <v>1.3</v>
      </c>
      <c r="H292" s="31" t="s">
        <v>6490</v>
      </c>
      <c r="I292" s="35" t="s">
        <v>6490</v>
      </c>
      <c r="J292" s="35">
        <v>50</v>
      </c>
      <c r="K292" s="35">
        <v>30</v>
      </c>
      <c r="L292" s="35">
        <v>30</v>
      </c>
      <c r="M292" s="35">
        <v>100</v>
      </c>
      <c r="N292" s="35">
        <v>100</v>
      </c>
      <c r="O292" s="35">
        <v>50</v>
      </c>
      <c r="P292" s="31">
        <v>80</v>
      </c>
      <c r="Q292" s="49">
        <v>0</v>
      </c>
    </row>
    <row r="293" spans="1:17" x14ac:dyDescent="0.25">
      <c r="A293" s="36" t="s">
        <v>4952</v>
      </c>
      <c r="B293" s="35">
        <v>2025</v>
      </c>
      <c r="C293" s="35">
        <v>2026</v>
      </c>
      <c r="D293" s="33">
        <v>57</v>
      </c>
      <c r="E293" s="33" t="s">
        <v>6490</v>
      </c>
      <c r="F293" s="33">
        <v>57</v>
      </c>
      <c r="G293" s="31">
        <v>1.4</v>
      </c>
      <c r="H293" s="31" t="s">
        <v>6490</v>
      </c>
      <c r="I293" s="35" t="s">
        <v>6490</v>
      </c>
      <c r="J293" s="35">
        <v>50</v>
      </c>
      <c r="K293" s="35">
        <v>100</v>
      </c>
      <c r="L293" s="35" t="s">
        <v>6490</v>
      </c>
      <c r="M293" s="35">
        <v>100</v>
      </c>
      <c r="N293" s="35">
        <v>100</v>
      </c>
      <c r="O293" s="35">
        <v>50</v>
      </c>
      <c r="P293" s="31">
        <v>70</v>
      </c>
      <c r="Q293" s="49">
        <v>0</v>
      </c>
    </row>
    <row r="294" spans="1:17" x14ac:dyDescent="0.25">
      <c r="A294" s="36" t="s">
        <v>5290</v>
      </c>
      <c r="B294" s="35">
        <v>2025</v>
      </c>
      <c r="C294" s="35">
        <v>2026</v>
      </c>
      <c r="D294" s="33">
        <v>59.5</v>
      </c>
      <c r="E294" s="33" t="s">
        <v>6490</v>
      </c>
      <c r="F294" s="33">
        <v>59.5</v>
      </c>
      <c r="G294" s="31">
        <v>1</v>
      </c>
      <c r="H294" s="31">
        <v>0.5</v>
      </c>
      <c r="I294" s="35" t="s">
        <v>6490</v>
      </c>
      <c r="J294" s="35">
        <v>50</v>
      </c>
      <c r="K294" s="35">
        <v>50</v>
      </c>
      <c r="L294" s="35" t="s">
        <v>6490</v>
      </c>
      <c r="M294" s="35">
        <v>100</v>
      </c>
      <c r="N294" s="35">
        <v>100</v>
      </c>
      <c r="O294" s="35">
        <v>50</v>
      </c>
      <c r="P294" s="31">
        <v>75</v>
      </c>
      <c r="Q294" s="49">
        <v>0</v>
      </c>
    </row>
    <row r="295" spans="1:17" x14ac:dyDescent="0.25">
      <c r="A295" s="36" t="s">
        <v>5432</v>
      </c>
      <c r="B295" s="35">
        <v>2025</v>
      </c>
      <c r="C295" s="35">
        <v>2026</v>
      </c>
      <c r="D295" s="33">
        <v>66</v>
      </c>
      <c r="E295" s="33" t="s">
        <v>6490</v>
      </c>
      <c r="F295" s="33">
        <v>66</v>
      </c>
      <c r="G295" s="31">
        <v>1.5</v>
      </c>
      <c r="H295" s="31" t="s">
        <v>6490</v>
      </c>
      <c r="I295" s="35" t="s">
        <v>6490</v>
      </c>
      <c r="J295" s="35">
        <v>50</v>
      </c>
      <c r="K295" s="35">
        <v>50</v>
      </c>
      <c r="L295" s="35">
        <v>50</v>
      </c>
      <c r="M295" s="35">
        <v>70</v>
      </c>
      <c r="N295" s="35">
        <v>100</v>
      </c>
      <c r="O295" s="35">
        <v>50</v>
      </c>
      <c r="P295" s="31">
        <v>50</v>
      </c>
      <c r="Q295" s="49">
        <v>0</v>
      </c>
    </row>
    <row r="296" spans="1:17" x14ac:dyDescent="0.25">
      <c r="A296" s="36" t="s">
        <v>5519</v>
      </c>
      <c r="B296" s="35">
        <v>2025</v>
      </c>
      <c r="C296" s="35">
        <v>2026</v>
      </c>
      <c r="D296" s="33">
        <v>69.5</v>
      </c>
      <c r="E296" s="33" t="s">
        <v>6490</v>
      </c>
      <c r="F296" s="33">
        <v>69.5</v>
      </c>
      <c r="G296" s="31">
        <v>1.2</v>
      </c>
      <c r="H296" s="31">
        <v>0.5</v>
      </c>
      <c r="I296" s="35" t="s">
        <v>6490</v>
      </c>
      <c r="J296" s="35">
        <v>50</v>
      </c>
      <c r="K296" s="35">
        <v>20</v>
      </c>
      <c r="L296" s="35">
        <v>20</v>
      </c>
      <c r="M296" s="35">
        <v>100</v>
      </c>
      <c r="N296" s="35">
        <v>100</v>
      </c>
      <c r="O296" s="35">
        <v>50</v>
      </c>
      <c r="P296" s="31">
        <v>80</v>
      </c>
      <c r="Q296" s="49">
        <v>0</v>
      </c>
    </row>
    <row r="297" spans="1:17" x14ac:dyDescent="0.25">
      <c r="A297" s="36" t="s">
        <v>5644</v>
      </c>
      <c r="B297" s="35">
        <v>2025</v>
      </c>
      <c r="C297" s="35">
        <v>2026</v>
      </c>
      <c r="D297" s="33">
        <v>58</v>
      </c>
      <c r="E297" s="33" t="s">
        <v>6490</v>
      </c>
      <c r="F297" s="33">
        <v>58</v>
      </c>
      <c r="G297" s="31">
        <v>1</v>
      </c>
      <c r="H297" s="31">
        <v>0.5</v>
      </c>
      <c r="I297" s="35" t="s">
        <v>6490</v>
      </c>
      <c r="J297" s="35">
        <v>50</v>
      </c>
      <c r="K297" s="35" t="s">
        <v>6490</v>
      </c>
      <c r="L297" s="35" t="s">
        <v>6490</v>
      </c>
      <c r="M297" s="35">
        <v>50</v>
      </c>
      <c r="N297" s="35">
        <v>50</v>
      </c>
      <c r="O297" s="35">
        <v>50</v>
      </c>
      <c r="P297" s="31">
        <v>50</v>
      </c>
      <c r="Q297" s="49" t="s">
        <v>6528</v>
      </c>
    </row>
    <row r="298" spans="1:17" x14ac:dyDescent="0.25">
      <c r="A298" s="36" t="s">
        <v>5672</v>
      </c>
      <c r="B298" s="35">
        <v>2025</v>
      </c>
      <c r="C298" s="35">
        <v>2026</v>
      </c>
      <c r="D298" s="33">
        <v>60.5</v>
      </c>
      <c r="E298" s="33" t="s">
        <v>6490</v>
      </c>
      <c r="F298" s="33">
        <v>60.5</v>
      </c>
      <c r="G298" s="31">
        <v>1.5</v>
      </c>
      <c r="H298" s="31" t="s">
        <v>6490</v>
      </c>
      <c r="I298" s="35" t="s">
        <v>6490</v>
      </c>
      <c r="J298" s="35">
        <v>50</v>
      </c>
      <c r="K298" s="35" t="s">
        <v>6490</v>
      </c>
      <c r="L298" s="35" t="s">
        <v>6490</v>
      </c>
      <c r="M298" s="35" t="s">
        <v>6490</v>
      </c>
      <c r="N298" s="35">
        <v>100</v>
      </c>
      <c r="O298" s="35">
        <v>50</v>
      </c>
      <c r="P298" s="31">
        <v>80</v>
      </c>
      <c r="Q298" s="49">
        <v>0</v>
      </c>
    </row>
    <row r="299" spans="1:17" x14ac:dyDescent="0.25">
      <c r="A299" s="36" t="s">
        <v>5680</v>
      </c>
      <c r="B299" s="35">
        <v>2025</v>
      </c>
      <c r="C299" s="35">
        <v>2026</v>
      </c>
      <c r="D299" s="33">
        <v>79</v>
      </c>
      <c r="E299" s="33" t="s">
        <v>6490</v>
      </c>
      <c r="F299" s="33">
        <v>79</v>
      </c>
      <c r="G299" s="31">
        <v>1</v>
      </c>
      <c r="H299" s="31">
        <v>0.5</v>
      </c>
      <c r="I299" s="35" t="s">
        <v>6490</v>
      </c>
      <c r="J299" s="35">
        <v>50</v>
      </c>
      <c r="K299" s="35">
        <v>40</v>
      </c>
      <c r="L299" s="35">
        <v>40</v>
      </c>
      <c r="M299" s="35">
        <v>100</v>
      </c>
      <c r="N299" s="35">
        <v>100</v>
      </c>
      <c r="O299" s="35">
        <v>50</v>
      </c>
      <c r="P299" s="31">
        <v>50</v>
      </c>
      <c r="Q299" s="49">
        <v>0</v>
      </c>
    </row>
    <row r="300" spans="1:17" x14ac:dyDescent="0.25">
      <c r="A300" s="36" t="s">
        <v>5734</v>
      </c>
      <c r="B300" s="35" t="s">
        <v>6494</v>
      </c>
      <c r="C300" s="35" t="s">
        <v>6492</v>
      </c>
      <c r="D300" s="33">
        <v>57</v>
      </c>
      <c r="E300" s="34">
        <v>0</v>
      </c>
      <c r="F300" s="33">
        <v>57</v>
      </c>
      <c r="G300" s="31">
        <v>0.9</v>
      </c>
      <c r="H300" s="31" t="s">
        <v>6490</v>
      </c>
      <c r="I300" s="32" t="s">
        <v>6490</v>
      </c>
      <c r="J300" s="32">
        <v>50</v>
      </c>
      <c r="K300" s="32" t="s">
        <v>6490</v>
      </c>
      <c r="L300" s="32" t="s">
        <v>6490</v>
      </c>
      <c r="M300" s="32">
        <v>70</v>
      </c>
      <c r="N300" s="32">
        <v>70</v>
      </c>
      <c r="O300" s="32">
        <v>50</v>
      </c>
      <c r="P300" s="31">
        <v>50</v>
      </c>
      <c r="Q300" s="30">
        <v>0</v>
      </c>
    </row>
    <row r="301" spans="1:17" x14ac:dyDescent="0.25">
      <c r="A301" s="36" t="s">
        <v>6042</v>
      </c>
      <c r="B301" s="35" t="s">
        <v>6491</v>
      </c>
      <c r="C301" s="35" t="s">
        <v>6492</v>
      </c>
      <c r="D301" s="33">
        <v>63</v>
      </c>
      <c r="E301" s="34">
        <v>0</v>
      </c>
      <c r="F301" s="33">
        <v>63</v>
      </c>
      <c r="G301" s="31">
        <v>1</v>
      </c>
      <c r="H301" s="31" t="s">
        <v>6490</v>
      </c>
      <c r="I301" s="32" t="s">
        <v>6490</v>
      </c>
      <c r="J301" s="32">
        <v>50</v>
      </c>
      <c r="K301" s="32" t="s">
        <v>6490</v>
      </c>
      <c r="L301" s="32" t="s">
        <v>6490</v>
      </c>
      <c r="M301" s="32">
        <v>50</v>
      </c>
      <c r="N301" s="32">
        <v>100</v>
      </c>
      <c r="O301" s="32">
        <v>50</v>
      </c>
      <c r="P301" s="31">
        <v>100</v>
      </c>
      <c r="Q301" s="30">
        <v>0</v>
      </c>
    </row>
    <row r="302" spans="1:17" x14ac:dyDescent="0.25">
      <c r="A302" s="36" t="s">
        <v>6134</v>
      </c>
      <c r="B302" s="35">
        <v>2025</v>
      </c>
      <c r="C302" s="35">
        <v>2026</v>
      </c>
      <c r="D302" s="33">
        <v>65</v>
      </c>
      <c r="E302" s="33" t="s">
        <v>6490</v>
      </c>
      <c r="F302" s="33">
        <v>65</v>
      </c>
      <c r="G302" s="31">
        <v>1</v>
      </c>
      <c r="H302" s="31">
        <v>0.5</v>
      </c>
      <c r="I302" s="35" t="s">
        <v>6490</v>
      </c>
      <c r="J302" s="35">
        <v>50</v>
      </c>
      <c r="K302" s="35">
        <v>50</v>
      </c>
      <c r="L302" s="35" t="s">
        <v>6490</v>
      </c>
      <c r="M302" s="35">
        <v>100</v>
      </c>
      <c r="N302" s="35">
        <v>100</v>
      </c>
      <c r="O302" s="35">
        <v>50</v>
      </c>
      <c r="P302" s="35" t="s">
        <v>6499</v>
      </c>
      <c r="Q302" s="49">
        <v>0</v>
      </c>
    </row>
    <row r="303" spans="1:17" x14ac:dyDescent="0.25">
      <c r="A303" s="48"/>
      <c r="B303" s="35"/>
      <c r="C303" s="35"/>
      <c r="D303" s="33"/>
      <c r="E303" s="33"/>
      <c r="F303" s="33"/>
      <c r="G303" s="31"/>
      <c r="H303" s="31"/>
      <c r="I303" s="35"/>
      <c r="J303" s="35"/>
      <c r="K303" s="35"/>
      <c r="L303" s="35"/>
      <c r="M303" s="35"/>
      <c r="N303" s="35"/>
      <c r="O303" s="35"/>
      <c r="P303" s="35"/>
      <c r="Q303" s="46"/>
    </row>
    <row r="304" spans="1:17" x14ac:dyDescent="0.25">
      <c r="A304" s="47" t="s">
        <v>6538</v>
      </c>
      <c r="B304" s="35"/>
      <c r="C304" s="35"/>
      <c r="D304" s="33"/>
      <c r="E304" s="33"/>
      <c r="F304" s="33"/>
      <c r="G304" s="31"/>
      <c r="H304" s="31"/>
      <c r="I304" s="35"/>
      <c r="J304" s="35"/>
      <c r="K304" s="35"/>
      <c r="L304" s="35"/>
      <c r="M304" s="35"/>
      <c r="N304" s="35"/>
      <c r="O304" s="35"/>
      <c r="P304" s="35"/>
      <c r="Q304" s="46"/>
    </row>
    <row r="305" spans="1:17" x14ac:dyDescent="0.25">
      <c r="A305" s="36" t="s">
        <v>41</v>
      </c>
      <c r="B305" s="35">
        <v>2025</v>
      </c>
      <c r="C305" s="35">
        <v>2026</v>
      </c>
      <c r="D305" s="33">
        <v>62.5</v>
      </c>
      <c r="E305" s="33" t="s">
        <v>6490</v>
      </c>
      <c r="F305" s="33">
        <v>62.5</v>
      </c>
      <c r="G305" s="31">
        <v>1.25</v>
      </c>
      <c r="H305" s="31">
        <v>0.5</v>
      </c>
      <c r="I305" s="35" t="s">
        <v>6490</v>
      </c>
      <c r="J305" s="35">
        <v>50</v>
      </c>
      <c r="K305" s="35" t="s">
        <v>6490</v>
      </c>
      <c r="L305" s="35" t="s">
        <v>6490</v>
      </c>
      <c r="M305" s="35">
        <v>100</v>
      </c>
      <c r="N305" s="35">
        <v>100</v>
      </c>
      <c r="O305" s="35">
        <v>50</v>
      </c>
      <c r="P305" s="31">
        <v>80</v>
      </c>
      <c r="Q305" s="49">
        <v>0</v>
      </c>
    </row>
    <row r="306" spans="1:17" x14ac:dyDescent="0.25">
      <c r="A306" s="36" t="s">
        <v>42</v>
      </c>
      <c r="B306" s="35">
        <v>2023</v>
      </c>
      <c r="C306" s="35">
        <v>2026</v>
      </c>
      <c r="D306" s="33">
        <v>77.5</v>
      </c>
      <c r="E306" s="33" t="s">
        <v>6490</v>
      </c>
      <c r="F306" s="33">
        <v>77.5</v>
      </c>
      <c r="G306" s="31">
        <v>1.5</v>
      </c>
      <c r="H306" s="31">
        <v>0.5</v>
      </c>
      <c r="I306" s="35" t="s">
        <v>6490</v>
      </c>
      <c r="J306" s="35">
        <v>50</v>
      </c>
      <c r="K306" s="35">
        <v>50</v>
      </c>
      <c r="L306" s="35">
        <v>50</v>
      </c>
      <c r="M306" s="35">
        <v>100</v>
      </c>
      <c r="N306" s="35">
        <v>100</v>
      </c>
      <c r="O306" s="35">
        <v>50</v>
      </c>
      <c r="P306" s="31">
        <v>150</v>
      </c>
      <c r="Q306" s="49">
        <v>15</v>
      </c>
    </row>
    <row r="307" spans="1:17" x14ac:dyDescent="0.25">
      <c r="A307" s="36" t="s">
        <v>44</v>
      </c>
      <c r="B307" s="45" t="s">
        <v>6517</v>
      </c>
      <c r="C307" s="45" t="s">
        <v>6495</v>
      </c>
      <c r="D307" s="44">
        <v>63.5</v>
      </c>
      <c r="E307" s="43" t="s">
        <v>6490</v>
      </c>
      <c r="F307" s="42">
        <f>+D307</f>
        <v>63.5</v>
      </c>
      <c r="G307" s="41">
        <v>1</v>
      </c>
      <c r="H307" s="38">
        <v>0.5</v>
      </c>
      <c r="I307" s="40" t="s">
        <v>6490</v>
      </c>
      <c r="J307" s="39">
        <v>50</v>
      </c>
      <c r="K307" s="39">
        <v>50</v>
      </c>
      <c r="L307" s="39" t="s">
        <v>6490</v>
      </c>
      <c r="M307" s="39">
        <v>100</v>
      </c>
      <c r="N307" s="39">
        <v>100</v>
      </c>
      <c r="O307" s="39">
        <v>50</v>
      </c>
      <c r="P307" s="39" t="s">
        <v>6534</v>
      </c>
      <c r="Q307" s="50">
        <v>0</v>
      </c>
    </row>
    <row r="308" spans="1:17" x14ac:dyDescent="0.25">
      <c r="A308" s="36" t="s">
        <v>48</v>
      </c>
      <c r="B308" s="35" t="s">
        <v>6517</v>
      </c>
      <c r="C308" s="35">
        <v>2027</v>
      </c>
      <c r="D308" s="33">
        <v>62.5</v>
      </c>
      <c r="E308" s="34">
        <v>0</v>
      </c>
      <c r="F308" s="33">
        <v>62.5</v>
      </c>
      <c r="G308" s="31">
        <v>1.2</v>
      </c>
      <c r="H308" s="31">
        <v>0.5</v>
      </c>
      <c r="I308" s="32" t="s">
        <v>6490</v>
      </c>
      <c r="J308" s="32">
        <v>50</v>
      </c>
      <c r="K308" s="32">
        <v>50</v>
      </c>
      <c r="L308" s="32">
        <v>50</v>
      </c>
      <c r="M308" s="32">
        <v>100</v>
      </c>
      <c r="N308" s="32">
        <v>100</v>
      </c>
      <c r="O308" s="32">
        <v>50</v>
      </c>
      <c r="P308" s="31">
        <v>100</v>
      </c>
      <c r="Q308" s="49">
        <v>10</v>
      </c>
    </row>
    <row r="309" spans="1:17" x14ac:dyDescent="0.25">
      <c r="A309" s="36" t="s">
        <v>58</v>
      </c>
      <c r="B309" s="35">
        <v>2025</v>
      </c>
      <c r="C309" s="35">
        <v>2027</v>
      </c>
      <c r="D309" s="33">
        <v>72.5</v>
      </c>
      <c r="E309" s="33" t="s">
        <v>6490</v>
      </c>
      <c r="F309" s="33">
        <v>72.5</v>
      </c>
      <c r="G309" s="31">
        <v>1.3</v>
      </c>
      <c r="H309" s="31">
        <v>0.5</v>
      </c>
      <c r="I309" s="35" t="s">
        <v>6490</v>
      </c>
      <c r="J309" s="35">
        <v>50</v>
      </c>
      <c r="K309" s="35">
        <v>50</v>
      </c>
      <c r="L309" s="35" t="s">
        <v>6490</v>
      </c>
      <c r="M309" s="35">
        <v>100</v>
      </c>
      <c r="N309" s="35">
        <v>100</v>
      </c>
      <c r="O309" s="35">
        <v>50</v>
      </c>
      <c r="P309" s="31">
        <v>120</v>
      </c>
      <c r="Q309" s="49">
        <v>0</v>
      </c>
    </row>
    <row r="310" spans="1:17" x14ac:dyDescent="0.25">
      <c r="A310" s="36" t="s">
        <v>60</v>
      </c>
      <c r="B310" s="35" t="s">
        <v>6491</v>
      </c>
      <c r="C310" s="35" t="s">
        <v>6495</v>
      </c>
      <c r="D310" s="33">
        <v>77</v>
      </c>
      <c r="E310" s="34">
        <v>0</v>
      </c>
      <c r="F310" s="33">
        <v>77</v>
      </c>
      <c r="G310" s="31">
        <v>1.4</v>
      </c>
      <c r="H310" s="31">
        <v>0.5</v>
      </c>
      <c r="I310" s="32" t="s">
        <v>6490</v>
      </c>
      <c r="J310" s="32">
        <v>50</v>
      </c>
      <c r="K310" s="32">
        <v>100</v>
      </c>
      <c r="L310" s="32">
        <v>100</v>
      </c>
      <c r="M310" s="32">
        <v>100</v>
      </c>
      <c r="N310" s="32">
        <v>100</v>
      </c>
      <c r="O310" s="32">
        <v>50</v>
      </c>
      <c r="P310" s="31">
        <v>100</v>
      </c>
      <c r="Q310" s="30">
        <v>0</v>
      </c>
    </row>
    <row r="311" spans="1:17" x14ac:dyDescent="0.25">
      <c r="A311" s="36" t="s">
        <v>63</v>
      </c>
      <c r="B311" s="35">
        <v>2025</v>
      </c>
      <c r="C311" s="35">
        <v>2026</v>
      </c>
      <c r="D311" s="33">
        <v>55</v>
      </c>
      <c r="E311" s="33" t="s">
        <v>6490</v>
      </c>
      <c r="F311" s="33">
        <v>55</v>
      </c>
      <c r="G311" s="31">
        <v>0.8</v>
      </c>
      <c r="H311" s="31">
        <v>0.5</v>
      </c>
      <c r="I311" s="35" t="s">
        <v>6490</v>
      </c>
      <c r="J311" s="35">
        <v>50</v>
      </c>
      <c r="K311" s="35">
        <v>80</v>
      </c>
      <c r="L311" s="35" t="s">
        <v>6490</v>
      </c>
      <c r="M311" s="35">
        <v>80</v>
      </c>
      <c r="N311" s="35">
        <v>100</v>
      </c>
      <c r="O311" s="35">
        <v>50</v>
      </c>
      <c r="P311" s="31">
        <v>100</v>
      </c>
      <c r="Q311" s="49">
        <v>0</v>
      </c>
    </row>
    <row r="312" spans="1:17" x14ac:dyDescent="0.25">
      <c r="A312" s="36" t="s">
        <v>65</v>
      </c>
      <c r="B312" s="35">
        <v>2023</v>
      </c>
      <c r="C312" s="35">
        <v>2026</v>
      </c>
      <c r="D312" s="33">
        <v>60.5</v>
      </c>
      <c r="E312" s="33" t="s">
        <v>6490</v>
      </c>
      <c r="F312" s="33">
        <v>60.5</v>
      </c>
      <c r="G312" s="31">
        <v>1</v>
      </c>
      <c r="H312" s="31">
        <v>0.5</v>
      </c>
      <c r="I312" s="35" t="s">
        <v>6490</v>
      </c>
      <c r="J312" s="35">
        <v>50</v>
      </c>
      <c r="K312" s="35" t="s">
        <v>6490</v>
      </c>
      <c r="L312" s="35" t="s">
        <v>6490</v>
      </c>
      <c r="M312" s="35">
        <v>50</v>
      </c>
      <c r="N312" s="35">
        <v>100</v>
      </c>
      <c r="O312" s="35">
        <v>50</v>
      </c>
      <c r="P312" s="31">
        <v>80</v>
      </c>
      <c r="Q312" s="49">
        <v>10</v>
      </c>
    </row>
    <row r="313" spans="1:17" x14ac:dyDescent="0.25">
      <c r="A313" s="48"/>
      <c r="B313" s="35"/>
      <c r="C313" s="35"/>
      <c r="D313" s="33"/>
      <c r="E313" s="33"/>
      <c r="F313" s="33"/>
      <c r="G313" s="31"/>
      <c r="H313" s="31"/>
      <c r="I313" s="35"/>
      <c r="J313" s="35"/>
      <c r="K313" s="35"/>
      <c r="L313" s="35"/>
      <c r="M313" s="35"/>
      <c r="N313" s="35"/>
      <c r="O313" s="35"/>
      <c r="P313" s="35"/>
      <c r="Q313" s="46"/>
    </row>
    <row r="314" spans="1:17" x14ac:dyDescent="0.25">
      <c r="A314" s="47" t="s">
        <v>6539</v>
      </c>
      <c r="B314" s="35"/>
      <c r="C314" s="35"/>
      <c r="D314" s="33"/>
      <c r="E314" s="33"/>
      <c r="F314" s="33"/>
      <c r="G314" s="31"/>
      <c r="H314" s="31"/>
      <c r="I314" s="35"/>
      <c r="J314" s="35"/>
      <c r="K314" s="35"/>
      <c r="L314" s="35"/>
      <c r="M314" s="35"/>
      <c r="N314" s="35"/>
      <c r="O314" s="35"/>
      <c r="P314" s="35"/>
      <c r="Q314" s="46"/>
    </row>
    <row r="315" spans="1:17" x14ac:dyDescent="0.25">
      <c r="A315" s="36" t="s">
        <v>640</v>
      </c>
      <c r="B315" s="35" t="s">
        <v>6491</v>
      </c>
      <c r="C315" s="35" t="s">
        <v>6492</v>
      </c>
      <c r="D315" s="33">
        <v>67.5</v>
      </c>
      <c r="E315" s="34">
        <v>0</v>
      </c>
      <c r="F315" s="33">
        <v>67.5</v>
      </c>
      <c r="G315" s="31">
        <v>1</v>
      </c>
      <c r="H315" s="31">
        <v>0.5</v>
      </c>
      <c r="I315" s="32" t="s">
        <v>6490</v>
      </c>
      <c r="J315" s="32">
        <v>50</v>
      </c>
      <c r="K315" s="32" t="s">
        <v>6490</v>
      </c>
      <c r="L315" s="32" t="s">
        <v>6490</v>
      </c>
      <c r="M315" s="32">
        <v>100</v>
      </c>
      <c r="N315" s="32">
        <v>100</v>
      </c>
      <c r="O315" s="32">
        <v>50</v>
      </c>
      <c r="P315" s="31">
        <v>100</v>
      </c>
      <c r="Q315" s="30">
        <v>0</v>
      </c>
    </row>
    <row r="316" spans="1:17" x14ac:dyDescent="0.25">
      <c r="A316" s="36" t="s">
        <v>995</v>
      </c>
      <c r="B316" s="35">
        <v>2025</v>
      </c>
      <c r="C316" s="35">
        <v>2026</v>
      </c>
      <c r="D316" s="33">
        <v>68</v>
      </c>
      <c r="E316" s="33" t="s">
        <v>6490</v>
      </c>
      <c r="F316" s="33">
        <v>68</v>
      </c>
      <c r="G316" s="31">
        <v>1</v>
      </c>
      <c r="H316" s="31" t="s">
        <v>6490</v>
      </c>
      <c r="I316" s="35" t="s">
        <v>6490</v>
      </c>
      <c r="J316" s="35">
        <v>50</v>
      </c>
      <c r="K316" s="35">
        <v>70</v>
      </c>
      <c r="L316" s="35">
        <v>50</v>
      </c>
      <c r="M316" s="35">
        <v>100</v>
      </c>
      <c r="N316" s="35">
        <v>100</v>
      </c>
      <c r="O316" s="35">
        <v>50</v>
      </c>
      <c r="P316" s="31">
        <v>80</v>
      </c>
      <c r="Q316" s="30">
        <v>0</v>
      </c>
    </row>
    <row r="317" spans="1:17" x14ac:dyDescent="0.25">
      <c r="A317" s="36" t="s">
        <v>1021</v>
      </c>
      <c r="B317" s="35">
        <v>2025</v>
      </c>
      <c r="C317" s="35">
        <v>2027</v>
      </c>
      <c r="D317" s="33">
        <v>79.5</v>
      </c>
      <c r="E317" s="33">
        <v>2</v>
      </c>
      <c r="F317" s="33">
        <v>81.5</v>
      </c>
      <c r="G317" s="31">
        <v>1.5</v>
      </c>
      <c r="H317" s="31">
        <v>0.5</v>
      </c>
      <c r="I317" s="35" t="s">
        <v>6490</v>
      </c>
      <c r="J317" s="35">
        <v>50</v>
      </c>
      <c r="K317" s="35">
        <v>100</v>
      </c>
      <c r="L317" s="35">
        <v>100</v>
      </c>
      <c r="M317" s="35">
        <v>100</v>
      </c>
      <c r="N317" s="35">
        <v>100</v>
      </c>
      <c r="O317" s="35">
        <v>50</v>
      </c>
      <c r="P317" s="31">
        <v>120</v>
      </c>
      <c r="Q317" s="30">
        <v>0</v>
      </c>
    </row>
    <row r="318" spans="1:17" x14ac:dyDescent="0.25">
      <c r="A318" s="36" t="s">
        <v>1335</v>
      </c>
      <c r="B318" s="35">
        <v>2025</v>
      </c>
      <c r="C318" s="35">
        <v>2026</v>
      </c>
      <c r="D318" s="33">
        <v>67.5</v>
      </c>
      <c r="E318" s="33" t="s">
        <v>6490</v>
      </c>
      <c r="F318" s="33">
        <v>67.5</v>
      </c>
      <c r="G318" s="31">
        <v>1</v>
      </c>
      <c r="H318" s="31">
        <v>0.5</v>
      </c>
      <c r="I318" s="35" t="s">
        <v>6490</v>
      </c>
      <c r="J318" s="35">
        <v>50</v>
      </c>
      <c r="K318" s="35">
        <v>100</v>
      </c>
      <c r="L318" s="35">
        <v>25</v>
      </c>
      <c r="M318" s="35">
        <v>100</v>
      </c>
      <c r="N318" s="35">
        <v>100</v>
      </c>
      <c r="O318" s="35">
        <v>50</v>
      </c>
      <c r="P318" s="31">
        <v>50</v>
      </c>
      <c r="Q318" s="30">
        <v>0</v>
      </c>
    </row>
    <row r="319" spans="1:17" x14ac:dyDescent="0.25">
      <c r="A319" s="36" t="s">
        <v>1364</v>
      </c>
      <c r="B319" s="35">
        <v>2025</v>
      </c>
      <c r="C319" s="35">
        <v>2026</v>
      </c>
      <c r="D319" s="33">
        <v>64.5</v>
      </c>
      <c r="E319" s="33" t="s">
        <v>6490</v>
      </c>
      <c r="F319" s="33">
        <v>64.5</v>
      </c>
      <c r="G319" s="31">
        <v>1.2</v>
      </c>
      <c r="H319" s="31" t="s">
        <v>6490</v>
      </c>
      <c r="I319" s="35" t="s">
        <v>6490</v>
      </c>
      <c r="J319" s="35">
        <v>50</v>
      </c>
      <c r="K319" s="35">
        <v>100</v>
      </c>
      <c r="L319" s="35" t="s">
        <v>6490</v>
      </c>
      <c r="M319" s="35">
        <v>100</v>
      </c>
      <c r="N319" s="35">
        <v>100</v>
      </c>
      <c r="O319" s="35">
        <v>50</v>
      </c>
      <c r="P319" s="31">
        <v>100</v>
      </c>
      <c r="Q319" s="30">
        <v>0</v>
      </c>
    </row>
    <row r="320" spans="1:17" x14ac:dyDescent="0.25">
      <c r="A320" s="36" t="s">
        <v>6540</v>
      </c>
      <c r="B320" s="35">
        <v>2023</v>
      </c>
      <c r="C320" s="35">
        <v>2025</v>
      </c>
      <c r="D320" s="33">
        <v>69.5</v>
      </c>
      <c r="E320" s="33" t="s">
        <v>6490</v>
      </c>
      <c r="F320" s="33">
        <v>69.5</v>
      </c>
      <c r="G320" s="31">
        <v>1.2</v>
      </c>
      <c r="H320" s="31">
        <v>0.5</v>
      </c>
      <c r="I320" s="35" t="s">
        <v>6490</v>
      </c>
      <c r="J320" s="35">
        <v>50</v>
      </c>
      <c r="K320" s="35">
        <v>50</v>
      </c>
      <c r="L320" s="35">
        <v>50</v>
      </c>
      <c r="M320" s="35">
        <v>100</v>
      </c>
      <c r="N320" s="35">
        <v>100</v>
      </c>
      <c r="O320" s="35">
        <v>50</v>
      </c>
      <c r="P320" s="31">
        <v>100</v>
      </c>
      <c r="Q320" s="30">
        <v>0</v>
      </c>
    </row>
    <row r="321" spans="1:17" x14ac:dyDescent="0.25">
      <c r="A321" s="36" t="s">
        <v>6541</v>
      </c>
      <c r="B321" s="45">
        <v>2023</v>
      </c>
      <c r="C321" s="45">
        <v>2024</v>
      </c>
      <c r="D321" s="44">
        <v>62.5</v>
      </c>
      <c r="E321" s="43">
        <v>1.5</v>
      </c>
      <c r="F321" s="42">
        <f>+D321+E321</f>
        <v>64</v>
      </c>
      <c r="G321" s="41">
        <v>1.2</v>
      </c>
      <c r="H321" s="38">
        <v>0.5</v>
      </c>
      <c r="I321" s="40" t="s">
        <v>6490</v>
      </c>
      <c r="J321" s="39">
        <v>50</v>
      </c>
      <c r="K321" s="39">
        <v>100</v>
      </c>
      <c r="L321" s="39" t="s">
        <v>6490</v>
      </c>
      <c r="M321" s="39">
        <v>100</v>
      </c>
      <c r="N321" s="39">
        <v>100</v>
      </c>
      <c r="O321" s="39">
        <v>50</v>
      </c>
      <c r="P321" s="38">
        <v>100</v>
      </c>
      <c r="Q321" s="37">
        <v>0</v>
      </c>
    </row>
    <row r="322" spans="1:17" x14ac:dyDescent="0.25">
      <c r="A322" s="36" t="s">
        <v>3691</v>
      </c>
      <c r="B322" s="35">
        <v>2025</v>
      </c>
      <c r="C322" s="35">
        <v>2027</v>
      </c>
      <c r="D322" s="33">
        <v>65</v>
      </c>
      <c r="E322" s="33" t="s">
        <v>6490</v>
      </c>
      <c r="F322" s="33">
        <v>65</v>
      </c>
      <c r="G322" s="31">
        <v>1.5</v>
      </c>
      <c r="H322" s="31">
        <v>0.5</v>
      </c>
      <c r="I322" s="35" t="s">
        <v>6490</v>
      </c>
      <c r="J322" s="35">
        <v>50</v>
      </c>
      <c r="K322" s="35">
        <v>100</v>
      </c>
      <c r="L322" s="35">
        <v>80</v>
      </c>
      <c r="M322" s="35">
        <v>100</v>
      </c>
      <c r="N322" s="35">
        <v>100</v>
      </c>
      <c r="O322" s="35">
        <v>50</v>
      </c>
      <c r="P322" s="31">
        <v>100</v>
      </c>
      <c r="Q322" s="30">
        <v>0</v>
      </c>
    </row>
    <row r="323" spans="1:17" x14ac:dyDescent="0.25">
      <c r="A323" s="36" t="s">
        <v>5360</v>
      </c>
      <c r="B323" s="35">
        <v>2025</v>
      </c>
      <c r="C323" s="35">
        <v>2026</v>
      </c>
      <c r="D323" s="33">
        <v>81</v>
      </c>
      <c r="E323" s="33" t="s">
        <v>6490</v>
      </c>
      <c r="F323" s="33">
        <v>81</v>
      </c>
      <c r="G323" s="31">
        <v>1.5</v>
      </c>
      <c r="H323" s="31">
        <v>0.5</v>
      </c>
      <c r="I323" s="35" t="s">
        <v>6490</v>
      </c>
      <c r="J323" s="35">
        <v>50</v>
      </c>
      <c r="K323" s="35">
        <v>100</v>
      </c>
      <c r="L323" s="35">
        <v>50</v>
      </c>
      <c r="M323" s="35">
        <v>100</v>
      </c>
      <c r="N323" s="35">
        <v>100</v>
      </c>
      <c r="O323" s="35">
        <v>50</v>
      </c>
      <c r="P323" s="31">
        <v>80</v>
      </c>
      <c r="Q323" s="30">
        <v>10</v>
      </c>
    </row>
    <row r="324" spans="1:17" x14ac:dyDescent="0.25">
      <c r="A324" s="36" t="s">
        <v>5373</v>
      </c>
      <c r="B324" s="35">
        <v>2025</v>
      </c>
      <c r="C324" s="35">
        <v>2026</v>
      </c>
      <c r="D324" s="33">
        <v>79</v>
      </c>
      <c r="E324" s="33">
        <v>0</v>
      </c>
      <c r="F324" s="33">
        <v>79</v>
      </c>
      <c r="G324" s="31">
        <v>1.5</v>
      </c>
      <c r="H324" s="31">
        <v>0</v>
      </c>
      <c r="I324" s="35">
        <v>0</v>
      </c>
      <c r="J324" s="35">
        <v>50</v>
      </c>
      <c r="K324" s="35">
        <v>50</v>
      </c>
      <c r="L324" s="35">
        <v>50</v>
      </c>
      <c r="M324" s="35">
        <v>100</v>
      </c>
      <c r="N324" s="35">
        <v>100</v>
      </c>
      <c r="O324" s="35">
        <v>50</v>
      </c>
      <c r="P324" s="31">
        <v>60</v>
      </c>
      <c r="Q324" s="30">
        <v>0</v>
      </c>
    </row>
    <row r="325" spans="1:17" x14ac:dyDescent="0.25">
      <c r="A325" s="36" t="s">
        <v>5929</v>
      </c>
      <c r="B325" s="35">
        <v>2025</v>
      </c>
      <c r="C325" s="35">
        <v>2026</v>
      </c>
      <c r="D325" s="33">
        <v>74.5</v>
      </c>
      <c r="E325" s="33" t="s">
        <v>6490</v>
      </c>
      <c r="F325" s="33">
        <v>74.5</v>
      </c>
      <c r="G325" s="31">
        <v>1.5</v>
      </c>
      <c r="H325" s="31">
        <v>0.5</v>
      </c>
      <c r="I325" s="35" t="s">
        <v>6490</v>
      </c>
      <c r="J325" s="35">
        <v>50</v>
      </c>
      <c r="K325" s="35">
        <v>100</v>
      </c>
      <c r="L325" s="35">
        <v>75</v>
      </c>
      <c r="M325" s="35">
        <v>100</v>
      </c>
      <c r="N325" s="35">
        <v>100</v>
      </c>
      <c r="O325" s="35">
        <v>50</v>
      </c>
      <c r="P325" s="31">
        <v>150</v>
      </c>
      <c r="Q325" s="30">
        <v>0</v>
      </c>
    </row>
    <row r="326" spans="1:17" x14ac:dyDescent="0.25">
      <c r="A326" s="36" t="s">
        <v>6027</v>
      </c>
      <c r="B326" s="35" t="s">
        <v>6491</v>
      </c>
      <c r="C326" s="35" t="s">
        <v>6492</v>
      </c>
      <c r="D326" s="33">
        <v>65</v>
      </c>
      <c r="E326" s="34">
        <v>0</v>
      </c>
      <c r="F326" s="33">
        <v>65</v>
      </c>
      <c r="G326" s="31">
        <v>1.5</v>
      </c>
      <c r="H326" s="31">
        <v>0.5</v>
      </c>
      <c r="I326" s="32" t="s">
        <v>6490</v>
      </c>
      <c r="J326" s="32">
        <v>50</v>
      </c>
      <c r="K326" s="32">
        <v>50</v>
      </c>
      <c r="L326" s="32" t="s">
        <v>6490</v>
      </c>
      <c r="M326" s="32">
        <v>100</v>
      </c>
      <c r="N326" s="32">
        <v>100</v>
      </c>
      <c r="O326" s="32">
        <v>50</v>
      </c>
      <c r="P326" s="31">
        <v>100</v>
      </c>
      <c r="Q326" s="30" t="s">
        <v>6501</v>
      </c>
    </row>
    <row r="327" spans="1:17" x14ac:dyDescent="0.25">
      <c r="A327" s="29"/>
      <c r="B327" s="28"/>
      <c r="C327" s="28"/>
      <c r="D327" s="28"/>
      <c r="E327" s="28"/>
      <c r="F327" s="28"/>
      <c r="G327" s="28"/>
      <c r="H327" s="28"/>
      <c r="I327" s="28"/>
      <c r="J327" s="28"/>
      <c r="K327" s="28"/>
      <c r="L327" s="28"/>
      <c r="M327" s="28"/>
      <c r="N327" s="28"/>
      <c r="O327" s="28"/>
      <c r="P327" s="28"/>
      <c r="Q327" s="27"/>
    </row>
    <row r="328" spans="1:17" ht="15.75" customHeight="1" thickBot="1" x14ac:dyDescent="0.3">
      <c r="A328" s="24" t="s">
        <v>6542</v>
      </c>
      <c r="B328" s="26"/>
      <c r="C328" s="26"/>
      <c r="D328" s="26"/>
      <c r="E328" s="26"/>
      <c r="F328" s="26"/>
      <c r="G328" s="26"/>
      <c r="H328" s="26"/>
      <c r="I328" s="26"/>
      <c r="J328" s="26"/>
      <c r="K328" s="26"/>
      <c r="L328" s="26"/>
      <c r="M328" s="26"/>
      <c r="N328" s="26"/>
      <c r="O328" s="26"/>
      <c r="P328" s="26"/>
      <c r="Q328" s="25"/>
    </row>
    <row r="329" spans="1:17" ht="15.75" customHeight="1" thickBot="1" x14ac:dyDescent="0.3">
      <c r="A329" s="24" t="s">
        <v>6543</v>
      </c>
      <c r="B329" s="23"/>
      <c r="C329" s="23"/>
      <c r="D329" s="23"/>
      <c r="E329" s="23"/>
      <c r="F329" s="23"/>
      <c r="G329" s="23"/>
      <c r="H329" s="23"/>
      <c r="I329" s="23"/>
      <c r="J329" s="23"/>
      <c r="K329" s="23"/>
      <c r="L329" s="23"/>
      <c r="M329" s="23"/>
      <c r="N329" s="23"/>
      <c r="O329" s="23"/>
      <c r="P329" s="23"/>
      <c r="Q329" s="22"/>
    </row>
  </sheetData>
  <pageMargins left="0.11811023622047249" right="0" top="0.74803149606299213" bottom="0.55118110236220474" header="0.31496062992125978" footer="0.31496062992125978"/>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A1:AD312"/>
  <sheetViews>
    <sheetView workbookViewId="0">
      <selection activeCell="E29" sqref="E29"/>
    </sheetView>
  </sheetViews>
  <sheetFormatPr baseColWidth="10" defaultColWidth="11.42578125" defaultRowHeight="15" x14ac:dyDescent="0.25"/>
  <cols>
    <col min="1" max="1" width="40.7109375" customWidth="1"/>
  </cols>
  <sheetData>
    <row r="1" spans="1:29" x14ac:dyDescent="0.25">
      <c r="A1" t="s">
        <v>70</v>
      </c>
      <c r="B1" t="s">
        <v>17</v>
      </c>
      <c r="I1" t="s">
        <v>6544</v>
      </c>
      <c r="P1" t="s">
        <v>6545</v>
      </c>
      <c r="W1" t="s">
        <v>6546</v>
      </c>
    </row>
    <row r="2" spans="1:29" x14ac:dyDescent="0.25">
      <c r="A2" t="s">
        <v>88</v>
      </c>
      <c r="B2">
        <v>8</v>
      </c>
      <c r="C2">
        <v>1</v>
      </c>
      <c r="D2">
        <v>1</v>
      </c>
      <c r="E2">
        <v>3</v>
      </c>
      <c r="F2">
        <v>3</v>
      </c>
      <c r="G2" t="s">
        <v>6490</v>
      </c>
      <c r="H2" t="s">
        <v>6490</v>
      </c>
      <c r="I2" t="s">
        <v>6490</v>
      </c>
      <c r="J2" t="s">
        <v>6490</v>
      </c>
      <c r="K2" t="s">
        <v>6490</v>
      </c>
      <c r="L2" t="s">
        <v>6490</v>
      </c>
      <c r="M2" t="s">
        <v>6490</v>
      </c>
      <c r="N2" t="s">
        <v>6490</v>
      </c>
      <c r="O2" t="s">
        <v>6490</v>
      </c>
      <c r="P2" t="s">
        <v>6490</v>
      </c>
      <c r="Q2" t="s">
        <v>6490</v>
      </c>
      <c r="R2" t="s">
        <v>6490</v>
      </c>
      <c r="S2" t="s">
        <v>6490</v>
      </c>
      <c r="T2" t="s">
        <v>6490</v>
      </c>
      <c r="U2" t="s">
        <v>6490</v>
      </c>
      <c r="V2" t="s">
        <v>6490</v>
      </c>
      <c r="W2">
        <v>4</v>
      </c>
      <c r="X2" t="s">
        <v>6490</v>
      </c>
      <c r="Y2">
        <v>1</v>
      </c>
      <c r="Z2">
        <v>1</v>
      </c>
      <c r="AA2">
        <v>2</v>
      </c>
      <c r="AB2" t="s">
        <v>6490</v>
      </c>
      <c r="AC2" t="s">
        <v>6490</v>
      </c>
    </row>
    <row r="3" spans="1:29" x14ac:dyDescent="0.25">
      <c r="A3" t="s">
        <v>95</v>
      </c>
      <c r="B3" t="s">
        <v>6490</v>
      </c>
      <c r="C3" t="s">
        <v>6490</v>
      </c>
      <c r="D3" t="s">
        <v>6490</v>
      </c>
      <c r="E3" t="s">
        <v>6490</v>
      </c>
      <c r="F3" t="s">
        <v>6490</v>
      </c>
      <c r="G3" t="s">
        <v>6490</v>
      </c>
      <c r="H3" t="s">
        <v>6490</v>
      </c>
      <c r="I3" t="s">
        <v>6490</v>
      </c>
      <c r="J3" t="s">
        <v>6490</v>
      </c>
      <c r="K3" t="s">
        <v>6490</v>
      </c>
      <c r="L3" t="s">
        <v>6490</v>
      </c>
      <c r="M3" t="s">
        <v>6490</v>
      </c>
      <c r="N3" t="s">
        <v>6490</v>
      </c>
      <c r="O3" t="s">
        <v>6490</v>
      </c>
      <c r="P3" t="s">
        <v>6490</v>
      </c>
      <c r="Q3" t="s">
        <v>6490</v>
      </c>
      <c r="R3" t="s">
        <v>6490</v>
      </c>
      <c r="S3" t="s">
        <v>6490</v>
      </c>
      <c r="T3" t="s">
        <v>6490</v>
      </c>
      <c r="U3" t="s">
        <v>6490</v>
      </c>
      <c r="V3" t="s">
        <v>6490</v>
      </c>
      <c r="W3" t="s">
        <v>6490</v>
      </c>
      <c r="X3" t="s">
        <v>6490</v>
      </c>
      <c r="Y3" t="s">
        <v>6490</v>
      </c>
      <c r="Z3" t="s">
        <v>6490</v>
      </c>
      <c r="AA3" t="s">
        <v>6490</v>
      </c>
      <c r="AB3" t="s">
        <v>6490</v>
      </c>
      <c r="AC3" t="s">
        <v>6490</v>
      </c>
    </row>
    <row r="4" spans="1:29" x14ac:dyDescent="0.25">
      <c r="A4" t="s">
        <v>102</v>
      </c>
      <c r="B4">
        <v>43</v>
      </c>
      <c r="C4">
        <v>3</v>
      </c>
      <c r="D4">
        <v>14</v>
      </c>
      <c r="E4">
        <v>17</v>
      </c>
      <c r="F4">
        <v>8</v>
      </c>
      <c r="G4">
        <v>1</v>
      </c>
      <c r="H4" t="s">
        <v>6490</v>
      </c>
      <c r="I4">
        <v>3</v>
      </c>
      <c r="J4" t="s">
        <v>6490</v>
      </c>
      <c r="K4" t="s">
        <v>6490</v>
      </c>
      <c r="L4" t="s">
        <v>6490</v>
      </c>
      <c r="M4">
        <v>3</v>
      </c>
      <c r="N4" t="s">
        <v>6490</v>
      </c>
      <c r="O4" t="s">
        <v>6490</v>
      </c>
      <c r="P4">
        <v>5</v>
      </c>
      <c r="Q4" t="s">
        <v>6490</v>
      </c>
      <c r="R4" t="s">
        <v>6490</v>
      </c>
      <c r="S4">
        <v>2</v>
      </c>
      <c r="T4">
        <v>2</v>
      </c>
      <c r="U4">
        <v>1</v>
      </c>
      <c r="V4" t="s">
        <v>6490</v>
      </c>
      <c r="W4" t="s">
        <v>6490</v>
      </c>
      <c r="X4" t="s">
        <v>6490</v>
      </c>
      <c r="Y4" t="s">
        <v>6490</v>
      </c>
      <c r="Z4" t="s">
        <v>6490</v>
      </c>
      <c r="AA4" t="s">
        <v>6490</v>
      </c>
      <c r="AB4" t="s">
        <v>6490</v>
      </c>
      <c r="AC4" t="s">
        <v>6490</v>
      </c>
    </row>
    <row r="5" spans="1:29" x14ac:dyDescent="0.25">
      <c r="A5" t="s">
        <v>6547</v>
      </c>
      <c r="B5">
        <v>457</v>
      </c>
      <c r="C5">
        <v>41</v>
      </c>
      <c r="D5">
        <v>74</v>
      </c>
      <c r="E5">
        <v>126</v>
      </c>
      <c r="F5">
        <v>97</v>
      </c>
      <c r="G5">
        <v>46</v>
      </c>
      <c r="H5">
        <v>73</v>
      </c>
      <c r="I5">
        <v>235</v>
      </c>
      <c r="J5">
        <v>7</v>
      </c>
      <c r="K5">
        <v>25</v>
      </c>
      <c r="L5">
        <v>50</v>
      </c>
      <c r="M5">
        <v>56</v>
      </c>
      <c r="N5">
        <v>29</v>
      </c>
      <c r="O5">
        <v>68</v>
      </c>
      <c r="P5">
        <v>123</v>
      </c>
      <c r="Q5" t="s">
        <v>6490</v>
      </c>
      <c r="R5">
        <v>2</v>
      </c>
      <c r="S5">
        <v>14</v>
      </c>
      <c r="T5">
        <v>21</v>
      </c>
      <c r="U5">
        <v>21</v>
      </c>
      <c r="V5">
        <v>65</v>
      </c>
      <c r="W5">
        <v>19</v>
      </c>
      <c r="X5">
        <v>1</v>
      </c>
      <c r="Y5">
        <v>2</v>
      </c>
      <c r="Z5">
        <v>6</v>
      </c>
      <c r="AA5">
        <v>4</v>
      </c>
      <c r="AB5">
        <v>3</v>
      </c>
      <c r="AC5">
        <v>3</v>
      </c>
    </row>
    <row r="6" spans="1:29" x14ac:dyDescent="0.25">
      <c r="A6" t="s">
        <v>198</v>
      </c>
      <c r="B6">
        <v>2</v>
      </c>
      <c r="C6" t="s">
        <v>6490</v>
      </c>
      <c r="D6" t="s">
        <v>6490</v>
      </c>
      <c r="E6">
        <v>2</v>
      </c>
      <c r="F6" t="s">
        <v>6490</v>
      </c>
      <c r="G6" t="s">
        <v>6490</v>
      </c>
      <c r="H6" t="s">
        <v>6490</v>
      </c>
      <c r="I6">
        <v>1</v>
      </c>
      <c r="J6" t="s">
        <v>6490</v>
      </c>
      <c r="K6" t="s">
        <v>6490</v>
      </c>
      <c r="L6">
        <v>1</v>
      </c>
      <c r="M6" t="s">
        <v>6490</v>
      </c>
      <c r="N6" t="s">
        <v>6490</v>
      </c>
      <c r="O6" t="s">
        <v>6490</v>
      </c>
      <c r="P6" t="s">
        <v>6490</v>
      </c>
      <c r="Q6" t="s">
        <v>6490</v>
      </c>
      <c r="R6" t="s">
        <v>6490</v>
      </c>
      <c r="S6" t="s">
        <v>6490</v>
      </c>
      <c r="T6" t="s">
        <v>6490</v>
      </c>
      <c r="U6" t="s">
        <v>6490</v>
      </c>
      <c r="V6" t="s">
        <v>6490</v>
      </c>
      <c r="W6" t="s">
        <v>6490</v>
      </c>
      <c r="X6" t="s">
        <v>6490</v>
      </c>
      <c r="Y6" t="s">
        <v>6490</v>
      </c>
      <c r="Z6" t="s">
        <v>6490</v>
      </c>
      <c r="AA6" t="s">
        <v>6490</v>
      </c>
      <c r="AB6" t="s">
        <v>6490</v>
      </c>
      <c r="AC6" t="s">
        <v>6490</v>
      </c>
    </row>
    <row r="7" spans="1:29" x14ac:dyDescent="0.25">
      <c r="A7" t="s">
        <v>207</v>
      </c>
      <c r="B7">
        <v>2</v>
      </c>
      <c r="C7" t="s">
        <v>6490</v>
      </c>
      <c r="D7" t="s">
        <v>6490</v>
      </c>
      <c r="E7">
        <v>2</v>
      </c>
      <c r="F7" t="s">
        <v>6490</v>
      </c>
      <c r="G7" t="s">
        <v>6490</v>
      </c>
      <c r="H7" t="s">
        <v>6490</v>
      </c>
      <c r="I7">
        <v>1</v>
      </c>
      <c r="J7" t="s">
        <v>6490</v>
      </c>
      <c r="K7" t="s">
        <v>6490</v>
      </c>
      <c r="L7">
        <v>1</v>
      </c>
      <c r="M7" t="s">
        <v>6490</v>
      </c>
      <c r="N7" t="s">
        <v>6490</v>
      </c>
      <c r="O7" t="s">
        <v>6490</v>
      </c>
      <c r="P7" t="s">
        <v>6490</v>
      </c>
      <c r="Q7" t="s">
        <v>6490</v>
      </c>
      <c r="R7" t="s">
        <v>6490</v>
      </c>
      <c r="S7" t="s">
        <v>6490</v>
      </c>
      <c r="T7" t="s">
        <v>6490</v>
      </c>
      <c r="U7" t="s">
        <v>6490</v>
      </c>
      <c r="V7" t="s">
        <v>6490</v>
      </c>
      <c r="W7" t="s">
        <v>6490</v>
      </c>
      <c r="X7" t="s">
        <v>6490</v>
      </c>
      <c r="Y7" t="s">
        <v>6490</v>
      </c>
      <c r="Z7" t="s">
        <v>6490</v>
      </c>
      <c r="AA7" t="s">
        <v>6490</v>
      </c>
      <c r="AB7" t="s">
        <v>6490</v>
      </c>
      <c r="AC7" t="s">
        <v>6490</v>
      </c>
    </row>
    <row r="8" spans="1:29" x14ac:dyDescent="0.25">
      <c r="A8" t="s">
        <v>212</v>
      </c>
      <c r="B8">
        <v>2</v>
      </c>
      <c r="C8" t="s">
        <v>6490</v>
      </c>
      <c r="D8" t="s">
        <v>6490</v>
      </c>
      <c r="E8" t="s">
        <v>6490</v>
      </c>
      <c r="F8">
        <v>1</v>
      </c>
      <c r="G8">
        <v>1</v>
      </c>
      <c r="H8" t="s">
        <v>6490</v>
      </c>
      <c r="I8">
        <v>1</v>
      </c>
      <c r="J8" t="s">
        <v>6490</v>
      </c>
      <c r="K8" t="s">
        <v>6490</v>
      </c>
      <c r="L8" t="s">
        <v>6490</v>
      </c>
      <c r="M8" t="s">
        <v>6490</v>
      </c>
      <c r="N8">
        <v>1</v>
      </c>
      <c r="O8" t="s">
        <v>6490</v>
      </c>
      <c r="P8">
        <v>1</v>
      </c>
      <c r="Q8" t="s">
        <v>6490</v>
      </c>
      <c r="R8" t="s">
        <v>6490</v>
      </c>
      <c r="S8" t="s">
        <v>6490</v>
      </c>
      <c r="T8" t="s">
        <v>6490</v>
      </c>
      <c r="U8">
        <v>1</v>
      </c>
      <c r="V8" t="s">
        <v>6490</v>
      </c>
      <c r="W8" t="s">
        <v>6490</v>
      </c>
      <c r="X8" t="s">
        <v>6490</v>
      </c>
      <c r="Y8" t="s">
        <v>6490</v>
      </c>
      <c r="Z8" t="s">
        <v>6490</v>
      </c>
      <c r="AA8" t="s">
        <v>6490</v>
      </c>
      <c r="AB8" t="s">
        <v>6490</v>
      </c>
      <c r="AC8" t="s">
        <v>6490</v>
      </c>
    </row>
    <row r="9" spans="1:29" x14ac:dyDescent="0.25">
      <c r="A9" t="s">
        <v>219</v>
      </c>
      <c r="B9">
        <v>2</v>
      </c>
      <c r="C9" t="s">
        <v>6490</v>
      </c>
      <c r="D9" t="s">
        <v>6490</v>
      </c>
      <c r="E9" t="s">
        <v>6490</v>
      </c>
      <c r="F9" t="s">
        <v>6490</v>
      </c>
      <c r="G9">
        <v>1</v>
      </c>
      <c r="H9">
        <v>1</v>
      </c>
      <c r="I9">
        <v>1</v>
      </c>
      <c r="J9" t="s">
        <v>6490</v>
      </c>
      <c r="K9" t="s">
        <v>6490</v>
      </c>
      <c r="L9" t="s">
        <v>6490</v>
      </c>
      <c r="M9" t="s">
        <v>6490</v>
      </c>
      <c r="N9" t="s">
        <v>6490</v>
      </c>
      <c r="O9">
        <v>1</v>
      </c>
      <c r="P9">
        <v>2</v>
      </c>
      <c r="Q9" t="s">
        <v>6490</v>
      </c>
      <c r="R9" t="s">
        <v>6490</v>
      </c>
      <c r="S9" t="s">
        <v>6490</v>
      </c>
      <c r="T9" t="s">
        <v>6490</v>
      </c>
      <c r="U9">
        <v>1</v>
      </c>
      <c r="V9">
        <v>1</v>
      </c>
      <c r="W9" t="s">
        <v>6490</v>
      </c>
      <c r="X9" t="s">
        <v>6490</v>
      </c>
      <c r="Y9" t="s">
        <v>6490</v>
      </c>
      <c r="Z9" t="s">
        <v>6490</v>
      </c>
      <c r="AA9" t="s">
        <v>6490</v>
      </c>
      <c r="AB9" t="s">
        <v>6490</v>
      </c>
      <c r="AC9" t="s">
        <v>6490</v>
      </c>
    </row>
    <row r="10" spans="1:29" x14ac:dyDescent="0.25">
      <c r="A10" t="s">
        <v>28</v>
      </c>
      <c r="B10">
        <v>100</v>
      </c>
      <c r="C10" t="s">
        <v>6490</v>
      </c>
      <c r="D10" t="s">
        <v>6490</v>
      </c>
      <c r="E10" t="s">
        <v>6490</v>
      </c>
      <c r="F10" t="s">
        <v>6490</v>
      </c>
      <c r="G10" t="s">
        <v>6490</v>
      </c>
      <c r="H10" t="s">
        <v>6490</v>
      </c>
      <c r="I10" t="s">
        <v>6490</v>
      </c>
      <c r="J10" t="s">
        <v>6490</v>
      </c>
      <c r="K10" t="s">
        <v>6490</v>
      </c>
      <c r="L10" t="s">
        <v>6490</v>
      </c>
      <c r="M10" t="s">
        <v>6490</v>
      </c>
      <c r="N10" t="s">
        <v>6490</v>
      </c>
      <c r="O10" t="s">
        <v>6490</v>
      </c>
      <c r="P10" t="s">
        <v>6490</v>
      </c>
      <c r="Q10" t="s">
        <v>6490</v>
      </c>
      <c r="R10" t="s">
        <v>6490</v>
      </c>
      <c r="S10" t="s">
        <v>6490</v>
      </c>
      <c r="T10" t="s">
        <v>6490</v>
      </c>
      <c r="U10" t="s">
        <v>6490</v>
      </c>
      <c r="V10" t="s">
        <v>6490</v>
      </c>
      <c r="W10" t="s">
        <v>6490</v>
      </c>
      <c r="X10" t="s">
        <v>6490</v>
      </c>
      <c r="Y10" t="s">
        <v>6490</v>
      </c>
      <c r="Z10" t="s">
        <v>6490</v>
      </c>
      <c r="AA10" t="s">
        <v>6490</v>
      </c>
      <c r="AB10" t="s">
        <v>6490</v>
      </c>
      <c r="AC10" t="s">
        <v>6490</v>
      </c>
    </row>
    <row r="11" spans="1:29" x14ac:dyDescent="0.25">
      <c r="A11" t="s">
        <v>249</v>
      </c>
      <c r="B11">
        <v>29</v>
      </c>
      <c r="C11" t="s">
        <v>6490</v>
      </c>
      <c r="D11">
        <v>1</v>
      </c>
      <c r="E11">
        <v>3</v>
      </c>
      <c r="F11">
        <v>10</v>
      </c>
      <c r="G11">
        <v>6</v>
      </c>
      <c r="H11">
        <v>9</v>
      </c>
      <c r="I11">
        <v>15</v>
      </c>
      <c r="J11" t="s">
        <v>6490</v>
      </c>
      <c r="K11" t="s">
        <v>6490</v>
      </c>
      <c r="L11">
        <v>1</v>
      </c>
      <c r="M11">
        <v>2</v>
      </c>
      <c r="N11">
        <v>4</v>
      </c>
      <c r="O11">
        <v>8</v>
      </c>
      <c r="P11">
        <v>10</v>
      </c>
      <c r="Q11" t="s">
        <v>6490</v>
      </c>
      <c r="R11" t="s">
        <v>6490</v>
      </c>
      <c r="S11" t="s">
        <v>6490</v>
      </c>
      <c r="T11">
        <v>3</v>
      </c>
      <c r="U11">
        <v>2</v>
      </c>
      <c r="V11">
        <v>5</v>
      </c>
      <c r="W11" t="s">
        <v>6490</v>
      </c>
      <c r="X11" t="s">
        <v>6490</v>
      </c>
      <c r="Y11" t="s">
        <v>6490</v>
      </c>
      <c r="Z11" t="s">
        <v>6490</v>
      </c>
      <c r="AA11" t="s">
        <v>6490</v>
      </c>
      <c r="AB11" t="s">
        <v>6490</v>
      </c>
      <c r="AC11" t="s">
        <v>6490</v>
      </c>
    </row>
    <row r="12" spans="1:29" x14ac:dyDescent="0.25">
      <c r="A12" t="s">
        <v>282</v>
      </c>
      <c r="B12">
        <v>4</v>
      </c>
      <c r="C12" t="s">
        <v>6490</v>
      </c>
      <c r="D12">
        <v>4</v>
      </c>
      <c r="E12" t="s">
        <v>6490</v>
      </c>
      <c r="F12" t="s">
        <v>6490</v>
      </c>
      <c r="G12" t="s">
        <v>6490</v>
      </c>
      <c r="H12" t="s">
        <v>6490</v>
      </c>
      <c r="I12" t="s">
        <v>6490</v>
      </c>
      <c r="J12" t="s">
        <v>6490</v>
      </c>
      <c r="K12" t="s">
        <v>6490</v>
      </c>
      <c r="L12" t="s">
        <v>6490</v>
      </c>
      <c r="M12" t="s">
        <v>6490</v>
      </c>
      <c r="N12" t="s">
        <v>6490</v>
      </c>
      <c r="O12" t="s">
        <v>6490</v>
      </c>
      <c r="P12" t="s">
        <v>6490</v>
      </c>
      <c r="Q12" t="s">
        <v>6490</v>
      </c>
      <c r="R12" t="s">
        <v>6490</v>
      </c>
      <c r="S12" t="s">
        <v>6490</v>
      </c>
      <c r="T12" t="s">
        <v>6490</v>
      </c>
      <c r="U12" t="s">
        <v>6490</v>
      </c>
      <c r="V12" t="s">
        <v>6490</v>
      </c>
      <c r="W12" t="s">
        <v>6490</v>
      </c>
      <c r="X12" t="s">
        <v>6490</v>
      </c>
      <c r="Y12" t="s">
        <v>6490</v>
      </c>
      <c r="Z12" t="s">
        <v>6490</v>
      </c>
      <c r="AA12" t="s">
        <v>6490</v>
      </c>
      <c r="AB12" t="s">
        <v>6490</v>
      </c>
      <c r="AC12" t="s">
        <v>6490</v>
      </c>
    </row>
    <row r="13" spans="1:29" x14ac:dyDescent="0.25">
      <c r="A13" t="s">
        <v>339</v>
      </c>
      <c r="B13">
        <v>19</v>
      </c>
      <c r="C13">
        <v>5</v>
      </c>
      <c r="D13">
        <v>4</v>
      </c>
      <c r="E13">
        <v>6</v>
      </c>
      <c r="F13">
        <v>2</v>
      </c>
      <c r="G13">
        <v>1</v>
      </c>
      <c r="H13">
        <v>1</v>
      </c>
      <c r="I13" t="s">
        <v>6490</v>
      </c>
      <c r="J13" t="s">
        <v>6490</v>
      </c>
      <c r="K13" t="s">
        <v>6490</v>
      </c>
      <c r="L13" t="s">
        <v>6490</v>
      </c>
      <c r="M13" t="s">
        <v>6490</v>
      </c>
      <c r="N13" t="s">
        <v>6490</v>
      </c>
      <c r="O13" t="s">
        <v>6490</v>
      </c>
      <c r="P13">
        <v>1</v>
      </c>
      <c r="Q13" t="s">
        <v>6490</v>
      </c>
      <c r="R13" t="s">
        <v>6490</v>
      </c>
      <c r="S13" t="s">
        <v>6490</v>
      </c>
      <c r="T13" t="s">
        <v>6490</v>
      </c>
      <c r="U13" t="s">
        <v>6490</v>
      </c>
      <c r="V13">
        <v>1</v>
      </c>
      <c r="W13">
        <v>1</v>
      </c>
      <c r="X13" t="s">
        <v>6490</v>
      </c>
      <c r="Y13" t="s">
        <v>6490</v>
      </c>
      <c r="Z13">
        <v>1</v>
      </c>
      <c r="AA13" t="s">
        <v>6490</v>
      </c>
      <c r="AB13" t="s">
        <v>6490</v>
      </c>
      <c r="AC13" t="s">
        <v>6490</v>
      </c>
    </row>
    <row r="14" spans="1:29" x14ac:dyDescent="0.25">
      <c r="A14" t="s">
        <v>352</v>
      </c>
      <c r="B14">
        <v>2</v>
      </c>
      <c r="C14" t="s">
        <v>6490</v>
      </c>
      <c r="D14">
        <v>1</v>
      </c>
      <c r="E14" t="s">
        <v>6490</v>
      </c>
      <c r="F14" t="s">
        <v>6490</v>
      </c>
      <c r="G14" t="s">
        <v>6490</v>
      </c>
      <c r="H14">
        <v>1</v>
      </c>
      <c r="I14">
        <v>1</v>
      </c>
      <c r="J14" t="s">
        <v>6490</v>
      </c>
      <c r="K14" t="s">
        <v>6490</v>
      </c>
      <c r="L14" t="s">
        <v>6490</v>
      </c>
      <c r="M14" t="s">
        <v>6490</v>
      </c>
      <c r="N14" t="s">
        <v>6490</v>
      </c>
      <c r="O14">
        <v>1</v>
      </c>
      <c r="P14">
        <v>1</v>
      </c>
      <c r="Q14" t="s">
        <v>6490</v>
      </c>
      <c r="R14" t="s">
        <v>6490</v>
      </c>
      <c r="S14" t="s">
        <v>6490</v>
      </c>
      <c r="T14" t="s">
        <v>6490</v>
      </c>
      <c r="U14" t="s">
        <v>6490</v>
      </c>
      <c r="V14">
        <v>1</v>
      </c>
      <c r="W14" t="s">
        <v>6490</v>
      </c>
      <c r="X14" t="s">
        <v>6490</v>
      </c>
      <c r="Y14" t="s">
        <v>6490</v>
      </c>
      <c r="Z14" t="s">
        <v>6490</v>
      </c>
      <c r="AA14" t="s">
        <v>6490</v>
      </c>
      <c r="AB14" t="s">
        <v>6490</v>
      </c>
      <c r="AC14" t="s">
        <v>6490</v>
      </c>
    </row>
    <row r="15" spans="1:29" x14ac:dyDescent="0.25">
      <c r="A15" t="s">
        <v>234</v>
      </c>
      <c r="B15">
        <v>9</v>
      </c>
      <c r="C15" t="s">
        <v>6490</v>
      </c>
      <c r="D15" t="s">
        <v>6490</v>
      </c>
      <c r="E15">
        <v>3</v>
      </c>
      <c r="F15" t="s">
        <v>6490</v>
      </c>
      <c r="G15">
        <v>6</v>
      </c>
      <c r="H15" t="s">
        <v>6490</v>
      </c>
      <c r="I15">
        <v>5</v>
      </c>
      <c r="J15" t="s">
        <v>6490</v>
      </c>
      <c r="K15" t="s">
        <v>6490</v>
      </c>
      <c r="L15" t="s">
        <v>6490</v>
      </c>
      <c r="M15" t="s">
        <v>6490</v>
      </c>
      <c r="N15">
        <v>5</v>
      </c>
      <c r="O15" t="s">
        <v>6490</v>
      </c>
      <c r="P15">
        <v>6</v>
      </c>
      <c r="Q15" t="s">
        <v>6490</v>
      </c>
      <c r="R15" t="s">
        <v>6490</v>
      </c>
      <c r="S15" t="s">
        <v>6490</v>
      </c>
      <c r="T15" t="s">
        <v>6490</v>
      </c>
      <c r="U15">
        <v>6</v>
      </c>
      <c r="V15" t="s">
        <v>6490</v>
      </c>
      <c r="W15" t="s">
        <v>6490</v>
      </c>
      <c r="X15" t="s">
        <v>6490</v>
      </c>
      <c r="Y15" t="s">
        <v>6490</v>
      </c>
      <c r="Z15" t="s">
        <v>6490</v>
      </c>
      <c r="AA15" t="s">
        <v>6490</v>
      </c>
      <c r="AB15" t="s">
        <v>6490</v>
      </c>
      <c r="AC15" t="s">
        <v>6490</v>
      </c>
    </row>
    <row r="16" spans="1:29" x14ac:dyDescent="0.25">
      <c r="A16" t="s">
        <v>369</v>
      </c>
      <c r="B16">
        <v>16</v>
      </c>
      <c r="C16" t="s">
        <v>6490</v>
      </c>
      <c r="D16">
        <v>3</v>
      </c>
      <c r="E16">
        <v>3</v>
      </c>
      <c r="F16">
        <v>5</v>
      </c>
      <c r="G16">
        <v>2</v>
      </c>
      <c r="H16">
        <v>3</v>
      </c>
      <c r="I16">
        <v>8</v>
      </c>
      <c r="J16" t="s">
        <v>6490</v>
      </c>
      <c r="K16">
        <v>2</v>
      </c>
      <c r="L16">
        <v>2</v>
      </c>
      <c r="M16" t="s">
        <v>6490</v>
      </c>
      <c r="N16">
        <v>1</v>
      </c>
      <c r="O16">
        <v>3</v>
      </c>
      <c r="P16">
        <v>4</v>
      </c>
      <c r="Q16" t="s">
        <v>6490</v>
      </c>
      <c r="R16" t="s">
        <v>6490</v>
      </c>
      <c r="S16" t="s">
        <v>6490</v>
      </c>
      <c r="T16" t="s">
        <v>6490</v>
      </c>
      <c r="U16">
        <v>1</v>
      </c>
      <c r="V16">
        <v>3</v>
      </c>
      <c r="W16" t="s">
        <v>6490</v>
      </c>
      <c r="X16" t="s">
        <v>6490</v>
      </c>
      <c r="Y16" t="s">
        <v>6490</v>
      </c>
      <c r="Z16" t="s">
        <v>6490</v>
      </c>
      <c r="AA16" t="s">
        <v>6490</v>
      </c>
      <c r="AB16" t="s">
        <v>6490</v>
      </c>
      <c r="AC16" t="s">
        <v>6490</v>
      </c>
    </row>
    <row r="17" spans="1:29" x14ac:dyDescent="0.25">
      <c r="A17" t="s">
        <v>383</v>
      </c>
      <c r="B17" t="s">
        <v>6490</v>
      </c>
      <c r="C17" t="s">
        <v>6490</v>
      </c>
      <c r="D17" t="s">
        <v>6490</v>
      </c>
      <c r="E17" t="s">
        <v>6490</v>
      </c>
      <c r="F17" t="s">
        <v>6490</v>
      </c>
      <c r="G17" t="s">
        <v>6490</v>
      </c>
      <c r="H17" t="s">
        <v>6490</v>
      </c>
      <c r="I17" t="s">
        <v>6490</v>
      </c>
      <c r="J17" t="s">
        <v>6490</v>
      </c>
      <c r="K17" t="s">
        <v>6490</v>
      </c>
      <c r="L17" t="s">
        <v>6490</v>
      </c>
      <c r="M17" t="s">
        <v>6490</v>
      </c>
      <c r="N17" t="s">
        <v>6490</v>
      </c>
      <c r="O17" t="s">
        <v>6490</v>
      </c>
      <c r="P17" t="s">
        <v>6490</v>
      </c>
      <c r="Q17" t="s">
        <v>6490</v>
      </c>
      <c r="R17" t="s">
        <v>6490</v>
      </c>
      <c r="S17" t="s">
        <v>6490</v>
      </c>
      <c r="T17" t="s">
        <v>6490</v>
      </c>
      <c r="U17" t="s">
        <v>6490</v>
      </c>
      <c r="V17" t="s">
        <v>6490</v>
      </c>
      <c r="W17" t="s">
        <v>6490</v>
      </c>
      <c r="X17" t="s">
        <v>6490</v>
      </c>
      <c r="Y17" t="s">
        <v>6490</v>
      </c>
      <c r="Z17" t="s">
        <v>6490</v>
      </c>
      <c r="AA17" t="s">
        <v>6490</v>
      </c>
      <c r="AB17" t="s">
        <v>6490</v>
      </c>
      <c r="AC17" t="s">
        <v>6490</v>
      </c>
    </row>
    <row r="18" spans="1:29" x14ac:dyDescent="0.25">
      <c r="A18" t="s">
        <v>388</v>
      </c>
      <c r="B18">
        <v>12</v>
      </c>
      <c r="C18" t="s">
        <v>6490</v>
      </c>
      <c r="D18">
        <v>2</v>
      </c>
      <c r="E18">
        <v>2</v>
      </c>
      <c r="F18">
        <v>3</v>
      </c>
      <c r="G18" t="s">
        <v>6490</v>
      </c>
      <c r="H18">
        <v>5</v>
      </c>
      <c r="I18">
        <v>5</v>
      </c>
      <c r="J18" t="s">
        <v>6490</v>
      </c>
      <c r="K18" t="s">
        <v>6490</v>
      </c>
      <c r="L18">
        <v>1</v>
      </c>
      <c r="M18" t="s">
        <v>6490</v>
      </c>
      <c r="N18" t="s">
        <v>6490</v>
      </c>
      <c r="O18">
        <v>4</v>
      </c>
      <c r="P18">
        <v>1</v>
      </c>
      <c r="Q18" t="s">
        <v>6490</v>
      </c>
      <c r="R18" t="s">
        <v>6490</v>
      </c>
      <c r="S18" t="s">
        <v>6490</v>
      </c>
      <c r="T18" t="s">
        <v>6490</v>
      </c>
      <c r="U18" t="s">
        <v>6490</v>
      </c>
      <c r="V18">
        <v>1</v>
      </c>
      <c r="W18" t="s">
        <v>6490</v>
      </c>
      <c r="X18" t="s">
        <v>6490</v>
      </c>
      <c r="Y18" t="s">
        <v>6490</v>
      </c>
      <c r="Z18" t="s">
        <v>6490</v>
      </c>
      <c r="AA18" t="s">
        <v>6490</v>
      </c>
      <c r="AB18" t="s">
        <v>6490</v>
      </c>
      <c r="AC18" t="s">
        <v>6490</v>
      </c>
    </row>
    <row r="19" spans="1:29" x14ac:dyDescent="0.25">
      <c r="A19" t="s">
        <v>32</v>
      </c>
      <c r="B19">
        <v>5</v>
      </c>
      <c r="C19">
        <v>1</v>
      </c>
      <c r="D19">
        <v>1</v>
      </c>
      <c r="E19" t="s">
        <v>6490</v>
      </c>
      <c r="F19">
        <v>3</v>
      </c>
      <c r="G19" t="s">
        <v>6490</v>
      </c>
      <c r="H19" t="s">
        <v>6490</v>
      </c>
      <c r="I19">
        <v>3</v>
      </c>
      <c r="J19">
        <v>1</v>
      </c>
      <c r="K19" t="s">
        <v>6490</v>
      </c>
      <c r="L19" t="s">
        <v>6490</v>
      </c>
      <c r="M19">
        <v>2</v>
      </c>
      <c r="N19" t="s">
        <v>6490</v>
      </c>
      <c r="O19" t="s">
        <v>6490</v>
      </c>
      <c r="P19">
        <v>2</v>
      </c>
      <c r="Q19" t="s">
        <v>6490</v>
      </c>
      <c r="R19" t="s">
        <v>6490</v>
      </c>
      <c r="S19" t="s">
        <v>6490</v>
      </c>
      <c r="T19">
        <v>2</v>
      </c>
      <c r="U19" t="s">
        <v>6490</v>
      </c>
      <c r="V19" t="s">
        <v>6490</v>
      </c>
      <c r="W19" t="s">
        <v>6490</v>
      </c>
      <c r="X19" t="s">
        <v>6490</v>
      </c>
      <c r="Y19" t="s">
        <v>6490</v>
      </c>
      <c r="Z19" t="s">
        <v>6490</v>
      </c>
      <c r="AA19" t="s">
        <v>6490</v>
      </c>
      <c r="AB19" t="s">
        <v>6490</v>
      </c>
      <c r="AC19" t="s">
        <v>6490</v>
      </c>
    </row>
    <row r="20" spans="1:29" x14ac:dyDescent="0.25">
      <c r="A20" t="s">
        <v>458</v>
      </c>
      <c r="B20">
        <v>5</v>
      </c>
      <c r="C20">
        <v>1</v>
      </c>
      <c r="D20" t="s">
        <v>6490</v>
      </c>
      <c r="E20">
        <v>1</v>
      </c>
      <c r="F20">
        <v>2</v>
      </c>
      <c r="G20">
        <v>1</v>
      </c>
      <c r="H20" t="s">
        <v>6490</v>
      </c>
      <c r="I20">
        <v>4</v>
      </c>
      <c r="J20" t="s">
        <v>6490</v>
      </c>
      <c r="K20" t="s">
        <v>6490</v>
      </c>
      <c r="L20">
        <v>1</v>
      </c>
      <c r="M20">
        <v>2</v>
      </c>
      <c r="N20">
        <v>1</v>
      </c>
      <c r="O20" t="s">
        <v>6490</v>
      </c>
      <c r="P20" t="s">
        <v>6490</v>
      </c>
      <c r="Q20" t="s">
        <v>6490</v>
      </c>
      <c r="R20" t="s">
        <v>6490</v>
      </c>
      <c r="S20" t="s">
        <v>6490</v>
      </c>
      <c r="T20" t="s">
        <v>6490</v>
      </c>
      <c r="U20" t="s">
        <v>6490</v>
      </c>
      <c r="V20" t="s">
        <v>6490</v>
      </c>
      <c r="W20" t="s">
        <v>6490</v>
      </c>
      <c r="X20" t="s">
        <v>6490</v>
      </c>
      <c r="Y20" t="s">
        <v>6490</v>
      </c>
      <c r="Z20" t="s">
        <v>6490</v>
      </c>
      <c r="AA20" t="s">
        <v>6490</v>
      </c>
      <c r="AB20" t="s">
        <v>6490</v>
      </c>
      <c r="AC20" t="s">
        <v>6490</v>
      </c>
    </row>
    <row r="21" spans="1:29" x14ac:dyDescent="0.25">
      <c r="A21" t="s">
        <v>463</v>
      </c>
      <c r="B21">
        <v>7</v>
      </c>
      <c r="C21">
        <v>1</v>
      </c>
      <c r="D21" t="s">
        <v>6490</v>
      </c>
      <c r="E21">
        <v>1</v>
      </c>
      <c r="F21">
        <v>1</v>
      </c>
      <c r="G21" t="s">
        <v>6490</v>
      </c>
      <c r="H21">
        <v>4</v>
      </c>
      <c r="I21">
        <v>5</v>
      </c>
      <c r="J21" t="s">
        <v>6490</v>
      </c>
      <c r="K21" t="s">
        <v>6490</v>
      </c>
      <c r="L21">
        <v>1</v>
      </c>
      <c r="M21">
        <v>1</v>
      </c>
      <c r="N21" t="s">
        <v>6490</v>
      </c>
      <c r="O21">
        <v>3</v>
      </c>
      <c r="P21">
        <v>4</v>
      </c>
      <c r="Q21" t="s">
        <v>6490</v>
      </c>
      <c r="R21" t="s">
        <v>6490</v>
      </c>
      <c r="S21" t="s">
        <v>6490</v>
      </c>
      <c r="T21" t="s">
        <v>6490</v>
      </c>
      <c r="U21" t="s">
        <v>6490</v>
      </c>
      <c r="V21">
        <v>4</v>
      </c>
      <c r="W21" t="s">
        <v>6490</v>
      </c>
      <c r="X21" t="s">
        <v>6490</v>
      </c>
      <c r="Y21" t="s">
        <v>6490</v>
      </c>
      <c r="Z21" t="s">
        <v>6490</v>
      </c>
      <c r="AA21" t="s">
        <v>6490</v>
      </c>
      <c r="AB21" t="s">
        <v>6490</v>
      </c>
      <c r="AC21" t="s">
        <v>6490</v>
      </c>
    </row>
    <row r="22" spans="1:29" x14ac:dyDescent="0.25">
      <c r="A22" t="s">
        <v>475</v>
      </c>
      <c r="B22">
        <v>2</v>
      </c>
      <c r="C22" t="s">
        <v>6490</v>
      </c>
      <c r="D22" t="s">
        <v>6490</v>
      </c>
      <c r="E22">
        <v>1</v>
      </c>
      <c r="F22" t="s">
        <v>6490</v>
      </c>
      <c r="G22" t="s">
        <v>6490</v>
      </c>
      <c r="H22">
        <v>1</v>
      </c>
      <c r="I22" t="s">
        <v>6490</v>
      </c>
      <c r="J22" t="s">
        <v>6490</v>
      </c>
      <c r="K22" t="s">
        <v>6490</v>
      </c>
      <c r="L22" t="s">
        <v>6490</v>
      </c>
      <c r="M22" t="s">
        <v>6490</v>
      </c>
      <c r="N22" t="s">
        <v>6490</v>
      </c>
      <c r="O22" t="s">
        <v>6490</v>
      </c>
      <c r="P22">
        <v>1</v>
      </c>
      <c r="Q22" t="s">
        <v>6490</v>
      </c>
      <c r="R22" t="s">
        <v>6490</v>
      </c>
      <c r="S22" t="s">
        <v>6490</v>
      </c>
      <c r="T22" t="s">
        <v>6490</v>
      </c>
      <c r="U22" t="s">
        <v>6490</v>
      </c>
      <c r="V22">
        <v>1</v>
      </c>
      <c r="W22" t="s">
        <v>6490</v>
      </c>
      <c r="X22" t="s">
        <v>6490</v>
      </c>
      <c r="Y22" t="s">
        <v>6490</v>
      </c>
      <c r="Z22" t="s">
        <v>6490</v>
      </c>
      <c r="AA22" t="s">
        <v>6490</v>
      </c>
      <c r="AB22" t="s">
        <v>6490</v>
      </c>
      <c r="AC22" t="s">
        <v>6490</v>
      </c>
    </row>
    <row r="23" spans="1:29" x14ac:dyDescent="0.25">
      <c r="A23" t="s">
        <v>480</v>
      </c>
      <c r="B23" t="s">
        <v>6490</v>
      </c>
      <c r="C23" t="s">
        <v>6490</v>
      </c>
      <c r="D23" t="s">
        <v>6490</v>
      </c>
      <c r="E23" t="s">
        <v>6490</v>
      </c>
      <c r="F23" t="s">
        <v>6490</v>
      </c>
      <c r="G23" t="s">
        <v>6490</v>
      </c>
      <c r="H23" t="s">
        <v>6490</v>
      </c>
      <c r="I23" t="s">
        <v>6490</v>
      </c>
      <c r="J23" t="s">
        <v>6490</v>
      </c>
      <c r="K23" t="s">
        <v>6490</v>
      </c>
      <c r="L23" t="s">
        <v>6490</v>
      </c>
      <c r="M23" t="s">
        <v>6490</v>
      </c>
      <c r="N23" t="s">
        <v>6490</v>
      </c>
      <c r="O23" t="s">
        <v>6490</v>
      </c>
      <c r="P23" t="s">
        <v>6490</v>
      </c>
      <c r="Q23" t="s">
        <v>6490</v>
      </c>
      <c r="R23" t="s">
        <v>6490</v>
      </c>
      <c r="S23" t="s">
        <v>6490</v>
      </c>
      <c r="T23" t="s">
        <v>6490</v>
      </c>
      <c r="U23" t="s">
        <v>6490</v>
      </c>
      <c r="V23" t="s">
        <v>6490</v>
      </c>
      <c r="W23" t="s">
        <v>6490</v>
      </c>
      <c r="X23" t="s">
        <v>6490</v>
      </c>
      <c r="Y23" t="s">
        <v>6490</v>
      </c>
      <c r="Z23" t="s">
        <v>6490</v>
      </c>
      <c r="AA23" t="s">
        <v>6490</v>
      </c>
      <c r="AB23" t="s">
        <v>6490</v>
      </c>
      <c r="AC23" t="s">
        <v>6490</v>
      </c>
    </row>
    <row r="24" spans="1:29" x14ac:dyDescent="0.25">
      <c r="A24" t="s">
        <v>485</v>
      </c>
      <c r="B24">
        <v>36</v>
      </c>
      <c r="C24">
        <v>7</v>
      </c>
      <c r="D24">
        <v>4</v>
      </c>
      <c r="E24">
        <v>13</v>
      </c>
      <c r="F24">
        <v>8</v>
      </c>
      <c r="G24">
        <v>1</v>
      </c>
      <c r="H24">
        <v>3</v>
      </c>
      <c r="I24">
        <v>16</v>
      </c>
      <c r="J24">
        <v>2</v>
      </c>
      <c r="K24">
        <v>3</v>
      </c>
      <c r="L24">
        <v>5</v>
      </c>
      <c r="M24">
        <v>4</v>
      </c>
      <c r="N24" t="s">
        <v>6490</v>
      </c>
      <c r="O24">
        <v>2</v>
      </c>
      <c r="P24">
        <v>5</v>
      </c>
      <c r="Q24" t="s">
        <v>6490</v>
      </c>
      <c r="R24" t="s">
        <v>6490</v>
      </c>
      <c r="S24">
        <v>1</v>
      </c>
      <c r="T24">
        <v>2</v>
      </c>
      <c r="U24" t="s">
        <v>6490</v>
      </c>
      <c r="V24">
        <v>2</v>
      </c>
      <c r="W24" t="s">
        <v>6490</v>
      </c>
      <c r="X24" t="s">
        <v>6490</v>
      </c>
      <c r="Y24" t="s">
        <v>6490</v>
      </c>
      <c r="Z24" t="s">
        <v>6490</v>
      </c>
      <c r="AA24" t="s">
        <v>6490</v>
      </c>
      <c r="AB24" t="s">
        <v>6490</v>
      </c>
      <c r="AC24" t="s">
        <v>6490</v>
      </c>
    </row>
    <row r="25" spans="1:29" x14ac:dyDescent="0.25">
      <c r="A25" t="s">
        <v>622</v>
      </c>
      <c r="B25">
        <v>14</v>
      </c>
      <c r="C25">
        <v>1</v>
      </c>
      <c r="D25">
        <v>3</v>
      </c>
      <c r="E25">
        <v>3</v>
      </c>
      <c r="F25">
        <v>5</v>
      </c>
      <c r="G25">
        <v>2</v>
      </c>
      <c r="H25" t="s">
        <v>6490</v>
      </c>
      <c r="I25">
        <v>3</v>
      </c>
      <c r="J25" t="s">
        <v>6490</v>
      </c>
      <c r="K25">
        <v>1</v>
      </c>
      <c r="L25" t="s">
        <v>6490</v>
      </c>
      <c r="M25">
        <v>1</v>
      </c>
      <c r="N25">
        <v>1</v>
      </c>
      <c r="O25" t="s">
        <v>6490</v>
      </c>
      <c r="P25">
        <v>2</v>
      </c>
      <c r="Q25" t="s">
        <v>6490</v>
      </c>
      <c r="R25" t="s">
        <v>6490</v>
      </c>
      <c r="S25" t="s">
        <v>6490</v>
      </c>
      <c r="T25">
        <v>1</v>
      </c>
      <c r="U25">
        <v>1</v>
      </c>
      <c r="V25" t="s">
        <v>6490</v>
      </c>
      <c r="W25" t="s">
        <v>6490</v>
      </c>
      <c r="X25" t="s">
        <v>6490</v>
      </c>
      <c r="Y25" t="s">
        <v>6490</v>
      </c>
      <c r="Z25" t="s">
        <v>6490</v>
      </c>
      <c r="AA25" t="s">
        <v>6490</v>
      </c>
      <c r="AB25" t="s">
        <v>6490</v>
      </c>
      <c r="AC25" t="s">
        <v>6490</v>
      </c>
    </row>
    <row r="26" spans="1:29" x14ac:dyDescent="0.25">
      <c r="A26" t="s">
        <v>634</v>
      </c>
      <c r="B26" t="s">
        <v>6490</v>
      </c>
      <c r="C26" t="s">
        <v>6490</v>
      </c>
      <c r="D26" t="s">
        <v>6490</v>
      </c>
      <c r="E26" t="s">
        <v>6490</v>
      </c>
      <c r="F26" t="s">
        <v>6490</v>
      </c>
      <c r="G26" t="s">
        <v>6490</v>
      </c>
      <c r="H26" t="s">
        <v>6490</v>
      </c>
      <c r="I26" t="s">
        <v>6490</v>
      </c>
      <c r="J26" t="s">
        <v>6490</v>
      </c>
      <c r="K26" t="s">
        <v>6490</v>
      </c>
      <c r="L26" t="s">
        <v>6490</v>
      </c>
      <c r="M26" t="s">
        <v>6490</v>
      </c>
      <c r="N26" t="s">
        <v>6490</v>
      </c>
      <c r="O26" t="s">
        <v>6490</v>
      </c>
      <c r="P26" t="s">
        <v>6490</v>
      </c>
      <c r="Q26" t="s">
        <v>6490</v>
      </c>
      <c r="R26" t="s">
        <v>6490</v>
      </c>
      <c r="S26" t="s">
        <v>6490</v>
      </c>
      <c r="T26" t="s">
        <v>6490</v>
      </c>
      <c r="U26" t="s">
        <v>6490</v>
      </c>
      <c r="V26" t="s">
        <v>6490</v>
      </c>
      <c r="W26" t="s">
        <v>6490</v>
      </c>
      <c r="X26" t="s">
        <v>6490</v>
      </c>
      <c r="Y26" t="s">
        <v>6490</v>
      </c>
      <c r="Z26" t="s">
        <v>6490</v>
      </c>
      <c r="AA26" t="s">
        <v>6490</v>
      </c>
      <c r="AB26" t="s">
        <v>6490</v>
      </c>
      <c r="AC26" t="s">
        <v>6490</v>
      </c>
    </row>
    <row r="27" spans="1:29" ht="30" customHeight="1" x14ac:dyDescent="0.25">
      <c r="A27" s="13" t="s">
        <v>6548</v>
      </c>
      <c r="B27">
        <v>13</v>
      </c>
      <c r="C27" t="s">
        <v>6490</v>
      </c>
      <c r="D27">
        <v>1</v>
      </c>
      <c r="E27" t="s">
        <v>6490</v>
      </c>
      <c r="F27">
        <v>4</v>
      </c>
      <c r="G27">
        <v>2</v>
      </c>
      <c r="H27">
        <v>6</v>
      </c>
      <c r="I27">
        <v>6</v>
      </c>
      <c r="J27" t="s">
        <v>6490</v>
      </c>
      <c r="K27" t="s">
        <v>6490</v>
      </c>
      <c r="L27" t="s">
        <v>6490</v>
      </c>
      <c r="M27">
        <v>1</v>
      </c>
      <c r="N27">
        <v>1</v>
      </c>
      <c r="O27">
        <v>4</v>
      </c>
      <c r="P27">
        <v>7</v>
      </c>
      <c r="Q27" t="s">
        <v>6490</v>
      </c>
      <c r="R27" t="s">
        <v>6490</v>
      </c>
      <c r="S27" t="s">
        <v>6490</v>
      </c>
      <c r="T27" t="s">
        <v>6490</v>
      </c>
      <c r="U27">
        <v>1</v>
      </c>
      <c r="V27">
        <v>6</v>
      </c>
      <c r="W27" t="s">
        <v>6490</v>
      </c>
      <c r="X27" t="s">
        <v>6490</v>
      </c>
      <c r="Y27" t="s">
        <v>6490</v>
      </c>
      <c r="Z27" t="s">
        <v>6490</v>
      </c>
      <c r="AA27" t="s">
        <v>6490</v>
      </c>
      <c r="AB27" t="s">
        <v>6490</v>
      </c>
      <c r="AC27" t="s">
        <v>6490</v>
      </c>
    </row>
    <row r="28" spans="1:29" x14ac:dyDescent="0.25">
      <c r="A28" t="s">
        <v>741</v>
      </c>
      <c r="B28" t="s">
        <v>6490</v>
      </c>
      <c r="C28" t="s">
        <v>6490</v>
      </c>
      <c r="D28" t="s">
        <v>6490</v>
      </c>
      <c r="E28" t="s">
        <v>6490</v>
      </c>
      <c r="F28" t="s">
        <v>6490</v>
      </c>
      <c r="G28" t="s">
        <v>6490</v>
      </c>
      <c r="H28" t="s">
        <v>6490</v>
      </c>
      <c r="I28" t="s">
        <v>6490</v>
      </c>
      <c r="J28" t="s">
        <v>6490</v>
      </c>
      <c r="K28" t="s">
        <v>6490</v>
      </c>
      <c r="L28" t="s">
        <v>6490</v>
      </c>
      <c r="M28" t="s">
        <v>6490</v>
      </c>
      <c r="N28" t="s">
        <v>6490</v>
      </c>
      <c r="O28" t="s">
        <v>6490</v>
      </c>
      <c r="P28" t="s">
        <v>6490</v>
      </c>
      <c r="Q28" t="s">
        <v>6490</v>
      </c>
      <c r="R28" t="s">
        <v>6490</v>
      </c>
      <c r="S28" t="s">
        <v>6490</v>
      </c>
      <c r="T28" t="s">
        <v>6490</v>
      </c>
      <c r="U28" t="s">
        <v>6490</v>
      </c>
      <c r="V28" t="s">
        <v>6490</v>
      </c>
      <c r="W28" t="s">
        <v>6490</v>
      </c>
      <c r="X28" t="s">
        <v>6490</v>
      </c>
      <c r="Y28" t="s">
        <v>6490</v>
      </c>
      <c r="Z28" t="s">
        <v>6490</v>
      </c>
      <c r="AA28" t="s">
        <v>6490</v>
      </c>
      <c r="AB28" t="s">
        <v>6490</v>
      </c>
      <c r="AC28" t="s">
        <v>6490</v>
      </c>
    </row>
    <row r="29" spans="1:29" x14ac:dyDescent="0.25">
      <c r="A29" t="s">
        <v>745</v>
      </c>
      <c r="B29" t="s">
        <v>6490</v>
      </c>
      <c r="C29" t="s">
        <v>6490</v>
      </c>
      <c r="D29" t="s">
        <v>6490</v>
      </c>
      <c r="E29" t="s">
        <v>6490</v>
      </c>
      <c r="F29" t="s">
        <v>6490</v>
      </c>
      <c r="G29" t="s">
        <v>6490</v>
      </c>
      <c r="H29" t="s">
        <v>6490</v>
      </c>
      <c r="I29" t="s">
        <v>6490</v>
      </c>
      <c r="J29" t="s">
        <v>6490</v>
      </c>
      <c r="K29" t="s">
        <v>6490</v>
      </c>
      <c r="L29" t="s">
        <v>6490</v>
      </c>
      <c r="M29" t="s">
        <v>6490</v>
      </c>
      <c r="N29" t="s">
        <v>6490</v>
      </c>
      <c r="O29" t="s">
        <v>6490</v>
      </c>
      <c r="P29" t="s">
        <v>6490</v>
      </c>
      <c r="Q29" t="s">
        <v>6490</v>
      </c>
      <c r="R29" t="s">
        <v>6490</v>
      </c>
      <c r="S29" t="s">
        <v>6490</v>
      </c>
      <c r="T29" t="s">
        <v>6490</v>
      </c>
      <c r="U29" t="s">
        <v>6490</v>
      </c>
      <c r="V29" t="s">
        <v>6490</v>
      </c>
      <c r="W29" t="s">
        <v>6490</v>
      </c>
      <c r="X29" t="s">
        <v>6490</v>
      </c>
      <c r="Y29" t="s">
        <v>6490</v>
      </c>
      <c r="Z29" t="s">
        <v>6490</v>
      </c>
      <c r="AA29" t="s">
        <v>6490</v>
      </c>
      <c r="AB29" t="s">
        <v>6490</v>
      </c>
      <c r="AC29" t="s">
        <v>6490</v>
      </c>
    </row>
    <row r="30" spans="1:29" x14ac:dyDescent="0.25">
      <c r="A30" t="s">
        <v>748</v>
      </c>
      <c r="B30" t="s">
        <v>6490</v>
      </c>
      <c r="C30" t="s">
        <v>6490</v>
      </c>
      <c r="D30" t="s">
        <v>6490</v>
      </c>
      <c r="E30" t="s">
        <v>6490</v>
      </c>
      <c r="F30" t="s">
        <v>6490</v>
      </c>
      <c r="G30" t="s">
        <v>6490</v>
      </c>
      <c r="H30" t="s">
        <v>6490</v>
      </c>
      <c r="I30" t="s">
        <v>6490</v>
      </c>
      <c r="J30" t="s">
        <v>6490</v>
      </c>
      <c r="K30" t="s">
        <v>6490</v>
      </c>
      <c r="L30" t="s">
        <v>6490</v>
      </c>
      <c r="M30" t="s">
        <v>6490</v>
      </c>
      <c r="N30" t="s">
        <v>6490</v>
      </c>
      <c r="O30" t="s">
        <v>6490</v>
      </c>
      <c r="P30" t="s">
        <v>6490</v>
      </c>
      <c r="Q30" t="s">
        <v>6490</v>
      </c>
      <c r="R30" t="s">
        <v>6490</v>
      </c>
      <c r="S30" t="s">
        <v>6490</v>
      </c>
      <c r="T30" t="s">
        <v>6490</v>
      </c>
      <c r="U30" t="s">
        <v>6490</v>
      </c>
      <c r="V30" t="s">
        <v>6490</v>
      </c>
      <c r="W30" t="s">
        <v>6490</v>
      </c>
      <c r="X30" t="s">
        <v>6490</v>
      </c>
      <c r="Y30" t="s">
        <v>6490</v>
      </c>
      <c r="Z30" t="s">
        <v>6490</v>
      </c>
      <c r="AA30" t="s">
        <v>6490</v>
      </c>
      <c r="AB30" t="s">
        <v>6490</v>
      </c>
      <c r="AC30" t="s">
        <v>6490</v>
      </c>
    </row>
    <row r="31" spans="1:29" x14ac:dyDescent="0.25">
      <c r="A31" t="s">
        <v>761</v>
      </c>
      <c r="B31">
        <v>19</v>
      </c>
      <c r="C31">
        <v>4</v>
      </c>
      <c r="D31">
        <v>2</v>
      </c>
      <c r="E31">
        <v>1</v>
      </c>
      <c r="F31">
        <v>5</v>
      </c>
      <c r="G31">
        <v>2</v>
      </c>
      <c r="H31">
        <v>5</v>
      </c>
      <c r="I31">
        <v>6</v>
      </c>
      <c r="J31" t="s">
        <v>6490</v>
      </c>
      <c r="K31" t="s">
        <v>6490</v>
      </c>
      <c r="L31" t="s">
        <v>6490</v>
      </c>
      <c r="M31" t="s">
        <v>6490</v>
      </c>
      <c r="N31">
        <v>1</v>
      </c>
      <c r="O31">
        <v>5</v>
      </c>
      <c r="P31">
        <v>5</v>
      </c>
      <c r="Q31" t="s">
        <v>6490</v>
      </c>
      <c r="R31" t="s">
        <v>6490</v>
      </c>
      <c r="S31" t="s">
        <v>6490</v>
      </c>
      <c r="T31" t="s">
        <v>6490</v>
      </c>
      <c r="U31">
        <v>1</v>
      </c>
      <c r="V31">
        <v>4</v>
      </c>
      <c r="W31" t="s">
        <v>6490</v>
      </c>
      <c r="X31" t="s">
        <v>6490</v>
      </c>
      <c r="Y31" t="s">
        <v>6490</v>
      </c>
      <c r="Z31" t="s">
        <v>6490</v>
      </c>
      <c r="AA31" t="s">
        <v>6490</v>
      </c>
      <c r="AB31" t="s">
        <v>6490</v>
      </c>
      <c r="AC31" t="s">
        <v>6490</v>
      </c>
    </row>
    <row r="32" spans="1:29" x14ac:dyDescent="0.25">
      <c r="A32" t="s">
        <v>764</v>
      </c>
      <c r="B32">
        <v>26</v>
      </c>
      <c r="C32">
        <v>4</v>
      </c>
      <c r="D32">
        <v>4</v>
      </c>
      <c r="E32">
        <v>1</v>
      </c>
      <c r="F32">
        <v>10</v>
      </c>
      <c r="G32">
        <v>5</v>
      </c>
      <c r="H32">
        <v>2</v>
      </c>
      <c r="I32">
        <v>2</v>
      </c>
      <c r="J32" t="s">
        <v>6490</v>
      </c>
      <c r="K32" t="s">
        <v>6490</v>
      </c>
      <c r="L32" t="s">
        <v>6490</v>
      </c>
      <c r="M32">
        <v>2</v>
      </c>
      <c r="N32" t="s">
        <v>6490</v>
      </c>
      <c r="O32" t="s">
        <v>6490</v>
      </c>
      <c r="P32" t="s">
        <v>6490</v>
      </c>
      <c r="Q32" t="s">
        <v>6490</v>
      </c>
      <c r="R32" t="s">
        <v>6490</v>
      </c>
      <c r="S32" t="s">
        <v>6490</v>
      </c>
      <c r="T32" t="s">
        <v>6490</v>
      </c>
      <c r="U32" t="s">
        <v>6490</v>
      </c>
      <c r="V32" t="s">
        <v>6490</v>
      </c>
      <c r="W32" t="s">
        <v>6490</v>
      </c>
      <c r="X32" t="s">
        <v>6490</v>
      </c>
      <c r="Y32" t="s">
        <v>6490</v>
      </c>
      <c r="Z32" t="s">
        <v>6490</v>
      </c>
      <c r="AA32" t="s">
        <v>6490</v>
      </c>
      <c r="AB32" t="s">
        <v>6490</v>
      </c>
      <c r="AC32" t="s">
        <v>6490</v>
      </c>
    </row>
    <row r="33" spans="1:29" x14ac:dyDescent="0.25">
      <c r="A33" t="s">
        <v>270</v>
      </c>
      <c r="B33">
        <v>23</v>
      </c>
      <c r="C33" t="s">
        <v>6490</v>
      </c>
      <c r="D33">
        <v>1</v>
      </c>
      <c r="E33">
        <v>2</v>
      </c>
      <c r="F33">
        <v>1</v>
      </c>
      <c r="G33">
        <v>1</v>
      </c>
      <c r="H33">
        <v>18</v>
      </c>
      <c r="I33">
        <v>15</v>
      </c>
      <c r="J33" t="s">
        <v>6490</v>
      </c>
      <c r="K33">
        <v>1</v>
      </c>
      <c r="L33" t="s">
        <v>6490</v>
      </c>
      <c r="M33" t="s">
        <v>6490</v>
      </c>
      <c r="N33" t="s">
        <v>6490</v>
      </c>
      <c r="O33">
        <v>14</v>
      </c>
      <c r="P33">
        <v>19</v>
      </c>
      <c r="Q33" t="s">
        <v>6490</v>
      </c>
      <c r="R33">
        <v>1</v>
      </c>
      <c r="S33" t="s">
        <v>6490</v>
      </c>
      <c r="T33" t="s">
        <v>6490</v>
      </c>
      <c r="U33">
        <v>1</v>
      </c>
      <c r="V33">
        <v>17</v>
      </c>
      <c r="W33" t="s">
        <v>6490</v>
      </c>
      <c r="X33" t="s">
        <v>6490</v>
      </c>
      <c r="Y33" t="s">
        <v>6490</v>
      </c>
      <c r="Z33" t="s">
        <v>6490</v>
      </c>
      <c r="AA33" t="s">
        <v>6490</v>
      </c>
      <c r="AB33" t="s">
        <v>6490</v>
      </c>
      <c r="AC33" t="s">
        <v>6490</v>
      </c>
    </row>
    <row r="34" spans="1:29" x14ac:dyDescent="0.25">
      <c r="A34" t="s">
        <v>773</v>
      </c>
      <c r="B34" t="s">
        <v>6490</v>
      </c>
      <c r="C34" t="s">
        <v>6490</v>
      </c>
      <c r="D34" t="s">
        <v>6490</v>
      </c>
      <c r="E34" t="s">
        <v>6490</v>
      </c>
      <c r="F34" t="s">
        <v>6490</v>
      </c>
      <c r="G34" t="s">
        <v>6490</v>
      </c>
      <c r="H34" t="s">
        <v>6490</v>
      </c>
      <c r="I34" t="s">
        <v>6490</v>
      </c>
      <c r="J34" t="s">
        <v>6490</v>
      </c>
      <c r="K34" t="s">
        <v>6490</v>
      </c>
      <c r="L34" t="s">
        <v>6490</v>
      </c>
      <c r="M34" t="s">
        <v>6490</v>
      </c>
      <c r="N34" t="s">
        <v>6490</v>
      </c>
      <c r="O34" t="s">
        <v>6490</v>
      </c>
      <c r="P34" t="s">
        <v>6490</v>
      </c>
      <c r="Q34" t="s">
        <v>6490</v>
      </c>
      <c r="R34" t="s">
        <v>6490</v>
      </c>
      <c r="S34" t="s">
        <v>6490</v>
      </c>
      <c r="T34" t="s">
        <v>6490</v>
      </c>
      <c r="U34" t="s">
        <v>6490</v>
      </c>
      <c r="V34" t="s">
        <v>6490</v>
      </c>
      <c r="W34" t="s">
        <v>6490</v>
      </c>
      <c r="X34" t="s">
        <v>6490</v>
      </c>
      <c r="Y34" t="s">
        <v>6490</v>
      </c>
      <c r="Z34" t="s">
        <v>6490</v>
      </c>
      <c r="AA34" t="s">
        <v>6490</v>
      </c>
      <c r="AB34" t="s">
        <v>6490</v>
      </c>
      <c r="AC34" t="s">
        <v>6490</v>
      </c>
    </row>
    <row r="35" spans="1:29" x14ac:dyDescent="0.25">
      <c r="A35" t="s">
        <v>36</v>
      </c>
      <c r="B35">
        <v>7</v>
      </c>
      <c r="C35" t="s">
        <v>6490</v>
      </c>
      <c r="D35">
        <v>2</v>
      </c>
      <c r="E35">
        <v>1</v>
      </c>
      <c r="F35">
        <v>1</v>
      </c>
      <c r="G35">
        <v>1</v>
      </c>
      <c r="H35">
        <v>2</v>
      </c>
      <c r="I35" t="s">
        <v>6490</v>
      </c>
      <c r="J35" t="s">
        <v>6490</v>
      </c>
      <c r="K35" t="s">
        <v>6490</v>
      </c>
      <c r="L35" t="s">
        <v>6490</v>
      </c>
      <c r="M35" t="s">
        <v>6490</v>
      </c>
      <c r="N35" t="s">
        <v>6490</v>
      </c>
      <c r="O35" t="s">
        <v>6490</v>
      </c>
      <c r="P35">
        <v>2</v>
      </c>
      <c r="Q35" t="s">
        <v>6490</v>
      </c>
      <c r="R35">
        <v>1</v>
      </c>
      <c r="S35" t="s">
        <v>6490</v>
      </c>
      <c r="T35">
        <v>1</v>
      </c>
      <c r="U35" t="s">
        <v>6490</v>
      </c>
      <c r="V35" t="s">
        <v>6490</v>
      </c>
      <c r="W35" t="s">
        <v>6490</v>
      </c>
      <c r="X35" t="s">
        <v>6490</v>
      </c>
      <c r="Y35" t="s">
        <v>6490</v>
      </c>
      <c r="Z35" t="s">
        <v>6490</v>
      </c>
      <c r="AA35" t="s">
        <v>6490</v>
      </c>
      <c r="AB35" t="s">
        <v>6490</v>
      </c>
      <c r="AC35" t="s">
        <v>6490</v>
      </c>
    </row>
    <row r="36" spans="1:29" x14ac:dyDescent="0.25">
      <c r="A36" t="s">
        <v>834</v>
      </c>
      <c r="B36">
        <v>2</v>
      </c>
      <c r="C36" t="s">
        <v>6490</v>
      </c>
      <c r="D36" t="s">
        <v>6490</v>
      </c>
      <c r="E36">
        <v>1</v>
      </c>
      <c r="F36" t="s">
        <v>6490</v>
      </c>
      <c r="G36">
        <v>1</v>
      </c>
      <c r="H36" t="s">
        <v>6490</v>
      </c>
      <c r="I36" t="s">
        <v>6490</v>
      </c>
      <c r="J36" t="s">
        <v>6490</v>
      </c>
      <c r="K36" t="s">
        <v>6490</v>
      </c>
      <c r="L36" t="s">
        <v>6490</v>
      </c>
      <c r="M36" t="s">
        <v>6490</v>
      </c>
      <c r="N36" t="s">
        <v>6490</v>
      </c>
      <c r="O36" t="s">
        <v>6490</v>
      </c>
      <c r="P36">
        <v>1</v>
      </c>
      <c r="Q36" t="s">
        <v>6490</v>
      </c>
      <c r="R36" t="s">
        <v>6490</v>
      </c>
      <c r="S36" t="s">
        <v>6490</v>
      </c>
      <c r="T36" t="s">
        <v>6490</v>
      </c>
      <c r="U36">
        <v>1</v>
      </c>
      <c r="V36" t="s">
        <v>6490</v>
      </c>
      <c r="W36" t="s">
        <v>6490</v>
      </c>
      <c r="X36" t="s">
        <v>6490</v>
      </c>
      <c r="Y36" t="s">
        <v>6490</v>
      </c>
      <c r="Z36" t="s">
        <v>6490</v>
      </c>
      <c r="AA36" t="s">
        <v>6490</v>
      </c>
      <c r="AB36" t="s">
        <v>6490</v>
      </c>
      <c r="AC36" t="s">
        <v>6490</v>
      </c>
    </row>
    <row r="37" spans="1:29" x14ac:dyDescent="0.25">
      <c r="A37" t="s">
        <v>839</v>
      </c>
      <c r="B37">
        <v>3</v>
      </c>
      <c r="C37" t="s">
        <v>6490</v>
      </c>
      <c r="D37">
        <v>1</v>
      </c>
      <c r="E37" t="s">
        <v>6490</v>
      </c>
      <c r="F37">
        <v>1</v>
      </c>
      <c r="G37">
        <v>1</v>
      </c>
      <c r="H37" t="s">
        <v>6490</v>
      </c>
      <c r="I37">
        <v>1</v>
      </c>
      <c r="J37" t="s">
        <v>6490</v>
      </c>
      <c r="K37" t="s">
        <v>6490</v>
      </c>
      <c r="L37" t="s">
        <v>6490</v>
      </c>
      <c r="M37">
        <v>1</v>
      </c>
      <c r="N37" t="s">
        <v>6490</v>
      </c>
      <c r="O37" t="s">
        <v>6490</v>
      </c>
      <c r="P37" t="s">
        <v>6490</v>
      </c>
      <c r="Q37" t="s">
        <v>6490</v>
      </c>
      <c r="R37" t="s">
        <v>6490</v>
      </c>
      <c r="S37" t="s">
        <v>6490</v>
      </c>
      <c r="T37" t="s">
        <v>6490</v>
      </c>
      <c r="U37" t="s">
        <v>6490</v>
      </c>
      <c r="V37" t="s">
        <v>6490</v>
      </c>
      <c r="W37" t="s">
        <v>6490</v>
      </c>
      <c r="X37" t="s">
        <v>6490</v>
      </c>
      <c r="Y37" t="s">
        <v>6490</v>
      </c>
      <c r="Z37" t="s">
        <v>6490</v>
      </c>
      <c r="AA37" t="s">
        <v>6490</v>
      </c>
      <c r="AB37" t="s">
        <v>6490</v>
      </c>
      <c r="AC37" t="s">
        <v>6490</v>
      </c>
    </row>
    <row r="38" spans="1:29" x14ac:dyDescent="0.25">
      <c r="A38" t="s">
        <v>40</v>
      </c>
      <c r="B38">
        <v>1</v>
      </c>
      <c r="C38" t="s">
        <v>6490</v>
      </c>
      <c r="D38" t="s">
        <v>6490</v>
      </c>
      <c r="E38" t="s">
        <v>6490</v>
      </c>
      <c r="F38">
        <v>1</v>
      </c>
      <c r="G38" t="s">
        <v>6490</v>
      </c>
      <c r="H38" t="s">
        <v>6490</v>
      </c>
      <c r="I38" t="s">
        <v>6490</v>
      </c>
      <c r="J38" t="s">
        <v>6490</v>
      </c>
      <c r="K38" t="s">
        <v>6490</v>
      </c>
      <c r="L38" t="s">
        <v>6490</v>
      </c>
      <c r="M38" t="s">
        <v>6490</v>
      </c>
      <c r="N38" t="s">
        <v>6490</v>
      </c>
      <c r="O38" t="s">
        <v>6490</v>
      </c>
      <c r="P38" t="s">
        <v>6490</v>
      </c>
      <c r="Q38" t="s">
        <v>6490</v>
      </c>
      <c r="R38" t="s">
        <v>6490</v>
      </c>
      <c r="S38" t="s">
        <v>6490</v>
      </c>
      <c r="T38" t="s">
        <v>6490</v>
      </c>
      <c r="U38" t="s">
        <v>6490</v>
      </c>
      <c r="V38" t="s">
        <v>6490</v>
      </c>
      <c r="W38" t="s">
        <v>6490</v>
      </c>
      <c r="X38" t="s">
        <v>6490</v>
      </c>
      <c r="Y38" t="s">
        <v>6490</v>
      </c>
      <c r="Z38" t="s">
        <v>6490</v>
      </c>
      <c r="AA38" t="s">
        <v>6490</v>
      </c>
      <c r="AB38" t="s">
        <v>6490</v>
      </c>
      <c r="AC38" t="s">
        <v>6490</v>
      </c>
    </row>
    <row r="39" spans="1:29" x14ac:dyDescent="0.25">
      <c r="A39" t="s">
        <v>846</v>
      </c>
      <c r="B39">
        <v>14</v>
      </c>
      <c r="C39" t="s">
        <v>6490</v>
      </c>
      <c r="D39">
        <v>6</v>
      </c>
      <c r="E39">
        <v>5</v>
      </c>
      <c r="F39">
        <v>3</v>
      </c>
      <c r="G39" t="s">
        <v>6490</v>
      </c>
      <c r="H39" t="s">
        <v>6490</v>
      </c>
      <c r="I39" t="s">
        <v>6490</v>
      </c>
      <c r="J39" t="s">
        <v>6490</v>
      </c>
      <c r="K39" t="s">
        <v>6490</v>
      </c>
      <c r="L39" t="s">
        <v>6490</v>
      </c>
      <c r="M39" t="s">
        <v>6490</v>
      </c>
      <c r="N39" t="s">
        <v>6490</v>
      </c>
      <c r="O39" t="s">
        <v>6490</v>
      </c>
      <c r="P39" t="s">
        <v>6490</v>
      </c>
      <c r="Q39" t="s">
        <v>6490</v>
      </c>
      <c r="R39" t="s">
        <v>6490</v>
      </c>
      <c r="S39" t="s">
        <v>6490</v>
      </c>
      <c r="T39" t="s">
        <v>6490</v>
      </c>
      <c r="U39" t="s">
        <v>6490</v>
      </c>
      <c r="V39" t="s">
        <v>6490</v>
      </c>
      <c r="W39" t="s">
        <v>6490</v>
      </c>
      <c r="X39" t="s">
        <v>6490</v>
      </c>
      <c r="Y39" t="s">
        <v>6490</v>
      </c>
      <c r="Z39" t="s">
        <v>6490</v>
      </c>
      <c r="AA39" t="s">
        <v>6490</v>
      </c>
      <c r="AB39" t="s">
        <v>6490</v>
      </c>
      <c r="AC39" t="s">
        <v>6490</v>
      </c>
    </row>
    <row r="40" spans="1:29" x14ac:dyDescent="0.25">
      <c r="A40" t="s">
        <v>849</v>
      </c>
      <c r="B40" t="s">
        <v>6490</v>
      </c>
      <c r="C40" t="s">
        <v>6490</v>
      </c>
      <c r="D40" t="s">
        <v>6490</v>
      </c>
      <c r="E40" t="s">
        <v>6490</v>
      </c>
      <c r="F40" t="s">
        <v>6490</v>
      </c>
      <c r="G40" t="s">
        <v>6490</v>
      </c>
      <c r="H40" t="s">
        <v>6490</v>
      </c>
      <c r="I40" t="s">
        <v>6490</v>
      </c>
      <c r="J40" t="s">
        <v>6490</v>
      </c>
      <c r="K40" t="s">
        <v>6490</v>
      </c>
      <c r="L40" t="s">
        <v>6490</v>
      </c>
      <c r="M40" t="s">
        <v>6490</v>
      </c>
      <c r="N40" t="s">
        <v>6490</v>
      </c>
      <c r="O40" t="s">
        <v>6490</v>
      </c>
      <c r="P40" t="s">
        <v>6490</v>
      </c>
      <c r="Q40" t="s">
        <v>6490</v>
      </c>
      <c r="R40" t="s">
        <v>6490</v>
      </c>
      <c r="S40" t="s">
        <v>6490</v>
      </c>
      <c r="T40" t="s">
        <v>6490</v>
      </c>
      <c r="U40" t="s">
        <v>6490</v>
      </c>
      <c r="V40" t="s">
        <v>6490</v>
      </c>
      <c r="W40" t="s">
        <v>6490</v>
      </c>
      <c r="X40" t="s">
        <v>6490</v>
      </c>
      <c r="Y40" t="s">
        <v>6490</v>
      </c>
      <c r="Z40" t="s">
        <v>6490</v>
      </c>
      <c r="AA40" t="s">
        <v>6490</v>
      </c>
      <c r="AB40" t="s">
        <v>6490</v>
      </c>
      <c r="AC40" t="s">
        <v>6490</v>
      </c>
    </row>
    <row r="41" spans="1:29" x14ac:dyDescent="0.25">
      <c r="A41" t="s">
        <v>6549</v>
      </c>
      <c r="B41">
        <v>282</v>
      </c>
      <c r="C41">
        <v>12</v>
      </c>
      <c r="D41">
        <v>51</v>
      </c>
      <c r="E41">
        <v>70</v>
      </c>
      <c r="F41">
        <v>73</v>
      </c>
      <c r="G41">
        <v>53</v>
      </c>
      <c r="H41">
        <v>23</v>
      </c>
      <c r="I41">
        <v>68</v>
      </c>
      <c r="J41">
        <v>1</v>
      </c>
      <c r="K41">
        <v>1</v>
      </c>
      <c r="L41">
        <v>12</v>
      </c>
      <c r="M41">
        <v>16</v>
      </c>
      <c r="N41">
        <v>23</v>
      </c>
      <c r="O41">
        <v>15</v>
      </c>
      <c r="P41">
        <v>87</v>
      </c>
      <c r="Q41" t="s">
        <v>6490</v>
      </c>
      <c r="R41">
        <v>3</v>
      </c>
      <c r="S41">
        <v>16</v>
      </c>
      <c r="T41">
        <v>24</v>
      </c>
      <c r="U41">
        <v>28</v>
      </c>
      <c r="V41">
        <v>16</v>
      </c>
      <c r="W41">
        <v>39</v>
      </c>
      <c r="X41" t="s">
        <v>6490</v>
      </c>
      <c r="Y41">
        <v>7</v>
      </c>
      <c r="Z41">
        <v>13</v>
      </c>
      <c r="AA41">
        <v>10</v>
      </c>
      <c r="AB41">
        <v>9</v>
      </c>
      <c r="AC41" t="s">
        <v>6490</v>
      </c>
    </row>
    <row r="42" spans="1:29" x14ac:dyDescent="0.25">
      <c r="A42" t="s">
        <v>853</v>
      </c>
      <c r="B42">
        <v>15</v>
      </c>
      <c r="C42" t="s">
        <v>6490</v>
      </c>
      <c r="D42">
        <v>1</v>
      </c>
      <c r="E42">
        <v>4</v>
      </c>
      <c r="F42">
        <v>2</v>
      </c>
      <c r="G42">
        <v>2</v>
      </c>
      <c r="H42">
        <v>6</v>
      </c>
      <c r="I42">
        <v>8</v>
      </c>
      <c r="J42" t="s">
        <v>6490</v>
      </c>
      <c r="K42" t="s">
        <v>6490</v>
      </c>
      <c r="L42">
        <v>3</v>
      </c>
      <c r="M42">
        <v>1</v>
      </c>
      <c r="N42">
        <v>1</v>
      </c>
      <c r="O42">
        <v>3</v>
      </c>
      <c r="P42">
        <v>12</v>
      </c>
      <c r="Q42" t="s">
        <v>6490</v>
      </c>
      <c r="R42" t="s">
        <v>6490</v>
      </c>
      <c r="S42">
        <v>3</v>
      </c>
      <c r="T42">
        <v>2</v>
      </c>
      <c r="U42">
        <v>1</v>
      </c>
      <c r="V42">
        <v>6</v>
      </c>
      <c r="W42" t="s">
        <v>6490</v>
      </c>
      <c r="X42" t="s">
        <v>6490</v>
      </c>
      <c r="Y42" t="s">
        <v>6490</v>
      </c>
      <c r="Z42" t="s">
        <v>6490</v>
      </c>
      <c r="AA42" t="s">
        <v>6490</v>
      </c>
      <c r="AB42" t="s">
        <v>6490</v>
      </c>
      <c r="AC42" t="s">
        <v>6490</v>
      </c>
    </row>
    <row r="43" spans="1:29" x14ac:dyDescent="0.25">
      <c r="A43" t="s">
        <v>858</v>
      </c>
      <c r="B43">
        <v>2</v>
      </c>
      <c r="C43" t="s">
        <v>6490</v>
      </c>
      <c r="D43" t="s">
        <v>6490</v>
      </c>
      <c r="E43" t="s">
        <v>6490</v>
      </c>
      <c r="F43">
        <v>1</v>
      </c>
      <c r="G43">
        <v>1</v>
      </c>
      <c r="H43" t="s">
        <v>6490</v>
      </c>
      <c r="I43">
        <v>1</v>
      </c>
      <c r="J43" t="s">
        <v>6490</v>
      </c>
      <c r="K43" t="s">
        <v>6490</v>
      </c>
      <c r="L43" t="s">
        <v>6490</v>
      </c>
      <c r="M43" t="s">
        <v>6490</v>
      </c>
      <c r="N43">
        <v>1</v>
      </c>
      <c r="O43" t="s">
        <v>6490</v>
      </c>
      <c r="P43">
        <v>1</v>
      </c>
      <c r="Q43" t="s">
        <v>6490</v>
      </c>
      <c r="R43" t="s">
        <v>6490</v>
      </c>
      <c r="S43" t="s">
        <v>6490</v>
      </c>
      <c r="T43" t="s">
        <v>6490</v>
      </c>
      <c r="U43">
        <v>1</v>
      </c>
      <c r="V43" t="s">
        <v>6490</v>
      </c>
      <c r="W43" t="s">
        <v>6490</v>
      </c>
      <c r="X43" t="s">
        <v>6490</v>
      </c>
      <c r="Y43" t="s">
        <v>6490</v>
      </c>
      <c r="Z43" t="s">
        <v>6490</v>
      </c>
      <c r="AA43" t="s">
        <v>6490</v>
      </c>
      <c r="AB43" t="s">
        <v>6490</v>
      </c>
      <c r="AC43" t="s">
        <v>6490</v>
      </c>
    </row>
    <row r="44" spans="1:29" x14ac:dyDescent="0.25">
      <c r="A44" t="s">
        <v>874</v>
      </c>
      <c r="B44">
        <v>6</v>
      </c>
      <c r="C44" t="s">
        <v>6490</v>
      </c>
      <c r="D44">
        <v>1</v>
      </c>
      <c r="E44">
        <v>4</v>
      </c>
      <c r="F44">
        <v>1</v>
      </c>
      <c r="G44" t="s">
        <v>6490</v>
      </c>
      <c r="H44" t="s">
        <v>6490</v>
      </c>
      <c r="I44">
        <v>3</v>
      </c>
      <c r="J44" t="s">
        <v>6490</v>
      </c>
      <c r="K44" t="s">
        <v>6490</v>
      </c>
      <c r="L44">
        <v>3</v>
      </c>
      <c r="M44" t="s">
        <v>6490</v>
      </c>
      <c r="N44" t="s">
        <v>6490</v>
      </c>
      <c r="O44" t="s">
        <v>6490</v>
      </c>
      <c r="P44" t="s">
        <v>6490</v>
      </c>
      <c r="Q44" t="s">
        <v>6490</v>
      </c>
      <c r="R44" t="s">
        <v>6490</v>
      </c>
      <c r="S44" t="s">
        <v>6490</v>
      </c>
      <c r="T44" t="s">
        <v>6490</v>
      </c>
      <c r="U44" t="s">
        <v>6490</v>
      </c>
      <c r="V44" t="s">
        <v>6490</v>
      </c>
      <c r="W44" t="s">
        <v>6490</v>
      </c>
      <c r="X44" t="s">
        <v>6490</v>
      </c>
      <c r="Y44" t="s">
        <v>6490</v>
      </c>
      <c r="Z44" t="s">
        <v>6490</v>
      </c>
      <c r="AA44" t="s">
        <v>6490</v>
      </c>
      <c r="AB44" t="s">
        <v>6490</v>
      </c>
      <c r="AC44" t="s">
        <v>6490</v>
      </c>
    </row>
    <row r="45" spans="1:29" x14ac:dyDescent="0.25">
      <c r="A45" t="s">
        <v>883</v>
      </c>
      <c r="B45">
        <v>3</v>
      </c>
      <c r="C45" t="s">
        <v>6490</v>
      </c>
      <c r="D45" t="s">
        <v>6490</v>
      </c>
      <c r="E45" t="s">
        <v>6490</v>
      </c>
      <c r="F45">
        <v>2</v>
      </c>
      <c r="G45">
        <v>1</v>
      </c>
      <c r="H45" t="s">
        <v>6490</v>
      </c>
      <c r="I45">
        <v>3</v>
      </c>
      <c r="J45" t="s">
        <v>6490</v>
      </c>
      <c r="K45" t="s">
        <v>6490</v>
      </c>
      <c r="L45" t="s">
        <v>6490</v>
      </c>
      <c r="M45">
        <v>2</v>
      </c>
      <c r="N45">
        <v>1</v>
      </c>
      <c r="O45" t="s">
        <v>6490</v>
      </c>
      <c r="P45">
        <v>2</v>
      </c>
      <c r="Q45" t="s">
        <v>6490</v>
      </c>
      <c r="R45" t="s">
        <v>6490</v>
      </c>
      <c r="S45" t="s">
        <v>6490</v>
      </c>
      <c r="T45">
        <v>1</v>
      </c>
      <c r="U45">
        <v>1</v>
      </c>
      <c r="V45" t="s">
        <v>6490</v>
      </c>
      <c r="W45">
        <v>1</v>
      </c>
      <c r="X45" t="s">
        <v>6490</v>
      </c>
      <c r="Y45" t="s">
        <v>6490</v>
      </c>
      <c r="Z45" t="s">
        <v>6490</v>
      </c>
      <c r="AA45">
        <v>1</v>
      </c>
      <c r="AB45" t="s">
        <v>6490</v>
      </c>
      <c r="AC45" t="s">
        <v>6490</v>
      </c>
    </row>
    <row r="46" spans="1:29" x14ac:dyDescent="0.25">
      <c r="A46" t="s">
        <v>888</v>
      </c>
      <c r="B46">
        <v>2</v>
      </c>
      <c r="C46" t="s">
        <v>6490</v>
      </c>
      <c r="D46" t="s">
        <v>6490</v>
      </c>
      <c r="E46" t="s">
        <v>6490</v>
      </c>
      <c r="F46" t="s">
        <v>6490</v>
      </c>
      <c r="G46" t="s">
        <v>6490</v>
      </c>
      <c r="H46">
        <v>2</v>
      </c>
      <c r="I46">
        <v>2</v>
      </c>
      <c r="J46" t="s">
        <v>6490</v>
      </c>
      <c r="K46" t="s">
        <v>6490</v>
      </c>
      <c r="L46" t="s">
        <v>6490</v>
      </c>
      <c r="M46" t="s">
        <v>6490</v>
      </c>
      <c r="N46" t="s">
        <v>6490</v>
      </c>
      <c r="O46">
        <v>2</v>
      </c>
      <c r="P46">
        <v>2</v>
      </c>
      <c r="Q46" t="s">
        <v>6490</v>
      </c>
      <c r="R46" t="s">
        <v>6490</v>
      </c>
      <c r="S46" t="s">
        <v>6490</v>
      </c>
      <c r="T46" t="s">
        <v>6490</v>
      </c>
      <c r="U46" t="s">
        <v>6490</v>
      </c>
      <c r="V46">
        <v>2</v>
      </c>
      <c r="W46" t="s">
        <v>6490</v>
      </c>
      <c r="X46" t="s">
        <v>6490</v>
      </c>
      <c r="Y46" t="s">
        <v>6490</v>
      </c>
      <c r="Z46" t="s">
        <v>6490</v>
      </c>
      <c r="AA46" t="s">
        <v>6490</v>
      </c>
      <c r="AB46" t="s">
        <v>6490</v>
      </c>
      <c r="AC46" t="s">
        <v>6490</v>
      </c>
    </row>
    <row r="47" spans="1:29" x14ac:dyDescent="0.25">
      <c r="A47" t="s">
        <v>41</v>
      </c>
      <c r="B47">
        <v>17</v>
      </c>
      <c r="C47">
        <v>4</v>
      </c>
      <c r="D47">
        <v>5</v>
      </c>
      <c r="E47">
        <v>7</v>
      </c>
      <c r="F47">
        <v>1</v>
      </c>
      <c r="G47" t="s">
        <v>6490</v>
      </c>
      <c r="H47" t="s">
        <v>6490</v>
      </c>
      <c r="I47">
        <v>2</v>
      </c>
      <c r="J47" t="s">
        <v>6490</v>
      </c>
      <c r="K47">
        <v>1</v>
      </c>
      <c r="L47" t="s">
        <v>6490</v>
      </c>
      <c r="M47">
        <v>1</v>
      </c>
      <c r="N47" t="s">
        <v>6490</v>
      </c>
      <c r="O47" t="s">
        <v>6490</v>
      </c>
      <c r="P47" t="s">
        <v>6490</v>
      </c>
      <c r="Q47" t="s">
        <v>6490</v>
      </c>
      <c r="R47" t="s">
        <v>6490</v>
      </c>
      <c r="S47" t="s">
        <v>6490</v>
      </c>
      <c r="T47" t="s">
        <v>6490</v>
      </c>
      <c r="U47" t="s">
        <v>6490</v>
      </c>
      <c r="V47" t="s">
        <v>6490</v>
      </c>
      <c r="W47" t="s">
        <v>6490</v>
      </c>
      <c r="X47" t="s">
        <v>6490</v>
      </c>
      <c r="Y47" t="s">
        <v>6490</v>
      </c>
      <c r="Z47" t="s">
        <v>6490</v>
      </c>
      <c r="AA47" t="s">
        <v>6490</v>
      </c>
      <c r="AB47" t="s">
        <v>6490</v>
      </c>
      <c r="AC47" t="s">
        <v>6490</v>
      </c>
    </row>
    <row r="48" spans="1:29" x14ac:dyDescent="0.25">
      <c r="A48" t="s">
        <v>946</v>
      </c>
      <c r="B48" t="s">
        <v>6490</v>
      </c>
      <c r="C48" t="s">
        <v>6490</v>
      </c>
      <c r="D48" t="s">
        <v>6490</v>
      </c>
      <c r="E48" t="s">
        <v>6490</v>
      </c>
      <c r="F48" t="s">
        <v>6490</v>
      </c>
      <c r="G48" t="s">
        <v>6490</v>
      </c>
      <c r="H48" t="s">
        <v>6490</v>
      </c>
      <c r="I48" t="s">
        <v>6490</v>
      </c>
      <c r="J48" t="s">
        <v>6490</v>
      </c>
      <c r="K48" t="s">
        <v>6490</v>
      </c>
      <c r="L48" t="s">
        <v>6490</v>
      </c>
      <c r="M48" t="s">
        <v>6490</v>
      </c>
      <c r="N48" t="s">
        <v>6490</v>
      </c>
      <c r="O48" t="s">
        <v>6490</v>
      </c>
      <c r="P48" t="s">
        <v>6490</v>
      </c>
      <c r="Q48" t="s">
        <v>6490</v>
      </c>
      <c r="R48" t="s">
        <v>6490</v>
      </c>
      <c r="S48" t="s">
        <v>6490</v>
      </c>
      <c r="T48" t="s">
        <v>6490</v>
      </c>
      <c r="U48" t="s">
        <v>6490</v>
      </c>
      <c r="V48" t="s">
        <v>6490</v>
      </c>
      <c r="W48" t="s">
        <v>6490</v>
      </c>
      <c r="X48" t="s">
        <v>6490</v>
      </c>
      <c r="Y48" t="s">
        <v>6490</v>
      </c>
      <c r="Z48" t="s">
        <v>6490</v>
      </c>
      <c r="AA48" t="s">
        <v>6490</v>
      </c>
      <c r="AB48" t="s">
        <v>6490</v>
      </c>
      <c r="AC48" t="s">
        <v>6490</v>
      </c>
    </row>
    <row r="49" spans="1:29" x14ac:dyDescent="0.25">
      <c r="A49" t="s">
        <v>955</v>
      </c>
      <c r="B49" t="s">
        <v>6490</v>
      </c>
      <c r="C49" t="s">
        <v>6490</v>
      </c>
      <c r="D49" t="s">
        <v>6490</v>
      </c>
      <c r="E49" t="s">
        <v>6490</v>
      </c>
      <c r="F49" t="s">
        <v>6490</v>
      </c>
      <c r="G49" t="s">
        <v>6490</v>
      </c>
      <c r="H49" t="s">
        <v>6490</v>
      </c>
      <c r="I49" t="s">
        <v>6490</v>
      </c>
      <c r="J49" t="s">
        <v>6490</v>
      </c>
      <c r="K49" t="s">
        <v>6490</v>
      </c>
      <c r="L49" t="s">
        <v>6490</v>
      </c>
      <c r="M49" t="s">
        <v>6490</v>
      </c>
      <c r="N49" t="s">
        <v>6490</v>
      </c>
      <c r="O49" t="s">
        <v>6490</v>
      </c>
      <c r="P49" t="s">
        <v>6490</v>
      </c>
      <c r="Q49" t="s">
        <v>6490</v>
      </c>
      <c r="R49" t="s">
        <v>6490</v>
      </c>
      <c r="S49" t="s">
        <v>6490</v>
      </c>
      <c r="T49" t="s">
        <v>6490</v>
      </c>
      <c r="U49" t="s">
        <v>6490</v>
      </c>
      <c r="V49" t="s">
        <v>6490</v>
      </c>
      <c r="W49" t="s">
        <v>6490</v>
      </c>
      <c r="X49" t="s">
        <v>6490</v>
      </c>
      <c r="Y49" t="s">
        <v>6490</v>
      </c>
      <c r="Z49" t="s">
        <v>6490</v>
      </c>
      <c r="AA49" t="s">
        <v>6490</v>
      </c>
      <c r="AB49" t="s">
        <v>6490</v>
      </c>
      <c r="AC49" t="s">
        <v>6490</v>
      </c>
    </row>
    <row r="50" spans="1:29" x14ac:dyDescent="0.25">
      <c r="A50" t="s">
        <v>964</v>
      </c>
      <c r="B50">
        <v>11</v>
      </c>
      <c r="C50" t="s">
        <v>6490</v>
      </c>
      <c r="D50">
        <v>1</v>
      </c>
      <c r="E50">
        <v>4</v>
      </c>
      <c r="F50">
        <v>2</v>
      </c>
      <c r="G50" t="s">
        <v>6490</v>
      </c>
      <c r="H50">
        <v>4</v>
      </c>
      <c r="I50">
        <v>6</v>
      </c>
      <c r="J50" t="s">
        <v>6490</v>
      </c>
      <c r="K50" t="s">
        <v>6490</v>
      </c>
      <c r="L50">
        <v>2</v>
      </c>
      <c r="M50">
        <v>2</v>
      </c>
      <c r="N50" t="s">
        <v>6490</v>
      </c>
      <c r="O50">
        <v>2</v>
      </c>
      <c r="P50">
        <v>3</v>
      </c>
      <c r="Q50" t="s">
        <v>6490</v>
      </c>
      <c r="R50" t="s">
        <v>6490</v>
      </c>
      <c r="S50" t="s">
        <v>6490</v>
      </c>
      <c r="T50" t="s">
        <v>6490</v>
      </c>
      <c r="U50" t="s">
        <v>6490</v>
      </c>
      <c r="V50">
        <v>3</v>
      </c>
      <c r="W50">
        <v>3</v>
      </c>
      <c r="X50" t="s">
        <v>6490</v>
      </c>
      <c r="Y50" t="s">
        <v>6490</v>
      </c>
      <c r="Z50">
        <v>3</v>
      </c>
      <c r="AA50" t="s">
        <v>6490</v>
      </c>
      <c r="AB50" t="s">
        <v>6490</v>
      </c>
      <c r="AC50" t="s">
        <v>6490</v>
      </c>
    </row>
    <row r="51" spans="1:29" x14ac:dyDescent="0.25">
      <c r="A51" t="s">
        <v>971</v>
      </c>
      <c r="B51" t="s">
        <v>6490</v>
      </c>
      <c r="C51" t="s">
        <v>6490</v>
      </c>
      <c r="D51" t="s">
        <v>6490</v>
      </c>
      <c r="E51" t="s">
        <v>6490</v>
      </c>
      <c r="F51" t="s">
        <v>6490</v>
      </c>
      <c r="G51" t="s">
        <v>6490</v>
      </c>
      <c r="H51" t="s">
        <v>6490</v>
      </c>
      <c r="I51" t="s">
        <v>6490</v>
      </c>
      <c r="J51" t="s">
        <v>6490</v>
      </c>
      <c r="K51" t="s">
        <v>6490</v>
      </c>
      <c r="L51" t="s">
        <v>6490</v>
      </c>
      <c r="M51" t="s">
        <v>6490</v>
      </c>
      <c r="N51" t="s">
        <v>6490</v>
      </c>
      <c r="O51" t="s">
        <v>6490</v>
      </c>
      <c r="P51" t="s">
        <v>6490</v>
      </c>
      <c r="Q51" t="s">
        <v>6490</v>
      </c>
      <c r="R51" t="s">
        <v>6490</v>
      </c>
      <c r="S51" t="s">
        <v>6490</v>
      </c>
      <c r="T51" t="s">
        <v>6490</v>
      </c>
      <c r="U51" t="s">
        <v>6490</v>
      </c>
      <c r="V51" t="s">
        <v>6490</v>
      </c>
      <c r="W51" t="s">
        <v>6490</v>
      </c>
      <c r="X51" t="s">
        <v>6490</v>
      </c>
      <c r="Y51" t="s">
        <v>6490</v>
      </c>
      <c r="Z51" t="s">
        <v>6490</v>
      </c>
      <c r="AA51" t="s">
        <v>6490</v>
      </c>
      <c r="AB51" t="s">
        <v>6490</v>
      </c>
      <c r="AC51" t="s">
        <v>6490</v>
      </c>
    </row>
    <row r="52" spans="1:29" x14ac:dyDescent="0.25">
      <c r="A52" t="s">
        <v>976</v>
      </c>
      <c r="B52" t="s">
        <v>6490</v>
      </c>
      <c r="C52" t="s">
        <v>6490</v>
      </c>
      <c r="D52" t="s">
        <v>6490</v>
      </c>
      <c r="E52" t="s">
        <v>6490</v>
      </c>
      <c r="F52" t="s">
        <v>6490</v>
      </c>
      <c r="G52" t="s">
        <v>6490</v>
      </c>
      <c r="H52" t="s">
        <v>6490</v>
      </c>
      <c r="I52" t="s">
        <v>6490</v>
      </c>
      <c r="J52" t="s">
        <v>6490</v>
      </c>
      <c r="K52" t="s">
        <v>6490</v>
      </c>
      <c r="L52" t="s">
        <v>6490</v>
      </c>
      <c r="M52" t="s">
        <v>6490</v>
      </c>
      <c r="N52" t="s">
        <v>6490</v>
      </c>
      <c r="O52" t="s">
        <v>6490</v>
      </c>
      <c r="P52" t="s">
        <v>6490</v>
      </c>
      <c r="Q52" t="s">
        <v>6490</v>
      </c>
      <c r="R52" t="s">
        <v>6490</v>
      </c>
      <c r="S52" t="s">
        <v>6490</v>
      </c>
      <c r="T52" t="s">
        <v>6490</v>
      </c>
      <c r="U52" t="s">
        <v>6490</v>
      </c>
      <c r="V52" t="s">
        <v>6490</v>
      </c>
      <c r="W52" t="s">
        <v>6490</v>
      </c>
      <c r="X52" t="s">
        <v>6490</v>
      </c>
      <c r="Y52" t="s">
        <v>6490</v>
      </c>
      <c r="Z52" t="s">
        <v>6490</v>
      </c>
      <c r="AA52" t="s">
        <v>6490</v>
      </c>
      <c r="AB52" t="s">
        <v>6490</v>
      </c>
      <c r="AC52" t="s">
        <v>6490</v>
      </c>
    </row>
    <row r="53" spans="1:29" x14ac:dyDescent="0.25">
      <c r="A53" t="s">
        <v>995</v>
      </c>
      <c r="B53">
        <v>35</v>
      </c>
      <c r="C53" t="s">
        <v>6490</v>
      </c>
      <c r="D53">
        <v>2</v>
      </c>
      <c r="E53">
        <v>11</v>
      </c>
      <c r="F53">
        <v>7</v>
      </c>
      <c r="G53">
        <v>9</v>
      </c>
      <c r="H53">
        <v>6</v>
      </c>
      <c r="I53">
        <v>19</v>
      </c>
      <c r="J53" t="s">
        <v>6490</v>
      </c>
      <c r="K53">
        <v>2</v>
      </c>
      <c r="L53">
        <v>5</v>
      </c>
      <c r="M53">
        <v>5</v>
      </c>
      <c r="N53">
        <v>4</v>
      </c>
      <c r="O53">
        <v>3</v>
      </c>
      <c r="P53">
        <v>13</v>
      </c>
      <c r="Q53" t="s">
        <v>6490</v>
      </c>
      <c r="R53" t="s">
        <v>6490</v>
      </c>
      <c r="S53">
        <v>2</v>
      </c>
      <c r="T53">
        <v>4</v>
      </c>
      <c r="U53">
        <v>2</v>
      </c>
      <c r="V53">
        <v>5</v>
      </c>
      <c r="W53">
        <v>2</v>
      </c>
      <c r="X53" t="s">
        <v>6490</v>
      </c>
      <c r="Y53" t="s">
        <v>6490</v>
      </c>
      <c r="Z53" t="s">
        <v>6490</v>
      </c>
      <c r="AA53" t="s">
        <v>6490</v>
      </c>
      <c r="AB53">
        <v>2</v>
      </c>
      <c r="AC53" t="s">
        <v>6490</v>
      </c>
    </row>
    <row r="54" spans="1:29" x14ac:dyDescent="0.25">
      <c r="A54" t="s">
        <v>1021</v>
      </c>
      <c r="B54">
        <v>36</v>
      </c>
      <c r="C54">
        <v>1</v>
      </c>
      <c r="D54">
        <v>2</v>
      </c>
      <c r="E54">
        <v>6</v>
      </c>
      <c r="F54">
        <v>12</v>
      </c>
      <c r="G54">
        <v>6</v>
      </c>
      <c r="H54">
        <v>9</v>
      </c>
      <c r="I54">
        <v>34</v>
      </c>
      <c r="J54" t="s">
        <v>6490</v>
      </c>
      <c r="K54">
        <v>2</v>
      </c>
      <c r="L54">
        <v>6</v>
      </c>
      <c r="M54">
        <v>11</v>
      </c>
      <c r="N54">
        <v>6</v>
      </c>
      <c r="O54">
        <v>9</v>
      </c>
      <c r="P54">
        <v>11</v>
      </c>
      <c r="Q54" t="s">
        <v>6490</v>
      </c>
      <c r="R54" t="s">
        <v>6490</v>
      </c>
      <c r="S54" t="s">
        <v>6490</v>
      </c>
      <c r="T54">
        <v>2</v>
      </c>
      <c r="U54">
        <v>1</v>
      </c>
      <c r="V54">
        <v>8</v>
      </c>
      <c r="W54" t="s">
        <v>6490</v>
      </c>
      <c r="X54" t="s">
        <v>6490</v>
      </c>
      <c r="Y54" t="s">
        <v>6490</v>
      </c>
      <c r="Z54" t="s">
        <v>6490</v>
      </c>
      <c r="AA54" t="s">
        <v>6490</v>
      </c>
      <c r="AB54" t="s">
        <v>6490</v>
      </c>
      <c r="AC54" t="s">
        <v>6490</v>
      </c>
    </row>
    <row r="55" spans="1:29" x14ac:dyDescent="0.25">
      <c r="A55" t="s">
        <v>1089</v>
      </c>
      <c r="B55">
        <v>5</v>
      </c>
      <c r="C55" t="s">
        <v>6490</v>
      </c>
      <c r="D55" t="s">
        <v>6490</v>
      </c>
      <c r="E55" t="s">
        <v>6490</v>
      </c>
      <c r="F55">
        <v>2</v>
      </c>
      <c r="G55">
        <v>1</v>
      </c>
      <c r="H55">
        <v>2</v>
      </c>
      <c r="I55">
        <v>4</v>
      </c>
      <c r="J55" t="s">
        <v>6490</v>
      </c>
      <c r="K55" t="s">
        <v>6490</v>
      </c>
      <c r="L55" t="s">
        <v>6490</v>
      </c>
      <c r="M55">
        <v>1</v>
      </c>
      <c r="N55">
        <v>1</v>
      </c>
      <c r="O55">
        <v>2</v>
      </c>
      <c r="P55">
        <v>3</v>
      </c>
      <c r="Q55" t="s">
        <v>6490</v>
      </c>
      <c r="R55" t="s">
        <v>6490</v>
      </c>
      <c r="S55" t="s">
        <v>6490</v>
      </c>
      <c r="T55" t="s">
        <v>6490</v>
      </c>
      <c r="U55">
        <v>1</v>
      </c>
      <c r="V55">
        <v>2</v>
      </c>
      <c r="W55" t="s">
        <v>6490</v>
      </c>
      <c r="X55" t="s">
        <v>6490</v>
      </c>
      <c r="Y55" t="s">
        <v>6490</v>
      </c>
      <c r="Z55" t="s">
        <v>6490</v>
      </c>
      <c r="AA55" t="s">
        <v>6490</v>
      </c>
      <c r="AB55" t="s">
        <v>6490</v>
      </c>
      <c r="AC55" t="s">
        <v>6490</v>
      </c>
    </row>
    <row r="56" spans="1:29" x14ac:dyDescent="0.25">
      <c r="A56" t="s">
        <v>1100</v>
      </c>
      <c r="B56">
        <v>1</v>
      </c>
      <c r="C56" t="s">
        <v>6490</v>
      </c>
      <c r="D56" t="s">
        <v>6490</v>
      </c>
      <c r="E56" t="s">
        <v>6490</v>
      </c>
      <c r="F56" t="s">
        <v>6490</v>
      </c>
      <c r="G56" t="s">
        <v>6490</v>
      </c>
      <c r="H56">
        <v>1</v>
      </c>
      <c r="I56">
        <v>1</v>
      </c>
      <c r="J56" t="s">
        <v>6490</v>
      </c>
      <c r="K56" t="s">
        <v>6490</v>
      </c>
      <c r="L56" t="s">
        <v>6490</v>
      </c>
      <c r="M56" t="s">
        <v>6490</v>
      </c>
      <c r="N56" t="s">
        <v>6490</v>
      </c>
      <c r="O56">
        <v>1</v>
      </c>
      <c r="P56">
        <v>1</v>
      </c>
      <c r="Q56" t="s">
        <v>6490</v>
      </c>
      <c r="R56" t="s">
        <v>6490</v>
      </c>
      <c r="S56" t="s">
        <v>6490</v>
      </c>
      <c r="T56" t="s">
        <v>6490</v>
      </c>
      <c r="U56" t="s">
        <v>6490</v>
      </c>
      <c r="V56">
        <v>1</v>
      </c>
      <c r="W56" t="s">
        <v>6490</v>
      </c>
      <c r="X56" t="s">
        <v>6490</v>
      </c>
      <c r="Y56" t="s">
        <v>6490</v>
      </c>
      <c r="Z56" t="s">
        <v>6490</v>
      </c>
      <c r="AA56" t="s">
        <v>6490</v>
      </c>
      <c r="AB56" t="s">
        <v>6490</v>
      </c>
      <c r="AC56" t="s">
        <v>6490</v>
      </c>
    </row>
    <row r="57" spans="1:29" x14ac:dyDescent="0.25">
      <c r="A57" t="s">
        <v>1103</v>
      </c>
      <c r="B57" t="s">
        <v>6490</v>
      </c>
      <c r="C57" t="s">
        <v>6490</v>
      </c>
      <c r="D57" t="s">
        <v>6490</v>
      </c>
      <c r="E57" t="s">
        <v>6490</v>
      </c>
      <c r="F57" t="s">
        <v>6490</v>
      </c>
      <c r="G57" t="s">
        <v>6490</v>
      </c>
      <c r="H57" t="s">
        <v>6490</v>
      </c>
      <c r="I57" t="s">
        <v>6490</v>
      </c>
      <c r="J57" t="s">
        <v>6490</v>
      </c>
      <c r="K57" t="s">
        <v>6490</v>
      </c>
      <c r="L57" t="s">
        <v>6490</v>
      </c>
      <c r="M57" t="s">
        <v>6490</v>
      </c>
      <c r="N57" t="s">
        <v>6490</v>
      </c>
      <c r="O57" t="s">
        <v>6490</v>
      </c>
      <c r="P57" t="s">
        <v>6490</v>
      </c>
      <c r="Q57" t="s">
        <v>6490</v>
      </c>
      <c r="R57" t="s">
        <v>6490</v>
      </c>
      <c r="S57" t="s">
        <v>6490</v>
      </c>
      <c r="T57" t="s">
        <v>6490</v>
      </c>
      <c r="U57" t="s">
        <v>6490</v>
      </c>
      <c r="V57" t="s">
        <v>6490</v>
      </c>
      <c r="W57" t="s">
        <v>6490</v>
      </c>
      <c r="X57" t="s">
        <v>6490</v>
      </c>
      <c r="Y57" t="s">
        <v>6490</v>
      </c>
      <c r="Z57" t="s">
        <v>6490</v>
      </c>
      <c r="AA57" t="s">
        <v>6490</v>
      </c>
      <c r="AB57" t="s">
        <v>6490</v>
      </c>
      <c r="AC57" t="s">
        <v>6490</v>
      </c>
    </row>
    <row r="58" spans="1:29" x14ac:dyDescent="0.25">
      <c r="A58" t="s">
        <v>1106</v>
      </c>
      <c r="B58" t="s">
        <v>6490</v>
      </c>
      <c r="C58" t="s">
        <v>6490</v>
      </c>
      <c r="D58" t="s">
        <v>6490</v>
      </c>
      <c r="E58" t="s">
        <v>6490</v>
      </c>
      <c r="F58" t="s">
        <v>6490</v>
      </c>
      <c r="G58" t="s">
        <v>6490</v>
      </c>
      <c r="H58" t="s">
        <v>6490</v>
      </c>
      <c r="I58" t="s">
        <v>6490</v>
      </c>
      <c r="J58" t="s">
        <v>6490</v>
      </c>
      <c r="K58" t="s">
        <v>6490</v>
      </c>
      <c r="L58" t="s">
        <v>6490</v>
      </c>
      <c r="M58" t="s">
        <v>6490</v>
      </c>
      <c r="N58" t="s">
        <v>6490</v>
      </c>
      <c r="O58" t="s">
        <v>6490</v>
      </c>
      <c r="P58" t="s">
        <v>6490</v>
      </c>
      <c r="Q58" t="s">
        <v>6490</v>
      </c>
      <c r="R58" t="s">
        <v>6490</v>
      </c>
      <c r="S58" t="s">
        <v>6490</v>
      </c>
      <c r="T58" t="s">
        <v>6490</v>
      </c>
      <c r="U58" t="s">
        <v>6490</v>
      </c>
      <c r="V58" t="s">
        <v>6490</v>
      </c>
      <c r="W58" t="s">
        <v>6490</v>
      </c>
      <c r="X58" t="s">
        <v>6490</v>
      </c>
      <c r="Y58" t="s">
        <v>6490</v>
      </c>
      <c r="Z58" t="s">
        <v>6490</v>
      </c>
      <c r="AA58" t="s">
        <v>6490</v>
      </c>
      <c r="AB58" t="s">
        <v>6490</v>
      </c>
      <c r="AC58" t="s">
        <v>6490</v>
      </c>
    </row>
    <row r="59" spans="1:29" x14ac:dyDescent="0.25">
      <c r="A59" t="s">
        <v>42</v>
      </c>
      <c r="B59">
        <v>7</v>
      </c>
      <c r="C59">
        <v>4</v>
      </c>
      <c r="D59">
        <v>1</v>
      </c>
      <c r="E59">
        <v>2</v>
      </c>
      <c r="F59" t="s">
        <v>6490</v>
      </c>
      <c r="G59" t="s">
        <v>6490</v>
      </c>
      <c r="H59" t="s">
        <v>6490</v>
      </c>
      <c r="I59" t="s">
        <v>6490</v>
      </c>
      <c r="J59" t="s">
        <v>6490</v>
      </c>
      <c r="K59" t="s">
        <v>6490</v>
      </c>
      <c r="L59" t="s">
        <v>6490</v>
      </c>
      <c r="M59" t="s">
        <v>6490</v>
      </c>
      <c r="N59" t="s">
        <v>6490</v>
      </c>
      <c r="O59" t="s">
        <v>6490</v>
      </c>
      <c r="P59" t="s">
        <v>6490</v>
      </c>
      <c r="Q59" t="s">
        <v>6490</v>
      </c>
      <c r="R59" t="s">
        <v>6490</v>
      </c>
      <c r="S59" t="s">
        <v>6490</v>
      </c>
      <c r="T59" t="s">
        <v>6490</v>
      </c>
      <c r="U59" t="s">
        <v>6490</v>
      </c>
      <c r="V59" t="s">
        <v>6490</v>
      </c>
      <c r="W59" t="s">
        <v>6490</v>
      </c>
      <c r="X59" t="s">
        <v>6490</v>
      </c>
      <c r="Y59" t="s">
        <v>6490</v>
      </c>
      <c r="Z59" t="s">
        <v>6490</v>
      </c>
      <c r="AA59" t="s">
        <v>6490</v>
      </c>
      <c r="AB59" t="s">
        <v>6490</v>
      </c>
      <c r="AC59" t="s">
        <v>6490</v>
      </c>
    </row>
    <row r="60" spans="1:29" x14ac:dyDescent="0.25">
      <c r="A60" t="s">
        <v>1149</v>
      </c>
      <c r="B60">
        <v>1</v>
      </c>
      <c r="C60" t="s">
        <v>6490</v>
      </c>
      <c r="D60">
        <v>1</v>
      </c>
      <c r="E60" t="s">
        <v>6490</v>
      </c>
      <c r="F60" t="s">
        <v>6490</v>
      </c>
      <c r="G60" t="s">
        <v>6490</v>
      </c>
      <c r="H60" t="s">
        <v>6490</v>
      </c>
      <c r="I60" t="s">
        <v>6490</v>
      </c>
      <c r="J60" t="s">
        <v>6490</v>
      </c>
      <c r="K60" t="s">
        <v>6490</v>
      </c>
      <c r="L60" t="s">
        <v>6490</v>
      </c>
      <c r="M60" t="s">
        <v>6490</v>
      </c>
      <c r="N60" t="s">
        <v>6490</v>
      </c>
      <c r="O60" t="s">
        <v>6490</v>
      </c>
      <c r="P60" t="s">
        <v>6490</v>
      </c>
      <c r="Q60" t="s">
        <v>6490</v>
      </c>
      <c r="R60" t="s">
        <v>6490</v>
      </c>
      <c r="S60" t="s">
        <v>6490</v>
      </c>
      <c r="T60" t="s">
        <v>6490</v>
      </c>
      <c r="U60" t="s">
        <v>6490</v>
      </c>
      <c r="V60" t="s">
        <v>6490</v>
      </c>
      <c r="W60" t="s">
        <v>6490</v>
      </c>
      <c r="X60" t="s">
        <v>6490</v>
      </c>
      <c r="Y60" t="s">
        <v>6490</v>
      </c>
      <c r="Z60" t="s">
        <v>6490</v>
      </c>
      <c r="AA60" t="s">
        <v>6490</v>
      </c>
      <c r="AB60" t="s">
        <v>6490</v>
      </c>
      <c r="AC60" t="s">
        <v>6490</v>
      </c>
    </row>
    <row r="61" spans="1:29" x14ac:dyDescent="0.25">
      <c r="A61" t="s">
        <v>1158</v>
      </c>
      <c r="B61">
        <v>7</v>
      </c>
      <c r="C61" t="s">
        <v>6490</v>
      </c>
      <c r="D61">
        <v>3</v>
      </c>
      <c r="E61">
        <v>3</v>
      </c>
      <c r="F61" t="s">
        <v>6490</v>
      </c>
      <c r="G61" t="s">
        <v>6490</v>
      </c>
      <c r="H61">
        <v>1</v>
      </c>
      <c r="I61">
        <v>1</v>
      </c>
      <c r="J61" t="s">
        <v>6490</v>
      </c>
      <c r="K61" t="s">
        <v>6490</v>
      </c>
      <c r="L61" t="s">
        <v>6490</v>
      </c>
      <c r="M61" t="s">
        <v>6490</v>
      </c>
      <c r="N61" t="s">
        <v>6490</v>
      </c>
      <c r="O61">
        <v>1</v>
      </c>
      <c r="P61">
        <v>1</v>
      </c>
      <c r="Q61" t="s">
        <v>6490</v>
      </c>
      <c r="R61" t="s">
        <v>6490</v>
      </c>
      <c r="S61" t="s">
        <v>6490</v>
      </c>
      <c r="T61" t="s">
        <v>6490</v>
      </c>
      <c r="U61" t="s">
        <v>6490</v>
      </c>
      <c r="V61">
        <v>1</v>
      </c>
      <c r="W61" t="s">
        <v>6490</v>
      </c>
      <c r="X61" t="s">
        <v>6490</v>
      </c>
      <c r="Y61" t="s">
        <v>6490</v>
      </c>
      <c r="Z61" t="s">
        <v>6490</v>
      </c>
      <c r="AA61" t="s">
        <v>6490</v>
      </c>
      <c r="AB61" t="s">
        <v>6490</v>
      </c>
      <c r="AC61" t="s">
        <v>6490</v>
      </c>
    </row>
    <row r="62" spans="1:29" x14ac:dyDescent="0.25">
      <c r="A62" t="s">
        <v>1181</v>
      </c>
      <c r="B62" t="s">
        <v>6490</v>
      </c>
      <c r="C62" t="s">
        <v>6490</v>
      </c>
      <c r="D62" t="s">
        <v>6490</v>
      </c>
      <c r="E62" t="s">
        <v>6490</v>
      </c>
      <c r="F62" t="s">
        <v>6490</v>
      </c>
      <c r="G62" t="s">
        <v>6490</v>
      </c>
      <c r="H62" t="s">
        <v>6490</v>
      </c>
      <c r="I62" t="s">
        <v>6490</v>
      </c>
      <c r="J62" t="s">
        <v>6490</v>
      </c>
      <c r="K62" t="s">
        <v>6490</v>
      </c>
      <c r="L62" t="s">
        <v>6490</v>
      </c>
      <c r="M62" t="s">
        <v>6490</v>
      </c>
      <c r="N62" t="s">
        <v>6490</v>
      </c>
      <c r="O62" t="s">
        <v>6490</v>
      </c>
      <c r="P62" t="s">
        <v>6490</v>
      </c>
      <c r="Q62" t="s">
        <v>6490</v>
      </c>
      <c r="R62" t="s">
        <v>6490</v>
      </c>
      <c r="S62" t="s">
        <v>6490</v>
      </c>
      <c r="T62" t="s">
        <v>6490</v>
      </c>
      <c r="U62" t="s">
        <v>6490</v>
      </c>
      <c r="V62" t="s">
        <v>6490</v>
      </c>
      <c r="W62" t="s">
        <v>6490</v>
      </c>
      <c r="X62" t="s">
        <v>6490</v>
      </c>
      <c r="Y62" t="s">
        <v>6490</v>
      </c>
      <c r="Z62" t="s">
        <v>6490</v>
      </c>
      <c r="AA62" t="s">
        <v>6490</v>
      </c>
      <c r="AB62" t="s">
        <v>6490</v>
      </c>
      <c r="AC62" t="s">
        <v>6490</v>
      </c>
    </row>
    <row r="63" spans="1:29" x14ac:dyDescent="0.25">
      <c r="A63" t="s">
        <v>1188</v>
      </c>
      <c r="B63">
        <v>2</v>
      </c>
      <c r="C63" t="s">
        <v>6490</v>
      </c>
      <c r="D63" t="s">
        <v>6490</v>
      </c>
      <c r="E63" t="s">
        <v>6490</v>
      </c>
      <c r="F63">
        <v>2</v>
      </c>
      <c r="G63" t="s">
        <v>6490</v>
      </c>
      <c r="H63" t="s">
        <v>6490</v>
      </c>
      <c r="I63">
        <v>2</v>
      </c>
      <c r="J63" t="s">
        <v>6490</v>
      </c>
      <c r="K63" t="s">
        <v>6490</v>
      </c>
      <c r="L63" t="s">
        <v>6490</v>
      </c>
      <c r="M63">
        <v>2</v>
      </c>
      <c r="N63" t="s">
        <v>6490</v>
      </c>
      <c r="O63" t="s">
        <v>6490</v>
      </c>
      <c r="P63">
        <v>2</v>
      </c>
      <c r="Q63" t="s">
        <v>6490</v>
      </c>
      <c r="R63" t="s">
        <v>6490</v>
      </c>
      <c r="S63" t="s">
        <v>6490</v>
      </c>
      <c r="T63">
        <v>2</v>
      </c>
      <c r="U63" t="s">
        <v>6490</v>
      </c>
      <c r="V63" t="s">
        <v>6490</v>
      </c>
      <c r="W63" t="s">
        <v>6490</v>
      </c>
      <c r="X63" t="s">
        <v>6490</v>
      </c>
      <c r="Y63" t="s">
        <v>6490</v>
      </c>
      <c r="Z63" t="s">
        <v>6490</v>
      </c>
      <c r="AA63" t="s">
        <v>6490</v>
      </c>
      <c r="AB63" t="s">
        <v>6490</v>
      </c>
      <c r="AC63" t="s">
        <v>6490</v>
      </c>
    </row>
    <row r="64" spans="1:29" x14ac:dyDescent="0.25">
      <c r="A64" t="s">
        <v>43</v>
      </c>
      <c r="B64">
        <v>8</v>
      </c>
      <c r="C64" t="s">
        <v>6490</v>
      </c>
      <c r="D64" t="s">
        <v>6490</v>
      </c>
      <c r="E64">
        <v>2</v>
      </c>
      <c r="F64">
        <v>4</v>
      </c>
      <c r="G64">
        <v>1</v>
      </c>
      <c r="H64">
        <v>1</v>
      </c>
      <c r="I64" t="s">
        <v>6490</v>
      </c>
      <c r="J64" t="s">
        <v>6490</v>
      </c>
      <c r="K64" t="s">
        <v>6490</v>
      </c>
      <c r="L64" t="s">
        <v>6490</v>
      </c>
      <c r="M64" t="s">
        <v>6490</v>
      </c>
      <c r="N64" t="s">
        <v>6490</v>
      </c>
      <c r="O64" t="s">
        <v>6490</v>
      </c>
      <c r="P64">
        <v>2</v>
      </c>
      <c r="Q64" t="s">
        <v>6490</v>
      </c>
      <c r="R64" t="s">
        <v>6490</v>
      </c>
      <c r="S64" t="s">
        <v>6490</v>
      </c>
      <c r="T64">
        <v>1</v>
      </c>
      <c r="U64" t="s">
        <v>6490</v>
      </c>
      <c r="V64">
        <v>1</v>
      </c>
      <c r="W64">
        <v>1</v>
      </c>
      <c r="X64" t="s">
        <v>6490</v>
      </c>
      <c r="Y64" t="s">
        <v>6490</v>
      </c>
      <c r="Z64" t="s">
        <v>6490</v>
      </c>
      <c r="AA64">
        <v>1</v>
      </c>
      <c r="AB64" t="s">
        <v>6490</v>
      </c>
      <c r="AC64" t="s">
        <v>6490</v>
      </c>
    </row>
    <row r="65" spans="1:29" x14ac:dyDescent="0.25">
      <c r="A65" t="s">
        <v>1205</v>
      </c>
      <c r="B65">
        <v>5</v>
      </c>
      <c r="C65" t="s">
        <v>6490</v>
      </c>
      <c r="D65" t="s">
        <v>6490</v>
      </c>
      <c r="E65" t="s">
        <v>6490</v>
      </c>
      <c r="F65">
        <v>2</v>
      </c>
      <c r="G65">
        <v>2</v>
      </c>
      <c r="H65">
        <v>1</v>
      </c>
      <c r="I65">
        <v>3</v>
      </c>
      <c r="J65" t="s">
        <v>6490</v>
      </c>
      <c r="K65" t="s">
        <v>6490</v>
      </c>
      <c r="L65" t="s">
        <v>6490</v>
      </c>
      <c r="M65" t="s">
        <v>6490</v>
      </c>
      <c r="N65">
        <v>2</v>
      </c>
      <c r="O65">
        <v>1</v>
      </c>
      <c r="P65">
        <v>2</v>
      </c>
      <c r="Q65" t="s">
        <v>6490</v>
      </c>
      <c r="R65" t="s">
        <v>6490</v>
      </c>
      <c r="S65" t="s">
        <v>6490</v>
      </c>
      <c r="T65" t="s">
        <v>6490</v>
      </c>
      <c r="U65">
        <v>1</v>
      </c>
      <c r="V65">
        <v>1</v>
      </c>
      <c r="W65">
        <v>1</v>
      </c>
      <c r="X65" t="s">
        <v>6490</v>
      </c>
      <c r="Y65" t="s">
        <v>6490</v>
      </c>
      <c r="Z65" t="s">
        <v>6490</v>
      </c>
      <c r="AA65">
        <v>1</v>
      </c>
      <c r="AB65" t="s">
        <v>6490</v>
      </c>
      <c r="AC65" t="s">
        <v>6490</v>
      </c>
    </row>
    <row r="66" spans="1:29" x14ac:dyDescent="0.25">
      <c r="A66" t="s">
        <v>1212</v>
      </c>
      <c r="B66">
        <v>6</v>
      </c>
      <c r="C66" t="s">
        <v>6490</v>
      </c>
      <c r="D66">
        <v>2</v>
      </c>
      <c r="E66">
        <v>1</v>
      </c>
      <c r="F66">
        <v>2</v>
      </c>
      <c r="G66">
        <v>1</v>
      </c>
      <c r="H66" t="s">
        <v>6490</v>
      </c>
      <c r="I66">
        <v>2</v>
      </c>
      <c r="J66" t="s">
        <v>6490</v>
      </c>
      <c r="K66" t="s">
        <v>6490</v>
      </c>
      <c r="L66">
        <v>1</v>
      </c>
      <c r="M66" t="s">
        <v>6490</v>
      </c>
      <c r="N66">
        <v>1</v>
      </c>
      <c r="O66" t="s">
        <v>6490</v>
      </c>
      <c r="P66">
        <v>2</v>
      </c>
      <c r="Q66" t="s">
        <v>6490</v>
      </c>
      <c r="R66">
        <v>1</v>
      </c>
      <c r="S66" t="s">
        <v>6490</v>
      </c>
      <c r="T66" t="s">
        <v>6490</v>
      </c>
      <c r="U66">
        <v>1</v>
      </c>
      <c r="V66" t="s">
        <v>6490</v>
      </c>
      <c r="W66" t="s">
        <v>6490</v>
      </c>
      <c r="X66" t="s">
        <v>6490</v>
      </c>
      <c r="Y66" t="s">
        <v>6490</v>
      </c>
      <c r="Z66" t="s">
        <v>6490</v>
      </c>
      <c r="AA66" t="s">
        <v>6490</v>
      </c>
      <c r="AB66" t="s">
        <v>6490</v>
      </c>
      <c r="AC66" t="s">
        <v>6490</v>
      </c>
    </row>
    <row r="67" spans="1:29" x14ac:dyDescent="0.25">
      <c r="A67" t="s">
        <v>1218</v>
      </c>
      <c r="B67">
        <v>8</v>
      </c>
      <c r="C67" t="s">
        <v>6490</v>
      </c>
      <c r="D67">
        <v>3</v>
      </c>
      <c r="E67">
        <v>4</v>
      </c>
      <c r="F67" t="s">
        <v>6490</v>
      </c>
      <c r="G67">
        <v>1</v>
      </c>
      <c r="H67" t="s">
        <v>6490</v>
      </c>
      <c r="I67">
        <v>4</v>
      </c>
      <c r="J67" t="s">
        <v>6490</v>
      </c>
      <c r="K67">
        <v>1</v>
      </c>
      <c r="L67">
        <v>3</v>
      </c>
      <c r="M67" t="s">
        <v>6490</v>
      </c>
      <c r="N67" t="s">
        <v>6490</v>
      </c>
      <c r="O67" t="s">
        <v>6490</v>
      </c>
      <c r="P67" t="s">
        <v>6490</v>
      </c>
      <c r="Q67" t="s">
        <v>6490</v>
      </c>
      <c r="R67" t="s">
        <v>6490</v>
      </c>
      <c r="S67" t="s">
        <v>6490</v>
      </c>
      <c r="T67" t="s">
        <v>6490</v>
      </c>
      <c r="U67" t="s">
        <v>6490</v>
      </c>
      <c r="V67" t="s">
        <v>6490</v>
      </c>
      <c r="W67">
        <v>5</v>
      </c>
      <c r="X67" t="s">
        <v>6490</v>
      </c>
      <c r="Y67">
        <v>2</v>
      </c>
      <c r="Z67">
        <v>3</v>
      </c>
      <c r="AA67" t="s">
        <v>6490</v>
      </c>
      <c r="AB67" t="s">
        <v>6490</v>
      </c>
      <c r="AC67" t="s">
        <v>6490</v>
      </c>
    </row>
    <row r="68" spans="1:29" x14ac:dyDescent="0.25">
      <c r="A68" t="s">
        <v>1220</v>
      </c>
      <c r="B68">
        <v>5</v>
      </c>
      <c r="C68" t="s">
        <v>6490</v>
      </c>
      <c r="D68">
        <v>2</v>
      </c>
      <c r="E68">
        <v>1</v>
      </c>
      <c r="F68">
        <v>1</v>
      </c>
      <c r="G68">
        <v>1</v>
      </c>
      <c r="H68" t="s">
        <v>6490</v>
      </c>
      <c r="I68">
        <v>1</v>
      </c>
      <c r="J68" t="s">
        <v>6490</v>
      </c>
      <c r="K68" t="s">
        <v>6490</v>
      </c>
      <c r="L68" t="s">
        <v>6490</v>
      </c>
      <c r="M68" t="s">
        <v>6490</v>
      </c>
      <c r="N68">
        <v>1</v>
      </c>
      <c r="O68" t="s">
        <v>6490</v>
      </c>
      <c r="P68">
        <v>1</v>
      </c>
      <c r="Q68" t="s">
        <v>6490</v>
      </c>
      <c r="R68" t="s">
        <v>6490</v>
      </c>
      <c r="S68" t="s">
        <v>6490</v>
      </c>
      <c r="T68" t="s">
        <v>6490</v>
      </c>
      <c r="U68">
        <v>1</v>
      </c>
      <c r="V68" t="s">
        <v>6490</v>
      </c>
      <c r="W68" t="s">
        <v>6490</v>
      </c>
      <c r="X68" t="s">
        <v>6490</v>
      </c>
      <c r="Y68" t="s">
        <v>6490</v>
      </c>
      <c r="Z68" t="s">
        <v>6490</v>
      </c>
      <c r="AA68" t="s">
        <v>6490</v>
      </c>
      <c r="AB68" t="s">
        <v>6490</v>
      </c>
      <c r="AC68" t="s">
        <v>6490</v>
      </c>
    </row>
    <row r="69" spans="1:29" x14ac:dyDescent="0.25">
      <c r="A69" t="s">
        <v>1231</v>
      </c>
      <c r="B69">
        <v>8</v>
      </c>
      <c r="C69">
        <v>3</v>
      </c>
      <c r="D69">
        <v>2</v>
      </c>
      <c r="E69">
        <v>2</v>
      </c>
      <c r="F69">
        <v>1</v>
      </c>
      <c r="G69" t="s">
        <v>6490</v>
      </c>
      <c r="H69" t="s">
        <v>6490</v>
      </c>
      <c r="I69" t="s">
        <v>6490</v>
      </c>
      <c r="J69" t="s">
        <v>6490</v>
      </c>
      <c r="K69" t="s">
        <v>6490</v>
      </c>
      <c r="L69" t="s">
        <v>6490</v>
      </c>
      <c r="M69" t="s">
        <v>6490</v>
      </c>
      <c r="N69" t="s">
        <v>6490</v>
      </c>
      <c r="O69" t="s">
        <v>6490</v>
      </c>
      <c r="P69" t="s">
        <v>6490</v>
      </c>
      <c r="Q69" t="s">
        <v>6490</v>
      </c>
      <c r="R69" t="s">
        <v>6490</v>
      </c>
      <c r="S69" t="s">
        <v>6490</v>
      </c>
      <c r="T69" t="s">
        <v>6490</v>
      </c>
      <c r="U69" t="s">
        <v>6490</v>
      </c>
      <c r="V69" t="s">
        <v>6490</v>
      </c>
      <c r="W69" t="s">
        <v>6490</v>
      </c>
      <c r="X69" t="s">
        <v>6490</v>
      </c>
      <c r="Y69" t="s">
        <v>6490</v>
      </c>
      <c r="Z69" t="s">
        <v>6490</v>
      </c>
      <c r="AA69" t="s">
        <v>6490</v>
      </c>
      <c r="AB69" t="s">
        <v>6490</v>
      </c>
      <c r="AC69" t="s">
        <v>6490</v>
      </c>
    </row>
    <row r="70" spans="1:29" x14ac:dyDescent="0.25">
      <c r="A70" t="s">
        <v>1240</v>
      </c>
      <c r="B70" t="s">
        <v>6490</v>
      </c>
      <c r="C70" t="s">
        <v>6490</v>
      </c>
      <c r="D70" t="s">
        <v>6490</v>
      </c>
      <c r="E70" t="s">
        <v>6490</v>
      </c>
      <c r="F70" t="s">
        <v>6490</v>
      </c>
      <c r="G70" t="s">
        <v>6490</v>
      </c>
      <c r="H70" t="s">
        <v>6490</v>
      </c>
      <c r="I70" t="s">
        <v>6490</v>
      </c>
      <c r="J70" t="s">
        <v>6490</v>
      </c>
      <c r="K70" t="s">
        <v>6490</v>
      </c>
      <c r="L70" t="s">
        <v>6490</v>
      </c>
      <c r="M70" t="s">
        <v>6490</v>
      </c>
      <c r="N70" t="s">
        <v>6490</v>
      </c>
      <c r="O70" t="s">
        <v>6490</v>
      </c>
      <c r="P70" t="s">
        <v>6490</v>
      </c>
      <c r="Q70" t="s">
        <v>6490</v>
      </c>
      <c r="R70" t="s">
        <v>6490</v>
      </c>
      <c r="S70" t="s">
        <v>6490</v>
      </c>
      <c r="T70" t="s">
        <v>6490</v>
      </c>
      <c r="U70" t="s">
        <v>6490</v>
      </c>
      <c r="V70" t="s">
        <v>6490</v>
      </c>
      <c r="W70" t="s">
        <v>6490</v>
      </c>
      <c r="X70" t="s">
        <v>6490</v>
      </c>
      <c r="Y70" t="s">
        <v>6490</v>
      </c>
      <c r="Z70" t="s">
        <v>6490</v>
      </c>
      <c r="AA70" t="s">
        <v>6490</v>
      </c>
      <c r="AB70" t="s">
        <v>6490</v>
      </c>
      <c r="AC70" t="s">
        <v>6490</v>
      </c>
    </row>
    <row r="71" spans="1:29" x14ac:dyDescent="0.25">
      <c r="A71" t="s">
        <v>1244</v>
      </c>
      <c r="B71">
        <v>7</v>
      </c>
      <c r="C71">
        <v>1</v>
      </c>
      <c r="D71">
        <v>1</v>
      </c>
      <c r="E71">
        <v>3</v>
      </c>
      <c r="F71" t="s">
        <v>6490</v>
      </c>
      <c r="G71" t="s">
        <v>6490</v>
      </c>
      <c r="H71">
        <v>2</v>
      </c>
      <c r="I71" t="s">
        <v>6490</v>
      </c>
      <c r="J71" t="s">
        <v>6490</v>
      </c>
      <c r="K71" t="s">
        <v>6490</v>
      </c>
      <c r="L71" t="s">
        <v>6490</v>
      </c>
      <c r="M71" t="s">
        <v>6490</v>
      </c>
      <c r="N71" t="s">
        <v>6490</v>
      </c>
      <c r="O71" t="s">
        <v>6490</v>
      </c>
      <c r="P71" t="s">
        <v>6490</v>
      </c>
      <c r="Q71" t="s">
        <v>6490</v>
      </c>
      <c r="R71" t="s">
        <v>6490</v>
      </c>
      <c r="S71" t="s">
        <v>6490</v>
      </c>
      <c r="T71" t="s">
        <v>6490</v>
      </c>
      <c r="U71" t="s">
        <v>6490</v>
      </c>
      <c r="V71" t="s">
        <v>6490</v>
      </c>
      <c r="W71" t="s">
        <v>6490</v>
      </c>
      <c r="X71" t="s">
        <v>6490</v>
      </c>
      <c r="Y71" t="s">
        <v>6490</v>
      </c>
      <c r="Z71" t="s">
        <v>6490</v>
      </c>
      <c r="AA71" t="s">
        <v>6490</v>
      </c>
      <c r="AB71" t="s">
        <v>6490</v>
      </c>
      <c r="AC71" t="s">
        <v>6490</v>
      </c>
    </row>
    <row r="72" spans="1:29" x14ac:dyDescent="0.25">
      <c r="A72" t="s">
        <v>1247</v>
      </c>
      <c r="B72">
        <v>1</v>
      </c>
      <c r="C72" t="s">
        <v>6490</v>
      </c>
      <c r="D72" t="s">
        <v>6490</v>
      </c>
      <c r="E72" t="s">
        <v>6490</v>
      </c>
      <c r="F72">
        <v>1</v>
      </c>
      <c r="G72" t="s">
        <v>6490</v>
      </c>
      <c r="H72" t="s">
        <v>6490</v>
      </c>
      <c r="I72">
        <v>1</v>
      </c>
      <c r="J72" t="s">
        <v>6490</v>
      </c>
      <c r="K72" t="s">
        <v>6490</v>
      </c>
      <c r="L72" t="s">
        <v>6490</v>
      </c>
      <c r="M72">
        <v>1</v>
      </c>
      <c r="N72" t="s">
        <v>6490</v>
      </c>
      <c r="O72" t="s">
        <v>6490</v>
      </c>
      <c r="P72">
        <v>1</v>
      </c>
      <c r="Q72" t="s">
        <v>6490</v>
      </c>
      <c r="R72" t="s">
        <v>6490</v>
      </c>
      <c r="S72" t="s">
        <v>6490</v>
      </c>
      <c r="T72">
        <v>1</v>
      </c>
      <c r="U72" t="s">
        <v>6490</v>
      </c>
      <c r="V72" t="s">
        <v>6490</v>
      </c>
      <c r="W72" t="s">
        <v>6490</v>
      </c>
      <c r="X72" t="s">
        <v>6490</v>
      </c>
      <c r="Y72" t="s">
        <v>6490</v>
      </c>
      <c r="Z72" t="s">
        <v>6490</v>
      </c>
      <c r="AA72" t="s">
        <v>6490</v>
      </c>
      <c r="AB72" t="s">
        <v>6490</v>
      </c>
      <c r="AC72" t="s">
        <v>6490</v>
      </c>
    </row>
    <row r="73" spans="1:29" x14ac:dyDescent="0.25">
      <c r="A73" t="s">
        <v>1252</v>
      </c>
      <c r="B73">
        <v>98</v>
      </c>
      <c r="C73">
        <v>11</v>
      </c>
      <c r="D73">
        <v>16</v>
      </c>
      <c r="E73">
        <v>9</v>
      </c>
      <c r="F73">
        <v>11</v>
      </c>
      <c r="G73">
        <v>16</v>
      </c>
      <c r="H73">
        <v>35</v>
      </c>
      <c r="I73" t="s">
        <v>6490</v>
      </c>
      <c r="J73" t="s">
        <v>6490</v>
      </c>
      <c r="K73" t="s">
        <v>6490</v>
      </c>
      <c r="L73" t="s">
        <v>6490</v>
      </c>
      <c r="M73" t="s">
        <v>6490</v>
      </c>
      <c r="N73" t="s">
        <v>6490</v>
      </c>
      <c r="O73" t="s">
        <v>6490</v>
      </c>
      <c r="P73">
        <v>71</v>
      </c>
      <c r="Q73">
        <v>6</v>
      </c>
      <c r="R73">
        <v>8</v>
      </c>
      <c r="S73">
        <v>4</v>
      </c>
      <c r="T73">
        <v>5</v>
      </c>
      <c r="U73">
        <v>13</v>
      </c>
      <c r="V73">
        <v>35</v>
      </c>
      <c r="W73" t="s">
        <v>6490</v>
      </c>
      <c r="X73" t="s">
        <v>6490</v>
      </c>
      <c r="Y73" t="s">
        <v>6490</v>
      </c>
      <c r="Z73" t="s">
        <v>6490</v>
      </c>
      <c r="AA73" t="s">
        <v>6490</v>
      </c>
      <c r="AB73" t="s">
        <v>6490</v>
      </c>
      <c r="AC73" t="s">
        <v>6490</v>
      </c>
    </row>
    <row r="74" spans="1:29" x14ac:dyDescent="0.25">
      <c r="A74" t="s">
        <v>1258</v>
      </c>
      <c r="B74">
        <v>13</v>
      </c>
      <c r="C74" t="s">
        <v>6490</v>
      </c>
      <c r="D74">
        <v>1</v>
      </c>
      <c r="E74">
        <v>2</v>
      </c>
      <c r="F74">
        <v>8</v>
      </c>
      <c r="G74" t="s">
        <v>6490</v>
      </c>
      <c r="H74">
        <v>2</v>
      </c>
      <c r="I74">
        <v>10</v>
      </c>
      <c r="J74" t="s">
        <v>6490</v>
      </c>
      <c r="K74">
        <v>1</v>
      </c>
      <c r="L74">
        <v>2</v>
      </c>
      <c r="M74">
        <v>5</v>
      </c>
      <c r="N74" t="s">
        <v>6490</v>
      </c>
      <c r="O74">
        <v>2</v>
      </c>
      <c r="P74">
        <v>3</v>
      </c>
      <c r="Q74" t="s">
        <v>6490</v>
      </c>
      <c r="R74" t="s">
        <v>6490</v>
      </c>
      <c r="S74" t="s">
        <v>6490</v>
      </c>
      <c r="T74">
        <v>1</v>
      </c>
      <c r="U74" t="s">
        <v>6490</v>
      </c>
      <c r="V74">
        <v>2</v>
      </c>
      <c r="W74" t="s">
        <v>6490</v>
      </c>
      <c r="X74" t="s">
        <v>6490</v>
      </c>
      <c r="Y74" t="s">
        <v>6490</v>
      </c>
      <c r="Z74" t="s">
        <v>6490</v>
      </c>
      <c r="AA74" t="s">
        <v>6490</v>
      </c>
      <c r="AB74" t="s">
        <v>6490</v>
      </c>
      <c r="AC74" t="s">
        <v>6490</v>
      </c>
    </row>
    <row r="75" spans="1:29" x14ac:dyDescent="0.25">
      <c r="A75" t="s">
        <v>1281</v>
      </c>
      <c r="B75">
        <v>34</v>
      </c>
      <c r="C75" t="s">
        <v>6490</v>
      </c>
      <c r="D75">
        <v>3</v>
      </c>
      <c r="E75">
        <v>2</v>
      </c>
      <c r="F75">
        <v>4</v>
      </c>
      <c r="G75">
        <v>4</v>
      </c>
      <c r="H75">
        <v>21</v>
      </c>
      <c r="I75">
        <v>18</v>
      </c>
      <c r="J75" t="s">
        <v>6490</v>
      </c>
      <c r="K75">
        <v>1</v>
      </c>
      <c r="L75" t="s">
        <v>6490</v>
      </c>
      <c r="M75">
        <v>2</v>
      </c>
      <c r="N75">
        <v>1</v>
      </c>
      <c r="O75">
        <v>14</v>
      </c>
      <c r="P75">
        <v>19</v>
      </c>
      <c r="Q75" t="s">
        <v>6490</v>
      </c>
      <c r="R75" t="s">
        <v>6490</v>
      </c>
      <c r="S75" t="s">
        <v>6490</v>
      </c>
      <c r="T75">
        <v>1</v>
      </c>
      <c r="U75">
        <v>2</v>
      </c>
      <c r="V75">
        <v>16</v>
      </c>
      <c r="W75">
        <v>2</v>
      </c>
      <c r="X75" t="s">
        <v>6490</v>
      </c>
      <c r="Y75" t="s">
        <v>6490</v>
      </c>
      <c r="Z75" t="s">
        <v>6490</v>
      </c>
      <c r="AA75" t="s">
        <v>6490</v>
      </c>
      <c r="AB75" t="s">
        <v>6490</v>
      </c>
      <c r="AC75">
        <v>2</v>
      </c>
    </row>
    <row r="76" spans="1:29" x14ac:dyDescent="0.25">
      <c r="A76" t="s">
        <v>1297</v>
      </c>
      <c r="B76">
        <v>7</v>
      </c>
      <c r="C76" t="s">
        <v>6490</v>
      </c>
      <c r="D76">
        <v>1</v>
      </c>
      <c r="E76">
        <v>1</v>
      </c>
      <c r="F76" t="s">
        <v>6490</v>
      </c>
      <c r="G76">
        <v>5</v>
      </c>
      <c r="H76" t="s">
        <v>6490</v>
      </c>
      <c r="I76">
        <v>2</v>
      </c>
      <c r="J76" t="s">
        <v>6490</v>
      </c>
      <c r="K76" t="s">
        <v>6490</v>
      </c>
      <c r="L76" t="s">
        <v>6490</v>
      </c>
      <c r="M76" t="s">
        <v>6490</v>
      </c>
      <c r="N76">
        <v>2</v>
      </c>
      <c r="O76" t="s">
        <v>6490</v>
      </c>
      <c r="P76">
        <v>3</v>
      </c>
      <c r="Q76" t="s">
        <v>6490</v>
      </c>
      <c r="R76" t="s">
        <v>6490</v>
      </c>
      <c r="S76" t="s">
        <v>6490</v>
      </c>
      <c r="T76" t="s">
        <v>6490</v>
      </c>
      <c r="U76">
        <v>3</v>
      </c>
      <c r="V76" t="s">
        <v>6490</v>
      </c>
      <c r="W76" t="s">
        <v>6490</v>
      </c>
      <c r="X76" t="s">
        <v>6490</v>
      </c>
      <c r="Y76" t="s">
        <v>6490</v>
      </c>
      <c r="Z76" t="s">
        <v>6490</v>
      </c>
      <c r="AA76" t="s">
        <v>6490</v>
      </c>
      <c r="AB76" t="s">
        <v>6490</v>
      </c>
      <c r="AC76" t="s">
        <v>6490</v>
      </c>
    </row>
    <row r="77" spans="1:29" x14ac:dyDescent="0.25">
      <c r="A77" t="s">
        <v>1314</v>
      </c>
      <c r="B77">
        <v>9</v>
      </c>
      <c r="C77" t="s">
        <v>6490</v>
      </c>
      <c r="D77">
        <v>4</v>
      </c>
      <c r="E77">
        <v>3</v>
      </c>
      <c r="F77" t="s">
        <v>6490</v>
      </c>
      <c r="G77">
        <v>2</v>
      </c>
      <c r="H77" t="s">
        <v>6490</v>
      </c>
      <c r="I77">
        <v>3</v>
      </c>
      <c r="J77" t="s">
        <v>6490</v>
      </c>
      <c r="K77" t="s">
        <v>6490</v>
      </c>
      <c r="L77">
        <v>1</v>
      </c>
      <c r="M77" t="s">
        <v>6490</v>
      </c>
      <c r="N77">
        <v>2</v>
      </c>
      <c r="O77" t="s">
        <v>6490</v>
      </c>
      <c r="P77">
        <v>2</v>
      </c>
      <c r="Q77" t="s">
        <v>6490</v>
      </c>
      <c r="R77" t="s">
        <v>6490</v>
      </c>
      <c r="S77" t="s">
        <v>6490</v>
      </c>
      <c r="T77" t="s">
        <v>6490</v>
      </c>
      <c r="U77">
        <v>2</v>
      </c>
      <c r="V77" t="s">
        <v>6490</v>
      </c>
      <c r="W77" t="s">
        <v>6490</v>
      </c>
      <c r="X77" t="s">
        <v>6490</v>
      </c>
      <c r="Y77" t="s">
        <v>6490</v>
      </c>
      <c r="Z77" t="s">
        <v>6490</v>
      </c>
      <c r="AA77" t="s">
        <v>6490</v>
      </c>
      <c r="AB77" t="s">
        <v>6490</v>
      </c>
      <c r="AC77" t="s">
        <v>6490</v>
      </c>
    </row>
    <row r="78" spans="1:29" x14ac:dyDescent="0.25">
      <c r="A78" t="s">
        <v>1321</v>
      </c>
      <c r="B78">
        <v>2</v>
      </c>
      <c r="C78" t="s">
        <v>6490</v>
      </c>
      <c r="D78" t="s">
        <v>6490</v>
      </c>
      <c r="E78">
        <v>1</v>
      </c>
      <c r="F78">
        <v>1</v>
      </c>
      <c r="G78" t="s">
        <v>6490</v>
      </c>
      <c r="H78" t="s">
        <v>6490</v>
      </c>
      <c r="I78" t="s">
        <v>6490</v>
      </c>
      <c r="J78" t="s">
        <v>6490</v>
      </c>
      <c r="K78" t="s">
        <v>6490</v>
      </c>
      <c r="L78" t="s">
        <v>6490</v>
      </c>
      <c r="M78" t="s">
        <v>6490</v>
      </c>
      <c r="N78" t="s">
        <v>6490</v>
      </c>
      <c r="O78" t="s">
        <v>6490</v>
      </c>
      <c r="P78" t="s">
        <v>6490</v>
      </c>
      <c r="Q78" t="s">
        <v>6490</v>
      </c>
      <c r="R78" t="s">
        <v>6490</v>
      </c>
      <c r="S78" t="s">
        <v>6490</v>
      </c>
      <c r="T78" t="s">
        <v>6490</v>
      </c>
      <c r="U78" t="s">
        <v>6490</v>
      </c>
      <c r="V78" t="s">
        <v>6490</v>
      </c>
      <c r="W78" t="s">
        <v>6490</v>
      </c>
      <c r="X78" t="s">
        <v>6490</v>
      </c>
      <c r="Y78" t="s">
        <v>6490</v>
      </c>
      <c r="Z78" t="s">
        <v>6490</v>
      </c>
      <c r="AA78" t="s">
        <v>6490</v>
      </c>
      <c r="AB78" t="s">
        <v>6490</v>
      </c>
      <c r="AC78" t="s">
        <v>6490</v>
      </c>
    </row>
    <row r="79" spans="1:29" x14ac:dyDescent="0.25">
      <c r="A79" t="s">
        <v>1324</v>
      </c>
      <c r="B79">
        <v>21</v>
      </c>
      <c r="C79">
        <v>1</v>
      </c>
      <c r="D79">
        <v>9</v>
      </c>
      <c r="E79">
        <v>7</v>
      </c>
      <c r="F79">
        <v>2</v>
      </c>
      <c r="G79">
        <v>1</v>
      </c>
      <c r="H79">
        <v>1</v>
      </c>
      <c r="I79">
        <v>2</v>
      </c>
      <c r="J79" t="s">
        <v>6490</v>
      </c>
      <c r="K79" t="s">
        <v>6490</v>
      </c>
      <c r="L79">
        <v>2</v>
      </c>
      <c r="M79" t="s">
        <v>6490</v>
      </c>
      <c r="N79" t="s">
        <v>6490</v>
      </c>
      <c r="O79" t="s">
        <v>6490</v>
      </c>
      <c r="P79" t="s">
        <v>6490</v>
      </c>
      <c r="Q79" t="s">
        <v>6490</v>
      </c>
      <c r="R79" t="s">
        <v>6490</v>
      </c>
      <c r="S79" t="s">
        <v>6490</v>
      </c>
      <c r="T79" t="s">
        <v>6490</v>
      </c>
      <c r="U79" t="s">
        <v>6490</v>
      </c>
      <c r="V79" t="s">
        <v>6490</v>
      </c>
      <c r="W79">
        <v>12</v>
      </c>
      <c r="X79" t="s">
        <v>6490</v>
      </c>
      <c r="Y79">
        <v>6</v>
      </c>
      <c r="Z79">
        <v>4</v>
      </c>
      <c r="AA79">
        <v>2</v>
      </c>
      <c r="AB79" t="s">
        <v>6490</v>
      </c>
      <c r="AC79" t="s">
        <v>6490</v>
      </c>
    </row>
    <row r="80" spans="1:29" x14ac:dyDescent="0.25">
      <c r="A80" t="s">
        <v>1335</v>
      </c>
      <c r="B80">
        <v>27</v>
      </c>
      <c r="C80">
        <v>1</v>
      </c>
      <c r="D80">
        <v>5</v>
      </c>
      <c r="E80">
        <v>8</v>
      </c>
      <c r="F80">
        <v>7</v>
      </c>
      <c r="G80">
        <v>4</v>
      </c>
      <c r="H80">
        <v>2</v>
      </c>
      <c r="I80">
        <v>10</v>
      </c>
      <c r="J80" t="s">
        <v>6490</v>
      </c>
      <c r="K80">
        <v>2</v>
      </c>
      <c r="L80">
        <v>2</v>
      </c>
      <c r="M80">
        <v>3</v>
      </c>
      <c r="N80">
        <v>3</v>
      </c>
      <c r="O80" t="s">
        <v>6490</v>
      </c>
      <c r="P80">
        <v>4</v>
      </c>
      <c r="Q80" t="s">
        <v>6490</v>
      </c>
      <c r="R80" t="s">
        <v>6490</v>
      </c>
      <c r="S80" t="s">
        <v>6490</v>
      </c>
      <c r="T80">
        <v>2</v>
      </c>
      <c r="U80">
        <v>2</v>
      </c>
      <c r="V80" t="s">
        <v>6490</v>
      </c>
      <c r="W80" t="s">
        <v>6490</v>
      </c>
      <c r="X80" t="s">
        <v>6490</v>
      </c>
      <c r="Y80" t="s">
        <v>6490</v>
      </c>
      <c r="Z80" t="s">
        <v>6490</v>
      </c>
      <c r="AA80" t="s">
        <v>6490</v>
      </c>
      <c r="AB80" t="s">
        <v>6490</v>
      </c>
      <c r="AC80" t="s">
        <v>6490</v>
      </c>
    </row>
    <row r="81" spans="1:29" x14ac:dyDescent="0.25">
      <c r="A81" t="s">
        <v>1364</v>
      </c>
      <c r="B81">
        <v>12</v>
      </c>
      <c r="C81" t="s">
        <v>6490</v>
      </c>
      <c r="D81">
        <v>5</v>
      </c>
      <c r="E81">
        <v>3</v>
      </c>
      <c r="F81" t="s">
        <v>6490</v>
      </c>
      <c r="G81">
        <v>2</v>
      </c>
      <c r="H81">
        <v>2</v>
      </c>
      <c r="I81" t="s">
        <v>6490</v>
      </c>
      <c r="J81" t="s">
        <v>6490</v>
      </c>
      <c r="K81" t="s">
        <v>6490</v>
      </c>
      <c r="L81" t="s">
        <v>6490</v>
      </c>
      <c r="M81" t="s">
        <v>6490</v>
      </c>
      <c r="N81" t="s">
        <v>6490</v>
      </c>
      <c r="O81" t="s">
        <v>6490</v>
      </c>
      <c r="P81" t="s">
        <v>6490</v>
      </c>
      <c r="Q81" t="s">
        <v>6490</v>
      </c>
      <c r="R81" t="s">
        <v>6490</v>
      </c>
      <c r="S81" t="s">
        <v>6490</v>
      </c>
      <c r="T81" t="s">
        <v>6490</v>
      </c>
      <c r="U81" t="s">
        <v>6490</v>
      </c>
      <c r="V81" t="s">
        <v>6490</v>
      </c>
      <c r="W81" t="s">
        <v>6490</v>
      </c>
      <c r="X81" t="s">
        <v>6490</v>
      </c>
      <c r="Y81" t="s">
        <v>6490</v>
      </c>
      <c r="Z81" t="s">
        <v>6490</v>
      </c>
      <c r="AA81" t="s">
        <v>6490</v>
      </c>
      <c r="AB81" t="s">
        <v>6490</v>
      </c>
      <c r="AC81" t="s">
        <v>6490</v>
      </c>
    </row>
    <row r="82" spans="1:29" x14ac:dyDescent="0.25">
      <c r="A82" t="s">
        <v>1410</v>
      </c>
      <c r="B82">
        <v>9</v>
      </c>
      <c r="C82" t="s">
        <v>6490</v>
      </c>
      <c r="D82">
        <v>3</v>
      </c>
      <c r="E82">
        <v>4</v>
      </c>
      <c r="F82">
        <v>1</v>
      </c>
      <c r="G82">
        <v>1</v>
      </c>
      <c r="H82" t="s">
        <v>6490</v>
      </c>
      <c r="I82">
        <v>4</v>
      </c>
      <c r="J82" t="s">
        <v>6490</v>
      </c>
      <c r="K82">
        <v>2</v>
      </c>
      <c r="L82">
        <v>1</v>
      </c>
      <c r="M82" t="s">
        <v>6490</v>
      </c>
      <c r="N82">
        <v>1</v>
      </c>
      <c r="O82" t="s">
        <v>6490</v>
      </c>
      <c r="P82" t="s">
        <v>6490</v>
      </c>
      <c r="Q82" t="s">
        <v>6490</v>
      </c>
      <c r="R82" t="s">
        <v>6490</v>
      </c>
      <c r="S82" t="s">
        <v>6490</v>
      </c>
      <c r="T82" t="s">
        <v>6490</v>
      </c>
      <c r="U82" t="s">
        <v>6490</v>
      </c>
      <c r="V82" t="s">
        <v>6490</v>
      </c>
      <c r="W82" t="s">
        <v>6490</v>
      </c>
      <c r="X82" t="s">
        <v>6490</v>
      </c>
      <c r="Y82" t="s">
        <v>6490</v>
      </c>
      <c r="Z82" t="s">
        <v>6490</v>
      </c>
      <c r="AA82" t="s">
        <v>6490</v>
      </c>
      <c r="AB82" t="s">
        <v>6490</v>
      </c>
      <c r="AC82" t="s">
        <v>6490</v>
      </c>
    </row>
    <row r="83" spans="1:29" x14ac:dyDescent="0.25">
      <c r="A83" t="s">
        <v>6536</v>
      </c>
      <c r="B83">
        <v>9</v>
      </c>
      <c r="C83" t="s">
        <v>6490</v>
      </c>
      <c r="D83">
        <v>1</v>
      </c>
      <c r="E83" t="s">
        <v>6490</v>
      </c>
      <c r="F83">
        <v>4</v>
      </c>
      <c r="G83">
        <v>1</v>
      </c>
      <c r="H83">
        <v>3</v>
      </c>
      <c r="I83">
        <v>5</v>
      </c>
      <c r="J83" t="s">
        <v>6490</v>
      </c>
      <c r="K83" t="s">
        <v>6490</v>
      </c>
      <c r="L83" t="s">
        <v>6490</v>
      </c>
      <c r="M83">
        <v>2</v>
      </c>
      <c r="N83" t="s">
        <v>6490</v>
      </c>
      <c r="O83">
        <v>3</v>
      </c>
      <c r="P83">
        <v>6</v>
      </c>
      <c r="Q83" t="s">
        <v>6490</v>
      </c>
      <c r="R83" t="s">
        <v>6490</v>
      </c>
      <c r="S83" t="s">
        <v>6490</v>
      </c>
      <c r="T83">
        <v>2</v>
      </c>
      <c r="U83">
        <v>1</v>
      </c>
      <c r="V83">
        <v>3</v>
      </c>
      <c r="W83">
        <v>1</v>
      </c>
      <c r="X83" t="s">
        <v>6490</v>
      </c>
      <c r="Y83" t="s">
        <v>6490</v>
      </c>
      <c r="Z83" t="s">
        <v>6490</v>
      </c>
      <c r="AA83" t="s">
        <v>6490</v>
      </c>
      <c r="AB83" t="s">
        <v>6490</v>
      </c>
      <c r="AC83">
        <v>1</v>
      </c>
    </row>
    <row r="84" spans="1:29" x14ac:dyDescent="0.25">
      <c r="A84" t="s">
        <v>1448</v>
      </c>
      <c r="B84">
        <v>22</v>
      </c>
      <c r="C84">
        <v>1</v>
      </c>
      <c r="D84">
        <v>1</v>
      </c>
      <c r="E84">
        <v>5</v>
      </c>
      <c r="F84">
        <v>6</v>
      </c>
      <c r="G84">
        <v>6</v>
      </c>
      <c r="H84">
        <v>3</v>
      </c>
      <c r="I84">
        <v>3</v>
      </c>
      <c r="J84" t="s">
        <v>6490</v>
      </c>
      <c r="K84" t="s">
        <v>6490</v>
      </c>
      <c r="L84" t="s">
        <v>6490</v>
      </c>
      <c r="M84" t="s">
        <v>6490</v>
      </c>
      <c r="N84">
        <v>1</v>
      </c>
      <c r="O84">
        <v>2</v>
      </c>
      <c r="P84">
        <v>2</v>
      </c>
      <c r="Q84" t="s">
        <v>6490</v>
      </c>
      <c r="R84" t="s">
        <v>6490</v>
      </c>
      <c r="S84" t="s">
        <v>6490</v>
      </c>
      <c r="T84" t="s">
        <v>6490</v>
      </c>
      <c r="U84" t="s">
        <v>6490</v>
      </c>
      <c r="V84">
        <v>2</v>
      </c>
      <c r="W84" t="s">
        <v>6490</v>
      </c>
      <c r="X84" t="s">
        <v>6490</v>
      </c>
      <c r="Y84" t="s">
        <v>6490</v>
      </c>
      <c r="Z84" t="s">
        <v>6490</v>
      </c>
      <c r="AA84" t="s">
        <v>6490</v>
      </c>
      <c r="AB84" t="s">
        <v>6490</v>
      </c>
      <c r="AC84" t="s">
        <v>6490</v>
      </c>
    </row>
    <row r="85" spans="1:29" x14ac:dyDescent="0.25">
      <c r="A85" t="s">
        <v>44</v>
      </c>
      <c r="B85">
        <v>31</v>
      </c>
      <c r="C85">
        <v>4</v>
      </c>
      <c r="D85">
        <v>4</v>
      </c>
      <c r="E85">
        <v>9</v>
      </c>
      <c r="F85">
        <v>6</v>
      </c>
      <c r="G85">
        <v>8</v>
      </c>
      <c r="H85" t="s">
        <v>6490</v>
      </c>
      <c r="I85">
        <v>9</v>
      </c>
      <c r="J85" t="s">
        <v>6490</v>
      </c>
      <c r="K85" t="s">
        <v>6490</v>
      </c>
      <c r="L85">
        <v>1</v>
      </c>
      <c r="M85">
        <v>1</v>
      </c>
      <c r="N85">
        <v>7</v>
      </c>
      <c r="O85" t="s">
        <v>6490</v>
      </c>
      <c r="P85">
        <v>8</v>
      </c>
      <c r="Q85" t="s">
        <v>6490</v>
      </c>
      <c r="R85" t="s">
        <v>6490</v>
      </c>
      <c r="S85" t="s">
        <v>6490</v>
      </c>
      <c r="T85">
        <v>2</v>
      </c>
      <c r="U85">
        <v>6</v>
      </c>
      <c r="V85" t="s">
        <v>6490</v>
      </c>
      <c r="W85">
        <v>14</v>
      </c>
      <c r="X85">
        <v>2</v>
      </c>
      <c r="Y85" t="s">
        <v>6490</v>
      </c>
      <c r="Z85">
        <v>8</v>
      </c>
      <c r="AA85">
        <v>4</v>
      </c>
      <c r="AB85" t="s">
        <v>6490</v>
      </c>
      <c r="AC85" t="s">
        <v>6490</v>
      </c>
    </row>
    <row r="86" spans="1:29" x14ac:dyDescent="0.25">
      <c r="A86" t="s">
        <v>1498</v>
      </c>
      <c r="B86" t="s">
        <v>6490</v>
      </c>
      <c r="C86" t="s">
        <v>6490</v>
      </c>
      <c r="D86" t="s">
        <v>6490</v>
      </c>
      <c r="E86" t="s">
        <v>6490</v>
      </c>
      <c r="F86" t="s">
        <v>6490</v>
      </c>
      <c r="G86" t="s">
        <v>6490</v>
      </c>
      <c r="H86" t="s">
        <v>6490</v>
      </c>
      <c r="I86" t="s">
        <v>6490</v>
      </c>
      <c r="J86" t="s">
        <v>6490</v>
      </c>
      <c r="K86" t="s">
        <v>6490</v>
      </c>
      <c r="L86" t="s">
        <v>6490</v>
      </c>
      <c r="M86" t="s">
        <v>6490</v>
      </c>
      <c r="N86" t="s">
        <v>6490</v>
      </c>
      <c r="O86" t="s">
        <v>6490</v>
      </c>
      <c r="P86" t="s">
        <v>6490</v>
      </c>
      <c r="Q86" t="s">
        <v>6490</v>
      </c>
      <c r="R86" t="s">
        <v>6490</v>
      </c>
      <c r="S86" t="s">
        <v>6490</v>
      </c>
      <c r="T86" t="s">
        <v>6490</v>
      </c>
      <c r="U86" t="s">
        <v>6490</v>
      </c>
      <c r="V86" t="s">
        <v>6490</v>
      </c>
      <c r="W86" t="s">
        <v>6490</v>
      </c>
      <c r="X86" t="s">
        <v>6490</v>
      </c>
      <c r="Y86" t="s">
        <v>6490</v>
      </c>
      <c r="Z86" t="s">
        <v>6490</v>
      </c>
      <c r="AA86" t="s">
        <v>6490</v>
      </c>
      <c r="AB86" t="s">
        <v>6490</v>
      </c>
      <c r="AC86" t="s">
        <v>6490</v>
      </c>
    </row>
    <row r="87" spans="1:29" x14ac:dyDescent="0.25">
      <c r="A87" t="s">
        <v>1507</v>
      </c>
      <c r="B87">
        <v>12</v>
      </c>
      <c r="C87">
        <v>3</v>
      </c>
      <c r="D87">
        <v>3</v>
      </c>
      <c r="E87">
        <v>2</v>
      </c>
      <c r="F87">
        <v>3</v>
      </c>
      <c r="G87">
        <v>1</v>
      </c>
      <c r="H87" t="s">
        <v>6490</v>
      </c>
      <c r="I87" t="s">
        <v>6490</v>
      </c>
      <c r="J87" t="s">
        <v>6490</v>
      </c>
      <c r="K87" t="s">
        <v>6490</v>
      </c>
      <c r="L87" t="s">
        <v>6490</v>
      </c>
      <c r="M87" t="s">
        <v>6490</v>
      </c>
      <c r="N87" t="s">
        <v>6490</v>
      </c>
      <c r="O87" t="s">
        <v>6490</v>
      </c>
      <c r="P87" t="s">
        <v>6490</v>
      </c>
      <c r="Q87" t="s">
        <v>6490</v>
      </c>
      <c r="R87" t="s">
        <v>6490</v>
      </c>
      <c r="S87" t="s">
        <v>6490</v>
      </c>
      <c r="T87" t="s">
        <v>6490</v>
      </c>
      <c r="U87" t="s">
        <v>6490</v>
      </c>
      <c r="V87" t="s">
        <v>6490</v>
      </c>
      <c r="W87" t="s">
        <v>6490</v>
      </c>
      <c r="X87" t="s">
        <v>6490</v>
      </c>
      <c r="Y87" t="s">
        <v>6490</v>
      </c>
      <c r="Z87" t="s">
        <v>6490</v>
      </c>
      <c r="AA87" t="s">
        <v>6490</v>
      </c>
      <c r="AB87" t="s">
        <v>6490</v>
      </c>
      <c r="AC87" t="s">
        <v>6490</v>
      </c>
    </row>
    <row r="88" spans="1:29" x14ac:dyDescent="0.25">
      <c r="A88" t="s">
        <v>1514</v>
      </c>
      <c r="B88">
        <v>3</v>
      </c>
      <c r="C88" t="s">
        <v>6490</v>
      </c>
      <c r="D88" t="s">
        <v>6490</v>
      </c>
      <c r="E88">
        <v>2</v>
      </c>
      <c r="F88" t="s">
        <v>6490</v>
      </c>
      <c r="G88">
        <v>1</v>
      </c>
      <c r="H88" t="s">
        <v>6490</v>
      </c>
      <c r="I88" t="s">
        <v>6490</v>
      </c>
      <c r="J88" t="s">
        <v>6490</v>
      </c>
      <c r="K88" t="s">
        <v>6490</v>
      </c>
      <c r="L88" t="s">
        <v>6490</v>
      </c>
      <c r="M88" t="s">
        <v>6490</v>
      </c>
      <c r="N88" t="s">
        <v>6490</v>
      </c>
      <c r="O88" t="s">
        <v>6490</v>
      </c>
      <c r="P88" t="s">
        <v>6490</v>
      </c>
      <c r="Q88" t="s">
        <v>6490</v>
      </c>
      <c r="R88" t="s">
        <v>6490</v>
      </c>
      <c r="S88" t="s">
        <v>6490</v>
      </c>
      <c r="T88" t="s">
        <v>6490</v>
      </c>
      <c r="U88" t="s">
        <v>6490</v>
      </c>
      <c r="V88" t="s">
        <v>6490</v>
      </c>
      <c r="W88" t="s">
        <v>6490</v>
      </c>
      <c r="X88" t="s">
        <v>6490</v>
      </c>
      <c r="Y88" t="s">
        <v>6490</v>
      </c>
      <c r="Z88" t="s">
        <v>6490</v>
      </c>
      <c r="AA88" t="s">
        <v>6490</v>
      </c>
      <c r="AB88" t="s">
        <v>6490</v>
      </c>
      <c r="AC88" t="s">
        <v>6490</v>
      </c>
    </row>
    <row r="89" spans="1:29" x14ac:dyDescent="0.25">
      <c r="A89" t="s">
        <v>1517</v>
      </c>
      <c r="B89" t="s">
        <v>6490</v>
      </c>
      <c r="C89" t="s">
        <v>6490</v>
      </c>
      <c r="D89" t="s">
        <v>6490</v>
      </c>
      <c r="E89" t="s">
        <v>6490</v>
      </c>
      <c r="F89" t="s">
        <v>6490</v>
      </c>
      <c r="G89" t="s">
        <v>6490</v>
      </c>
      <c r="H89" t="s">
        <v>6490</v>
      </c>
      <c r="I89" t="s">
        <v>6490</v>
      </c>
      <c r="J89" t="s">
        <v>6490</v>
      </c>
      <c r="K89" t="s">
        <v>6490</v>
      </c>
      <c r="L89" t="s">
        <v>6490</v>
      </c>
      <c r="M89" t="s">
        <v>6490</v>
      </c>
      <c r="N89" t="s">
        <v>6490</v>
      </c>
      <c r="O89" t="s">
        <v>6490</v>
      </c>
      <c r="P89" t="s">
        <v>6490</v>
      </c>
      <c r="Q89" t="s">
        <v>6490</v>
      </c>
      <c r="R89" t="s">
        <v>6490</v>
      </c>
      <c r="S89" t="s">
        <v>6490</v>
      </c>
      <c r="T89" t="s">
        <v>6490</v>
      </c>
      <c r="U89" t="s">
        <v>6490</v>
      </c>
      <c r="V89" t="s">
        <v>6490</v>
      </c>
      <c r="W89" t="s">
        <v>6490</v>
      </c>
      <c r="X89" t="s">
        <v>6490</v>
      </c>
      <c r="Y89" t="s">
        <v>6490</v>
      </c>
      <c r="Z89" t="s">
        <v>6490</v>
      </c>
      <c r="AA89" t="s">
        <v>6490</v>
      </c>
      <c r="AB89" t="s">
        <v>6490</v>
      </c>
      <c r="AC89" t="s">
        <v>6490</v>
      </c>
    </row>
    <row r="90" spans="1:29" x14ac:dyDescent="0.25">
      <c r="A90" t="s">
        <v>1522</v>
      </c>
      <c r="B90">
        <v>11</v>
      </c>
      <c r="C90" t="s">
        <v>6490</v>
      </c>
      <c r="D90">
        <v>1</v>
      </c>
      <c r="E90">
        <v>4</v>
      </c>
      <c r="F90">
        <v>3</v>
      </c>
      <c r="G90">
        <v>3</v>
      </c>
      <c r="H90" t="s">
        <v>6490</v>
      </c>
      <c r="I90">
        <v>3</v>
      </c>
      <c r="J90" t="s">
        <v>6490</v>
      </c>
      <c r="K90" t="s">
        <v>6490</v>
      </c>
      <c r="L90" t="s">
        <v>6490</v>
      </c>
      <c r="M90">
        <v>1</v>
      </c>
      <c r="N90">
        <v>2</v>
      </c>
      <c r="O90" t="s">
        <v>6490</v>
      </c>
      <c r="P90">
        <v>2</v>
      </c>
      <c r="Q90" t="s">
        <v>6490</v>
      </c>
      <c r="R90" t="s">
        <v>6490</v>
      </c>
      <c r="S90" t="s">
        <v>6490</v>
      </c>
      <c r="T90" t="s">
        <v>6490</v>
      </c>
      <c r="U90">
        <v>2</v>
      </c>
      <c r="V90" t="s">
        <v>6490</v>
      </c>
      <c r="W90" t="s">
        <v>6490</v>
      </c>
      <c r="X90" t="s">
        <v>6490</v>
      </c>
      <c r="Y90" t="s">
        <v>6490</v>
      </c>
      <c r="Z90" t="s">
        <v>6490</v>
      </c>
      <c r="AA90" t="s">
        <v>6490</v>
      </c>
      <c r="AB90" t="s">
        <v>6490</v>
      </c>
      <c r="AC90" t="s">
        <v>6490</v>
      </c>
    </row>
    <row r="91" spans="1:29" x14ac:dyDescent="0.25">
      <c r="A91" t="s">
        <v>45</v>
      </c>
      <c r="B91">
        <v>2</v>
      </c>
      <c r="C91" t="s">
        <v>6490</v>
      </c>
      <c r="D91">
        <v>2</v>
      </c>
      <c r="E91" t="s">
        <v>6490</v>
      </c>
      <c r="F91" t="s">
        <v>6490</v>
      </c>
      <c r="G91" t="s">
        <v>6490</v>
      </c>
      <c r="H91" t="s">
        <v>6490</v>
      </c>
      <c r="I91" t="s">
        <v>6490</v>
      </c>
      <c r="J91" t="s">
        <v>6490</v>
      </c>
      <c r="K91" t="s">
        <v>6490</v>
      </c>
      <c r="L91" t="s">
        <v>6490</v>
      </c>
      <c r="M91" t="s">
        <v>6490</v>
      </c>
      <c r="N91" t="s">
        <v>6490</v>
      </c>
      <c r="O91" t="s">
        <v>6490</v>
      </c>
      <c r="P91" t="s">
        <v>6490</v>
      </c>
      <c r="Q91" t="s">
        <v>6490</v>
      </c>
      <c r="R91" t="s">
        <v>6490</v>
      </c>
      <c r="S91" t="s">
        <v>6490</v>
      </c>
      <c r="T91" t="s">
        <v>6490</v>
      </c>
      <c r="U91" t="s">
        <v>6490</v>
      </c>
      <c r="V91" t="s">
        <v>6490</v>
      </c>
      <c r="W91" t="s">
        <v>6490</v>
      </c>
      <c r="X91" t="s">
        <v>6490</v>
      </c>
      <c r="Y91" t="s">
        <v>6490</v>
      </c>
      <c r="Z91" t="s">
        <v>6490</v>
      </c>
      <c r="AA91" t="s">
        <v>6490</v>
      </c>
      <c r="AB91" t="s">
        <v>6490</v>
      </c>
      <c r="AC91" t="s">
        <v>6490</v>
      </c>
    </row>
    <row r="92" spans="1:29" x14ac:dyDescent="0.25">
      <c r="A92" t="s">
        <v>1557</v>
      </c>
      <c r="B92">
        <v>6</v>
      </c>
      <c r="C92">
        <v>1</v>
      </c>
      <c r="D92">
        <v>2</v>
      </c>
      <c r="E92">
        <v>1</v>
      </c>
      <c r="F92" t="s">
        <v>6490</v>
      </c>
      <c r="G92">
        <v>1</v>
      </c>
      <c r="H92">
        <v>1</v>
      </c>
      <c r="I92">
        <v>2</v>
      </c>
      <c r="J92" t="s">
        <v>6490</v>
      </c>
      <c r="K92" t="s">
        <v>6490</v>
      </c>
      <c r="L92" t="s">
        <v>6490</v>
      </c>
      <c r="M92" t="s">
        <v>6490</v>
      </c>
      <c r="N92">
        <v>1</v>
      </c>
      <c r="O92">
        <v>1</v>
      </c>
      <c r="P92">
        <v>4</v>
      </c>
      <c r="Q92" t="s">
        <v>6490</v>
      </c>
      <c r="R92">
        <v>1</v>
      </c>
      <c r="S92">
        <v>1</v>
      </c>
      <c r="T92" t="s">
        <v>6490</v>
      </c>
      <c r="U92">
        <v>1</v>
      </c>
      <c r="V92">
        <v>1</v>
      </c>
      <c r="W92" t="s">
        <v>6490</v>
      </c>
      <c r="X92" t="s">
        <v>6490</v>
      </c>
      <c r="Y92" t="s">
        <v>6490</v>
      </c>
      <c r="Z92" t="s">
        <v>6490</v>
      </c>
      <c r="AA92" t="s">
        <v>6490</v>
      </c>
      <c r="AB92" t="s">
        <v>6490</v>
      </c>
      <c r="AC92" t="s">
        <v>6490</v>
      </c>
    </row>
    <row r="93" spans="1:29" x14ac:dyDescent="0.25">
      <c r="A93" t="s">
        <v>1560</v>
      </c>
      <c r="B93">
        <v>10</v>
      </c>
      <c r="C93">
        <v>3</v>
      </c>
      <c r="D93">
        <v>2</v>
      </c>
      <c r="E93">
        <v>3</v>
      </c>
      <c r="F93" t="s">
        <v>6490</v>
      </c>
      <c r="G93">
        <v>2</v>
      </c>
      <c r="H93" t="s">
        <v>6490</v>
      </c>
      <c r="I93" t="s">
        <v>6490</v>
      </c>
      <c r="J93" t="s">
        <v>6490</v>
      </c>
      <c r="K93" t="s">
        <v>6490</v>
      </c>
      <c r="L93" t="s">
        <v>6490</v>
      </c>
      <c r="M93" t="s">
        <v>6490</v>
      </c>
      <c r="N93" t="s">
        <v>6490</v>
      </c>
      <c r="O93" t="s">
        <v>6490</v>
      </c>
      <c r="P93">
        <v>1</v>
      </c>
      <c r="Q93" t="s">
        <v>6490</v>
      </c>
      <c r="R93" t="s">
        <v>6490</v>
      </c>
      <c r="S93" t="s">
        <v>6490</v>
      </c>
      <c r="T93" t="s">
        <v>6490</v>
      </c>
      <c r="U93">
        <v>1</v>
      </c>
      <c r="V93" t="s">
        <v>6490</v>
      </c>
      <c r="W93" t="s">
        <v>6490</v>
      </c>
      <c r="X93" t="s">
        <v>6490</v>
      </c>
      <c r="Y93" t="s">
        <v>6490</v>
      </c>
      <c r="Z93" t="s">
        <v>6490</v>
      </c>
      <c r="AA93" t="s">
        <v>6490</v>
      </c>
      <c r="AB93" t="s">
        <v>6490</v>
      </c>
      <c r="AC93" t="s">
        <v>6490</v>
      </c>
    </row>
    <row r="94" spans="1:29" x14ac:dyDescent="0.25">
      <c r="A94" t="s">
        <v>1568</v>
      </c>
      <c r="B94" t="s">
        <v>6490</v>
      </c>
      <c r="C94" t="s">
        <v>6490</v>
      </c>
      <c r="D94" t="s">
        <v>6490</v>
      </c>
      <c r="E94" t="s">
        <v>6490</v>
      </c>
      <c r="F94" t="s">
        <v>6490</v>
      </c>
      <c r="G94" t="s">
        <v>6490</v>
      </c>
      <c r="H94" t="s">
        <v>6490</v>
      </c>
      <c r="I94" t="s">
        <v>6490</v>
      </c>
      <c r="J94" t="s">
        <v>6490</v>
      </c>
      <c r="K94" t="s">
        <v>6490</v>
      </c>
      <c r="L94" t="s">
        <v>6490</v>
      </c>
      <c r="M94" t="s">
        <v>6490</v>
      </c>
      <c r="N94" t="s">
        <v>6490</v>
      </c>
      <c r="O94" t="s">
        <v>6490</v>
      </c>
      <c r="P94" t="s">
        <v>6490</v>
      </c>
      <c r="Q94" t="s">
        <v>6490</v>
      </c>
      <c r="R94" t="s">
        <v>6490</v>
      </c>
      <c r="S94" t="s">
        <v>6490</v>
      </c>
      <c r="T94" t="s">
        <v>6490</v>
      </c>
      <c r="U94" t="s">
        <v>6490</v>
      </c>
      <c r="V94" t="s">
        <v>6490</v>
      </c>
      <c r="W94" t="s">
        <v>6490</v>
      </c>
      <c r="X94" t="s">
        <v>6490</v>
      </c>
      <c r="Y94" t="s">
        <v>6490</v>
      </c>
      <c r="Z94" t="s">
        <v>6490</v>
      </c>
      <c r="AA94" t="s">
        <v>6490</v>
      </c>
      <c r="AB94" t="s">
        <v>6490</v>
      </c>
      <c r="AC94" t="s">
        <v>6490</v>
      </c>
    </row>
    <row r="95" spans="1:29" x14ac:dyDescent="0.25">
      <c r="A95" t="s">
        <v>1575</v>
      </c>
      <c r="B95">
        <v>3</v>
      </c>
      <c r="C95" t="s">
        <v>6490</v>
      </c>
      <c r="D95" t="s">
        <v>6490</v>
      </c>
      <c r="E95" t="s">
        <v>6490</v>
      </c>
      <c r="F95" t="s">
        <v>6490</v>
      </c>
      <c r="G95">
        <v>3</v>
      </c>
      <c r="H95" t="s">
        <v>6490</v>
      </c>
      <c r="I95">
        <v>3</v>
      </c>
      <c r="J95" t="s">
        <v>6490</v>
      </c>
      <c r="K95" t="s">
        <v>6490</v>
      </c>
      <c r="L95" t="s">
        <v>6490</v>
      </c>
      <c r="M95" t="s">
        <v>6490</v>
      </c>
      <c r="N95">
        <v>3</v>
      </c>
      <c r="O95" t="s">
        <v>6490</v>
      </c>
      <c r="P95">
        <v>2</v>
      </c>
      <c r="Q95" t="s">
        <v>6490</v>
      </c>
      <c r="R95" t="s">
        <v>6490</v>
      </c>
      <c r="S95" t="s">
        <v>6490</v>
      </c>
      <c r="T95" t="s">
        <v>6490</v>
      </c>
      <c r="U95">
        <v>2</v>
      </c>
      <c r="V95" t="s">
        <v>6490</v>
      </c>
      <c r="W95" t="s">
        <v>6490</v>
      </c>
      <c r="X95" t="s">
        <v>6490</v>
      </c>
      <c r="Y95" t="s">
        <v>6490</v>
      </c>
      <c r="Z95" t="s">
        <v>6490</v>
      </c>
      <c r="AA95" t="s">
        <v>6490</v>
      </c>
      <c r="AB95" t="s">
        <v>6490</v>
      </c>
      <c r="AC95" t="s">
        <v>6490</v>
      </c>
    </row>
    <row r="96" spans="1:29" x14ac:dyDescent="0.25">
      <c r="A96" t="s">
        <v>46</v>
      </c>
      <c r="B96">
        <v>9</v>
      </c>
      <c r="C96" t="s">
        <v>6490</v>
      </c>
      <c r="D96">
        <v>5</v>
      </c>
      <c r="E96">
        <v>3</v>
      </c>
      <c r="F96">
        <v>1</v>
      </c>
      <c r="G96" t="s">
        <v>6490</v>
      </c>
      <c r="H96" t="s">
        <v>6490</v>
      </c>
      <c r="I96">
        <v>9</v>
      </c>
      <c r="J96" t="s">
        <v>6490</v>
      </c>
      <c r="K96">
        <v>5</v>
      </c>
      <c r="L96">
        <v>3</v>
      </c>
      <c r="M96">
        <v>1</v>
      </c>
      <c r="N96" t="s">
        <v>6490</v>
      </c>
      <c r="O96" t="s">
        <v>6490</v>
      </c>
      <c r="P96" t="s">
        <v>6490</v>
      </c>
      <c r="Q96" t="s">
        <v>6490</v>
      </c>
      <c r="R96" t="s">
        <v>6490</v>
      </c>
      <c r="S96" t="s">
        <v>6490</v>
      </c>
      <c r="T96" t="s">
        <v>6490</v>
      </c>
      <c r="U96" t="s">
        <v>6490</v>
      </c>
      <c r="V96" t="s">
        <v>6490</v>
      </c>
      <c r="W96">
        <v>9</v>
      </c>
      <c r="X96" t="s">
        <v>6490</v>
      </c>
      <c r="Y96">
        <v>5</v>
      </c>
      <c r="Z96">
        <v>3</v>
      </c>
      <c r="AA96">
        <v>1</v>
      </c>
      <c r="AB96" t="s">
        <v>6490</v>
      </c>
      <c r="AC96" t="s">
        <v>6490</v>
      </c>
    </row>
    <row r="97" spans="1:29" x14ac:dyDescent="0.25">
      <c r="A97" t="s">
        <v>1604</v>
      </c>
      <c r="B97" t="s">
        <v>6490</v>
      </c>
      <c r="C97" t="s">
        <v>6490</v>
      </c>
      <c r="D97" t="s">
        <v>6490</v>
      </c>
      <c r="E97" t="s">
        <v>6490</v>
      </c>
      <c r="F97" t="s">
        <v>6490</v>
      </c>
      <c r="G97" t="s">
        <v>6490</v>
      </c>
      <c r="H97" t="s">
        <v>6490</v>
      </c>
      <c r="I97" t="s">
        <v>6490</v>
      </c>
      <c r="J97" t="s">
        <v>6490</v>
      </c>
      <c r="K97" t="s">
        <v>6490</v>
      </c>
      <c r="L97" t="s">
        <v>6490</v>
      </c>
      <c r="M97" t="s">
        <v>6490</v>
      </c>
      <c r="N97" t="s">
        <v>6490</v>
      </c>
      <c r="O97" t="s">
        <v>6490</v>
      </c>
      <c r="P97" t="s">
        <v>6490</v>
      </c>
      <c r="Q97" t="s">
        <v>6490</v>
      </c>
      <c r="R97" t="s">
        <v>6490</v>
      </c>
      <c r="S97" t="s">
        <v>6490</v>
      </c>
      <c r="T97" t="s">
        <v>6490</v>
      </c>
      <c r="U97" t="s">
        <v>6490</v>
      </c>
      <c r="V97" t="s">
        <v>6490</v>
      </c>
      <c r="W97" t="s">
        <v>6490</v>
      </c>
      <c r="X97" t="s">
        <v>6490</v>
      </c>
      <c r="Y97" t="s">
        <v>6490</v>
      </c>
      <c r="Z97" t="s">
        <v>6490</v>
      </c>
      <c r="AA97" t="s">
        <v>6490</v>
      </c>
      <c r="AB97" t="s">
        <v>6490</v>
      </c>
      <c r="AC97" t="s">
        <v>6490</v>
      </c>
    </row>
    <row r="98" spans="1:29" x14ac:dyDescent="0.25">
      <c r="A98" t="s">
        <v>6500</v>
      </c>
      <c r="B98">
        <v>3</v>
      </c>
      <c r="C98" t="s">
        <v>6490</v>
      </c>
      <c r="D98" t="s">
        <v>6490</v>
      </c>
      <c r="E98">
        <v>1</v>
      </c>
      <c r="F98">
        <v>1</v>
      </c>
      <c r="G98" t="s">
        <v>6490</v>
      </c>
      <c r="H98">
        <v>1</v>
      </c>
      <c r="I98">
        <v>3</v>
      </c>
      <c r="J98" t="s">
        <v>6490</v>
      </c>
      <c r="K98" t="s">
        <v>6490</v>
      </c>
      <c r="L98">
        <v>1</v>
      </c>
      <c r="M98">
        <v>1</v>
      </c>
      <c r="N98" t="s">
        <v>6490</v>
      </c>
      <c r="O98">
        <v>1</v>
      </c>
      <c r="P98">
        <v>3</v>
      </c>
      <c r="Q98" t="s">
        <v>6490</v>
      </c>
      <c r="R98" t="s">
        <v>6490</v>
      </c>
      <c r="S98">
        <v>1</v>
      </c>
      <c r="T98">
        <v>1</v>
      </c>
      <c r="U98" t="s">
        <v>6490</v>
      </c>
      <c r="V98">
        <v>1</v>
      </c>
      <c r="W98" t="s">
        <v>6490</v>
      </c>
      <c r="X98" t="s">
        <v>6490</v>
      </c>
      <c r="Y98" t="s">
        <v>6490</v>
      </c>
      <c r="Z98" t="s">
        <v>6490</v>
      </c>
      <c r="AA98" t="s">
        <v>6490</v>
      </c>
      <c r="AB98" t="s">
        <v>6490</v>
      </c>
      <c r="AC98" t="s">
        <v>6490</v>
      </c>
    </row>
    <row r="99" spans="1:29" x14ac:dyDescent="0.25">
      <c r="A99" t="s">
        <v>1613</v>
      </c>
      <c r="B99">
        <v>11</v>
      </c>
      <c r="C99" t="s">
        <v>6490</v>
      </c>
      <c r="D99">
        <v>2</v>
      </c>
      <c r="E99" t="s">
        <v>6490</v>
      </c>
      <c r="F99">
        <v>5</v>
      </c>
      <c r="G99">
        <v>1</v>
      </c>
      <c r="H99">
        <v>3</v>
      </c>
      <c r="I99">
        <v>2</v>
      </c>
      <c r="J99" t="s">
        <v>6490</v>
      </c>
      <c r="K99" t="s">
        <v>6490</v>
      </c>
      <c r="L99" t="s">
        <v>6490</v>
      </c>
      <c r="M99" t="s">
        <v>6490</v>
      </c>
      <c r="N99">
        <v>1</v>
      </c>
      <c r="O99">
        <v>1</v>
      </c>
      <c r="P99">
        <v>3</v>
      </c>
      <c r="Q99" t="s">
        <v>6490</v>
      </c>
      <c r="R99" t="s">
        <v>6490</v>
      </c>
      <c r="S99" t="s">
        <v>6490</v>
      </c>
      <c r="T99">
        <v>1</v>
      </c>
      <c r="U99">
        <v>1</v>
      </c>
      <c r="V99">
        <v>1</v>
      </c>
      <c r="W99" t="s">
        <v>6490</v>
      </c>
      <c r="X99" t="s">
        <v>6490</v>
      </c>
      <c r="Y99" t="s">
        <v>6490</v>
      </c>
      <c r="Z99" t="s">
        <v>6490</v>
      </c>
      <c r="AA99" t="s">
        <v>6490</v>
      </c>
      <c r="AB99" t="s">
        <v>6490</v>
      </c>
      <c r="AC99" t="s">
        <v>6490</v>
      </c>
    </row>
    <row r="100" spans="1:29" x14ac:dyDescent="0.25">
      <c r="A100" t="s">
        <v>1635</v>
      </c>
      <c r="B100">
        <v>9</v>
      </c>
      <c r="C100">
        <v>2</v>
      </c>
      <c r="D100" t="s">
        <v>6490</v>
      </c>
      <c r="E100" t="s">
        <v>6490</v>
      </c>
      <c r="F100">
        <v>3</v>
      </c>
      <c r="G100">
        <v>1</v>
      </c>
      <c r="H100">
        <v>3</v>
      </c>
      <c r="I100">
        <v>3</v>
      </c>
      <c r="J100">
        <v>1</v>
      </c>
      <c r="K100" t="s">
        <v>6490</v>
      </c>
      <c r="L100" t="s">
        <v>6490</v>
      </c>
      <c r="M100" t="s">
        <v>6490</v>
      </c>
      <c r="N100">
        <v>1</v>
      </c>
      <c r="O100">
        <v>1</v>
      </c>
      <c r="P100">
        <v>5</v>
      </c>
      <c r="Q100" t="s">
        <v>6490</v>
      </c>
      <c r="R100" t="s">
        <v>6490</v>
      </c>
      <c r="S100" t="s">
        <v>6490</v>
      </c>
      <c r="T100">
        <v>1</v>
      </c>
      <c r="U100">
        <v>1</v>
      </c>
      <c r="V100">
        <v>3</v>
      </c>
      <c r="W100" t="s">
        <v>6490</v>
      </c>
      <c r="X100" t="s">
        <v>6490</v>
      </c>
      <c r="Y100" t="s">
        <v>6490</v>
      </c>
      <c r="Z100" t="s">
        <v>6490</v>
      </c>
      <c r="AA100" t="s">
        <v>6490</v>
      </c>
      <c r="AB100" t="s">
        <v>6490</v>
      </c>
      <c r="AC100" t="s">
        <v>6490</v>
      </c>
    </row>
    <row r="101" spans="1:29" x14ac:dyDescent="0.25">
      <c r="A101" t="s">
        <v>1642</v>
      </c>
      <c r="B101">
        <v>7</v>
      </c>
      <c r="C101" t="s">
        <v>6490</v>
      </c>
      <c r="D101" t="s">
        <v>6490</v>
      </c>
      <c r="E101" t="s">
        <v>6490</v>
      </c>
      <c r="F101" t="s">
        <v>6490</v>
      </c>
      <c r="G101">
        <v>1</v>
      </c>
      <c r="H101">
        <v>6</v>
      </c>
      <c r="I101">
        <v>6</v>
      </c>
      <c r="J101" t="s">
        <v>6490</v>
      </c>
      <c r="K101" t="s">
        <v>6490</v>
      </c>
      <c r="L101" t="s">
        <v>6490</v>
      </c>
      <c r="M101" t="s">
        <v>6490</v>
      </c>
      <c r="N101">
        <v>1</v>
      </c>
      <c r="O101">
        <v>5</v>
      </c>
      <c r="P101">
        <v>5</v>
      </c>
      <c r="Q101" t="s">
        <v>6490</v>
      </c>
      <c r="R101" t="s">
        <v>6490</v>
      </c>
      <c r="S101" t="s">
        <v>6490</v>
      </c>
      <c r="T101" t="s">
        <v>6490</v>
      </c>
      <c r="U101" t="s">
        <v>6490</v>
      </c>
      <c r="V101">
        <v>5</v>
      </c>
      <c r="W101" t="s">
        <v>6490</v>
      </c>
      <c r="X101" t="s">
        <v>6490</v>
      </c>
      <c r="Y101" t="s">
        <v>6490</v>
      </c>
      <c r="Z101" t="s">
        <v>6490</v>
      </c>
      <c r="AA101" t="s">
        <v>6490</v>
      </c>
      <c r="AB101" t="s">
        <v>6490</v>
      </c>
      <c r="AC101" t="s">
        <v>6490</v>
      </c>
    </row>
    <row r="102" spans="1:29" x14ac:dyDescent="0.25">
      <c r="A102" t="s">
        <v>1650</v>
      </c>
      <c r="B102">
        <v>4</v>
      </c>
      <c r="C102" t="s">
        <v>6490</v>
      </c>
      <c r="D102">
        <v>1</v>
      </c>
      <c r="E102">
        <v>2</v>
      </c>
      <c r="F102">
        <v>1</v>
      </c>
      <c r="G102" t="s">
        <v>6490</v>
      </c>
      <c r="H102" t="s">
        <v>6490</v>
      </c>
      <c r="I102">
        <v>1</v>
      </c>
      <c r="J102" t="s">
        <v>6490</v>
      </c>
      <c r="K102">
        <v>1</v>
      </c>
      <c r="L102" t="s">
        <v>6490</v>
      </c>
      <c r="M102" t="s">
        <v>6490</v>
      </c>
      <c r="N102" t="s">
        <v>6490</v>
      </c>
      <c r="O102" t="s">
        <v>6490</v>
      </c>
      <c r="P102">
        <v>1</v>
      </c>
      <c r="Q102" t="s">
        <v>6490</v>
      </c>
      <c r="R102" t="s">
        <v>6490</v>
      </c>
      <c r="S102">
        <v>1</v>
      </c>
      <c r="T102" t="s">
        <v>6490</v>
      </c>
      <c r="U102" t="s">
        <v>6490</v>
      </c>
      <c r="V102" t="s">
        <v>6490</v>
      </c>
      <c r="W102" t="s">
        <v>6490</v>
      </c>
      <c r="X102" t="s">
        <v>6490</v>
      </c>
      <c r="Y102" t="s">
        <v>6490</v>
      </c>
      <c r="Z102" t="s">
        <v>6490</v>
      </c>
      <c r="AA102" t="s">
        <v>6490</v>
      </c>
      <c r="AB102" t="s">
        <v>6490</v>
      </c>
      <c r="AC102" t="s">
        <v>6490</v>
      </c>
    </row>
    <row r="103" spans="1:29" x14ac:dyDescent="0.25">
      <c r="A103" t="s">
        <v>47</v>
      </c>
      <c r="B103">
        <v>6</v>
      </c>
      <c r="C103">
        <v>2</v>
      </c>
      <c r="D103">
        <v>1</v>
      </c>
      <c r="E103">
        <v>1</v>
      </c>
      <c r="F103">
        <v>1</v>
      </c>
      <c r="G103">
        <v>1</v>
      </c>
      <c r="H103" t="s">
        <v>6490</v>
      </c>
      <c r="I103">
        <v>3</v>
      </c>
      <c r="J103" t="s">
        <v>6490</v>
      </c>
      <c r="K103" t="s">
        <v>6490</v>
      </c>
      <c r="L103">
        <v>1</v>
      </c>
      <c r="M103">
        <v>1</v>
      </c>
      <c r="N103">
        <v>1</v>
      </c>
      <c r="O103" t="s">
        <v>6490</v>
      </c>
      <c r="P103" t="s">
        <v>6490</v>
      </c>
      <c r="Q103" t="s">
        <v>6490</v>
      </c>
      <c r="R103" t="s">
        <v>6490</v>
      </c>
      <c r="S103" t="s">
        <v>6490</v>
      </c>
      <c r="T103" t="s">
        <v>6490</v>
      </c>
      <c r="U103" t="s">
        <v>6490</v>
      </c>
      <c r="V103" t="s">
        <v>6490</v>
      </c>
      <c r="W103" t="s">
        <v>6490</v>
      </c>
      <c r="X103" t="s">
        <v>6490</v>
      </c>
      <c r="Y103" t="s">
        <v>6490</v>
      </c>
      <c r="Z103" t="s">
        <v>6490</v>
      </c>
      <c r="AA103" t="s">
        <v>6490</v>
      </c>
      <c r="AB103" t="s">
        <v>6490</v>
      </c>
      <c r="AC103" t="s">
        <v>6490</v>
      </c>
    </row>
    <row r="104" spans="1:29" x14ac:dyDescent="0.25">
      <c r="A104" t="s">
        <v>1691</v>
      </c>
      <c r="B104">
        <v>9</v>
      </c>
      <c r="C104" t="s">
        <v>6490</v>
      </c>
      <c r="D104">
        <v>1</v>
      </c>
      <c r="E104">
        <v>2</v>
      </c>
      <c r="F104">
        <v>3</v>
      </c>
      <c r="G104">
        <v>1</v>
      </c>
      <c r="H104">
        <v>2</v>
      </c>
      <c r="I104">
        <v>6</v>
      </c>
      <c r="J104" t="s">
        <v>6490</v>
      </c>
      <c r="K104" t="s">
        <v>6490</v>
      </c>
      <c r="L104">
        <v>1</v>
      </c>
      <c r="M104">
        <v>2</v>
      </c>
      <c r="N104">
        <v>1</v>
      </c>
      <c r="O104">
        <v>2</v>
      </c>
      <c r="P104">
        <v>1</v>
      </c>
      <c r="Q104" t="s">
        <v>6490</v>
      </c>
      <c r="R104" t="s">
        <v>6490</v>
      </c>
      <c r="S104" t="s">
        <v>6490</v>
      </c>
      <c r="T104" t="s">
        <v>6490</v>
      </c>
      <c r="U104" t="s">
        <v>6490</v>
      </c>
      <c r="V104">
        <v>1</v>
      </c>
      <c r="W104" t="s">
        <v>6490</v>
      </c>
      <c r="X104" t="s">
        <v>6490</v>
      </c>
      <c r="Y104" t="s">
        <v>6490</v>
      </c>
      <c r="Z104" t="s">
        <v>6490</v>
      </c>
      <c r="AA104" t="s">
        <v>6490</v>
      </c>
      <c r="AB104" t="s">
        <v>6490</v>
      </c>
      <c r="AC104" t="s">
        <v>6490</v>
      </c>
    </row>
    <row r="105" spans="1:29" x14ac:dyDescent="0.25">
      <c r="A105" t="s">
        <v>1725</v>
      </c>
      <c r="B105" t="s">
        <v>6490</v>
      </c>
      <c r="C105" t="s">
        <v>6490</v>
      </c>
      <c r="D105" t="s">
        <v>6490</v>
      </c>
      <c r="E105" t="s">
        <v>6490</v>
      </c>
      <c r="F105" t="s">
        <v>6490</v>
      </c>
      <c r="G105" t="s">
        <v>6490</v>
      </c>
      <c r="H105" t="s">
        <v>6490</v>
      </c>
      <c r="I105" t="s">
        <v>6490</v>
      </c>
      <c r="J105" t="s">
        <v>6490</v>
      </c>
      <c r="K105" t="s">
        <v>6490</v>
      </c>
      <c r="L105" t="s">
        <v>6490</v>
      </c>
      <c r="M105" t="s">
        <v>6490</v>
      </c>
      <c r="N105" t="s">
        <v>6490</v>
      </c>
      <c r="O105" t="s">
        <v>6490</v>
      </c>
      <c r="P105" t="s">
        <v>6490</v>
      </c>
      <c r="Q105" t="s">
        <v>6490</v>
      </c>
      <c r="R105" t="s">
        <v>6490</v>
      </c>
      <c r="S105" t="s">
        <v>6490</v>
      </c>
      <c r="T105" t="s">
        <v>6490</v>
      </c>
      <c r="U105" t="s">
        <v>6490</v>
      </c>
      <c r="V105" t="s">
        <v>6490</v>
      </c>
      <c r="W105" t="s">
        <v>6490</v>
      </c>
      <c r="X105" t="s">
        <v>6490</v>
      </c>
      <c r="Y105" t="s">
        <v>6490</v>
      </c>
      <c r="Z105" t="s">
        <v>6490</v>
      </c>
      <c r="AA105" t="s">
        <v>6490</v>
      </c>
      <c r="AB105" t="s">
        <v>6490</v>
      </c>
      <c r="AC105" t="s">
        <v>6490</v>
      </c>
    </row>
    <row r="106" spans="1:29" x14ac:dyDescent="0.25">
      <c r="A106" t="s">
        <v>48</v>
      </c>
      <c r="B106">
        <v>51</v>
      </c>
      <c r="C106">
        <v>11</v>
      </c>
      <c r="D106">
        <v>6</v>
      </c>
      <c r="E106">
        <v>14</v>
      </c>
      <c r="F106">
        <v>9</v>
      </c>
      <c r="G106">
        <v>3</v>
      </c>
      <c r="H106">
        <v>8</v>
      </c>
      <c r="I106">
        <v>18</v>
      </c>
      <c r="J106" t="s">
        <v>6490</v>
      </c>
      <c r="K106">
        <v>1</v>
      </c>
      <c r="L106">
        <v>3</v>
      </c>
      <c r="M106">
        <v>4</v>
      </c>
      <c r="N106">
        <v>2</v>
      </c>
      <c r="O106">
        <v>8</v>
      </c>
      <c r="P106">
        <v>12</v>
      </c>
      <c r="Q106" t="s">
        <v>6490</v>
      </c>
      <c r="R106" t="s">
        <v>6490</v>
      </c>
      <c r="S106">
        <v>1</v>
      </c>
      <c r="T106">
        <v>1</v>
      </c>
      <c r="U106">
        <v>2</v>
      </c>
      <c r="V106">
        <v>8</v>
      </c>
      <c r="W106">
        <v>5</v>
      </c>
      <c r="X106" t="s">
        <v>6490</v>
      </c>
      <c r="Y106">
        <v>1</v>
      </c>
      <c r="Z106">
        <v>1</v>
      </c>
      <c r="AA106">
        <v>2</v>
      </c>
      <c r="AB106">
        <v>1</v>
      </c>
      <c r="AC106" t="s">
        <v>6490</v>
      </c>
    </row>
    <row r="107" spans="1:29" x14ac:dyDescent="0.25">
      <c r="A107" t="s">
        <v>49</v>
      </c>
      <c r="B107">
        <v>74</v>
      </c>
      <c r="C107">
        <v>12</v>
      </c>
      <c r="D107">
        <v>9</v>
      </c>
      <c r="E107">
        <v>11</v>
      </c>
      <c r="F107">
        <v>19</v>
      </c>
      <c r="G107">
        <v>12</v>
      </c>
      <c r="H107">
        <v>11</v>
      </c>
      <c r="I107">
        <v>26</v>
      </c>
      <c r="J107">
        <v>1</v>
      </c>
      <c r="K107">
        <v>1</v>
      </c>
      <c r="L107">
        <v>4</v>
      </c>
      <c r="M107">
        <v>4</v>
      </c>
      <c r="N107">
        <v>7</v>
      </c>
      <c r="O107">
        <v>9</v>
      </c>
      <c r="P107">
        <v>13</v>
      </c>
      <c r="Q107" t="s">
        <v>6490</v>
      </c>
      <c r="R107" t="s">
        <v>6490</v>
      </c>
      <c r="S107" t="s">
        <v>6490</v>
      </c>
      <c r="T107">
        <v>1</v>
      </c>
      <c r="U107">
        <v>3</v>
      </c>
      <c r="V107">
        <v>9</v>
      </c>
      <c r="W107">
        <v>3</v>
      </c>
      <c r="X107">
        <v>1</v>
      </c>
      <c r="Y107" t="s">
        <v>6490</v>
      </c>
      <c r="Z107" t="s">
        <v>6490</v>
      </c>
      <c r="AA107">
        <v>2</v>
      </c>
      <c r="AB107" t="s">
        <v>6490</v>
      </c>
      <c r="AC107" t="s">
        <v>6490</v>
      </c>
    </row>
    <row r="108" spans="1:29" x14ac:dyDescent="0.25">
      <c r="A108" t="s">
        <v>6512</v>
      </c>
      <c r="B108" t="s">
        <v>6490</v>
      </c>
      <c r="C108" t="s">
        <v>6490</v>
      </c>
      <c r="D108" t="s">
        <v>6490</v>
      </c>
      <c r="E108" t="s">
        <v>6490</v>
      </c>
      <c r="F108" t="s">
        <v>6490</v>
      </c>
      <c r="G108" t="s">
        <v>6490</v>
      </c>
      <c r="H108" t="s">
        <v>6490</v>
      </c>
      <c r="I108" t="s">
        <v>6490</v>
      </c>
      <c r="J108" t="s">
        <v>6490</v>
      </c>
      <c r="K108" t="s">
        <v>6490</v>
      </c>
      <c r="L108" t="s">
        <v>6490</v>
      </c>
      <c r="M108" t="s">
        <v>6490</v>
      </c>
      <c r="N108" t="s">
        <v>6490</v>
      </c>
      <c r="O108" t="s">
        <v>6490</v>
      </c>
      <c r="P108" t="s">
        <v>6490</v>
      </c>
      <c r="Q108" t="s">
        <v>6490</v>
      </c>
      <c r="R108" t="s">
        <v>6490</v>
      </c>
      <c r="S108" t="s">
        <v>6490</v>
      </c>
      <c r="T108" t="s">
        <v>6490</v>
      </c>
      <c r="U108" t="s">
        <v>6490</v>
      </c>
      <c r="V108" t="s">
        <v>6490</v>
      </c>
      <c r="W108" t="s">
        <v>6490</v>
      </c>
      <c r="X108" t="s">
        <v>6490</v>
      </c>
      <c r="Y108" t="s">
        <v>6490</v>
      </c>
      <c r="Z108" t="s">
        <v>6490</v>
      </c>
      <c r="AA108" t="s">
        <v>6490</v>
      </c>
      <c r="AB108" t="s">
        <v>6490</v>
      </c>
      <c r="AC108" t="s">
        <v>6490</v>
      </c>
    </row>
    <row r="109" spans="1:29" x14ac:dyDescent="0.25">
      <c r="A109" t="s">
        <v>1893</v>
      </c>
      <c r="B109" t="s">
        <v>6490</v>
      </c>
      <c r="C109" t="s">
        <v>6490</v>
      </c>
      <c r="D109" t="s">
        <v>6490</v>
      </c>
      <c r="E109" t="s">
        <v>6490</v>
      </c>
      <c r="F109" t="s">
        <v>6490</v>
      </c>
      <c r="G109" t="s">
        <v>6490</v>
      </c>
      <c r="H109" t="s">
        <v>6490</v>
      </c>
      <c r="I109" t="s">
        <v>6490</v>
      </c>
      <c r="J109" t="s">
        <v>6490</v>
      </c>
      <c r="K109" t="s">
        <v>6490</v>
      </c>
      <c r="L109" t="s">
        <v>6490</v>
      </c>
      <c r="M109" t="s">
        <v>6490</v>
      </c>
      <c r="N109" t="s">
        <v>6490</v>
      </c>
      <c r="O109" t="s">
        <v>6490</v>
      </c>
      <c r="P109" t="s">
        <v>6490</v>
      </c>
      <c r="Q109" t="s">
        <v>6490</v>
      </c>
      <c r="R109" t="s">
        <v>6490</v>
      </c>
      <c r="S109" t="s">
        <v>6490</v>
      </c>
      <c r="T109" t="s">
        <v>6490</v>
      </c>
      <c r="U109" t="s">
        <v>6490</v>
      </c>
      <c r="V109" t="s">
        <v>6490</v>
      </c>
      <c r="W109" t="s">
        <v>6490</v>
      </c>
      <c r="X109" t="s">
        <v>6490</v>
      </c>
      <c r="Y109" t="s">
        <v>6490</v>
      </c>
      <c r="Z109" t="s">
        <v>6490</v>
      </c>
      <c r="AA109" t="s">
        <v>6490</v>
      </c>
      <c r="AB109" t="s">
        <v>6490</v>
      </c>
      <c r="AC109" t="s">
        <v>6490</v>
      </c>
    </row>
    <row r="110" spans="1:29" x14ac:dyDescent="0.25">
      <c r="A110" t="s">
        <v>1898</v>
      </c>
      <c r="B110">
        <v>12</v>
      </c>
      <c r="C110" t="s">
        <v>6490</v>
      </c>
      <c r="D110">
        <v>4</v>
      </c>
      <c r="E110">
        <v>2</v>
      </c>
      <c r="F110">
        <v>2</v>
      </c>
      <c r="G110">
        <v>3</v>
      </c>
      <c r="H110">
        <v>1</v>
      </c>
      <c r="I110">
        <v>4</v>
      </c>
      <c r="J110" t="s">
        <v>6490</v>
      </c>
      <c r="K110">
        <v>1</v>
      </c>
      <c r="L110" t="s">
        <v>6490</v>
      </c>
      <c r="M110">
        <v>1</v>
      </c>
      <c r="N110">
        <v>2</v>
      </c>
      <c r="O110" t="s">
        <v>6490</v>
      </c>
      <c r="P110">
        <v>1</v>
      </c>
      <c r="Q110" t="s">
        <v>6490</v>
      </c>
      <c r="R110" t="s">
        <v>6490</v>
      </c>
      <c r="S110" t="s">
        <v>6490</v>
      </c>
      <c r="T110" t="s">
        <v>6490</v>
      </c>
      <c r="U110">
        <v>1</v>
      </c>
      <c r="V110" t="s">
        <v>6490</v>
      </c>
      <c r="W110">
        <v>4</v>
      </c>
      <c r="X110" t="s">
        <v>6490</v>
      </c>
      <c r="Y110">
        <v>1</v>
      </c>
      <c r="Z110" t="s">
        <v>6490</v>
      </c>
      <c r="AA110">
        <v>1</v>
      </c>
      <c r="AB110">
        <v>2</v>
      </c>
      <c r="AC110" t="s">
        <v>6490</v>
      </c>
    </row>
    <row r="111" spans="1:29" x14ac:dyDescent="0.25">
      <c r="A111" t="s">
        <v>50</v>
      </c>
      <c r="B111">
        <v>6</v>
      </c>
      <c r="C111" t="s">
        <v>6490</v>
      </c>
      <c r="D111">
        <v>1</v>
      </c>
      <c r="E111">
        <v>1</v>
      </c>
      <c r="F111">
        <v>3</v>
      </c>
      <c r="G111" t="s">
        <v>6490</v>
      </c>
      <c r="H111">
        <v>1</v>
      </c>
      <c r="I111">
        <v>3</v>
      </c>
      <c r="J111" t="s">
        <v>6490</v>
      </c>
      <c r="K111" t="s">
        <v>6490</v>
      </c>
      <c r="L111" t="s">
        <v>6490</v>
      </c>
      <c r="M111">
        <v>2</v>
      </c>
      <c r="N111" t="s">
        <v>6490</v>
      </c>
      <c r="O111">
        <v>1</v>
      </c>
      <c r="P111">
        <v>1</v>
      </c>
      <c r="Q111" t="s">
        <v>6490</v>
      </c>
      <c r="R111" t="s">
        <v>6490</v>
      </c>
      <c r="S111" t="s">
        <v>6490</v>
      </c>
      <c r="T111" t="s">
        <v>6490</v>
      </c>
      <c r="U111" t="s">
        <v>6490</v>
      </c>
      <c r="V111">
        <v>1</v>
      </c>
      <c r="W111">
        <v>1</v>
      </c>
      <c r="X111" t="s">
        <v>6490</v>
      </c>
      <c r="Y111">
        <v>1</v>
      </c>
      <c r="Z111" t="s">
        <v>6490</v>
      </c>
      <c r="AA111" t="s">
        <v>6490</v>
      </c>
      <c r="AB111" t="s">
        <v>6490</v>
      </c>
      <c r="AC111" t="s">
        <v>6490</v>
      </c>
    </row>
    <row r="112" spans="1:29" x14ac:dyDescent="0.25">
      <c r="A112" t="s">
        <v>1909</v>
      </c>
      <c r="B112">
        <v>13</v>
      </c>
      <c r="C112" t="s">
        <v>6490</v>
      </c>
      <c r="D112">
        <v>2</v>
      </c>
      <c r="E112">
        <v>3</v>
      </c>
      <c r="F112">
        <v>5</v>
      </c>
      <c r="G112">
        <v>2</v>
      </c>
      <c r="H112">
        <v>1</v>
      </c>
      <c r="I112">
        <v>5</v>
      </c>
      <c r="J112" t="s">
        <v>6490</v>
      </c>
      <c r="K112" t="s">
        <v>6490</v>
      </c>
      <c r="L112" t="s">
        <v>6490</v>
      </c>
      <c r="M112">
        <v>3</v>
      </c>
      <c r="N112">
        <v>1</v>
      </c>
      <c r="O112">
        <v>1</v>
      </c>
      <c r="P112">
        <v>2</v>
      </c>
      <c r="Q112" t="s">
        <v>6490</v>
      </c>
      <c r="R112" t="s">
        <v>6490</v>
      </c>
      <c r="S112" t="s">
        <v>6490</v>
      </c>
      <c r="T112" t="s">
        <v>6490</v>
      </c>
      <c r="U112">
        <v>1</v>
      </c>
      <c r="V112">
        <v>1</v>
      </c>
      <c r="W112">
        <v>2</v>
      </c>
      <c r="X112" t="s">
        <v>6490</v>
      </c>
      <c r="Y112" t="s">
        <v>6490</v>
      </c>
      <c r="Z112" t="s">
        <v>6490</v>
      </c>
      <c r="AA112">
        <v>1</v>
      </c>
      <c r="AB112">
        <v>1</v>
      </c>
      <c r="AC112" t="s">
        <v>6490</v>
      </c>
    </row>
    <row r="113" spans="1:29" x14ac:dyDescent="0.25">
      <c r="A113" t="s">
        <v>1933</v>
      </c>
      <c r="B113">
        <v>15</v>
      </c>
      <c r="C113" t="s">
        <v>6490</v>
      </c>
      <c r="D113">
        <v>2</v>
      </c>
      <c r="E113">
        <v>3</v>
      </c>
      <c r="F113">
        <v>3</v>
      </c>
      <c r="G113">
        <v>5</v>
      </c>
      <c r="H113">
        <v>2</v>
      </c>
      <c r="I113">
        <v>13</v>
      </c>
      <c r="J113" t="s">
        <v>6490</v>
      </c>
      <c r="K113">
        <v>1</v>
      </c>
      <c r="L113">
        <v>2</v>
      </c>
      <c r="M113">
        <v>3</v>
      </c>
      <c r="N113">
        <v>5</v>
      </c>
      <c r="O113">
        <v>2</v>
      </c>
      <c r="P113">
        <v>2</v>
      </c>
      <c r="Q113" t="s">
        <v>6490</v>
      </c>
      <c r="R113" t="s">
        <v>6490</v>
      </c>
      <c r="S113" t="s">
        <v>6490</v>
      </c>
      <c r="T113" t="s">
        <v>6490</v>
      </c>
      <c r="U113">
        <v>1</v>
      </c>
      <c r="V113">
        <v>1</v>
      </c>
      <c r="W113">
        <v>1</v>
      </c>
      <c r="X113" t="s">
        <v>6490</v>
      </c>
      <c r="Y113" t="s">
        <v>6490</v>
      </c>
      <c r="Z113">
        <v>1</v>
      </c>
      <c r="AA113" t="s">
        <v>6490</v>
      </c>
      <c r="AB113" t="s">
        <v>6490</v>
      </c>
      <c r="AC113" t="s">
        <v>6490</v>
      </c>
    </row>
    <row r="114" spans="1:29" x14ac:dyDescent="0.25">
      <c r="A114" t="s">
        <v>1950</v>
      </c>
      <c r="B114">
        <v>3</v>
      </c>
      <c r="C114" t="s">
        <v>6490</v>
      </c>
      <c r="D114">
        <v>1</v>
      </c>
      <c r="E114">
        <v>1</v>
      </c>
      <c r="F114" t="s">
        <v>6490</v>
      </c>
      <c r="G114">
        <v>1</v>
      </c>
      <c r="H114" t="s">
        <v>6490</v>
      </c>
      <c r="I114" t="s">
        <v>6490</v>
      </c>
      <c r="J114" t="s">
        <v>6490</v>
      </c>
      <c r="K114" t="s">
        <v>6490</v>
      </c>
      <c r="L114" t="s">
        <v>6490</v>
      </c>
      <c r="M114" t="s">
        <v>6490</v>
      </c>
      <c r="N114" t="s">
        <v>6490</v>
      </c>
      <c r="O114" t="s">
        <v>6490</v>
      </c>
      <c r="P114" t="s">
        <v>6490</v>
      </c>
      <c r="Q114" t="s">
        <v>6490</v>
      </c>
      <c r="R114" t="s">
        <v>6490</v>
      </c>
      <c r="S114" t="s">
        <v>6490</v>
      </c>
      <c r="T114" t="s">
        <v>6490</v>
      </c>
      <c r="U114" t="s">
        <v>6490</v>
      </c>
      <c r="V114" t="s">
        <v>6490</v>
      </c>
      <c r="W114" t="s">
        <v>6490</v>
      </c>
      <c r="X114" t="s">
        <v>6490</v>
      </c>
      <c r="Y114" t="s">
        <v>6490</v>
      </c>
      <c r="Z114" t="s">
        <v>6490</v>
      </c>
      <c r="AA114" t="s">
        <v>6490</v>
      </c>
      <c r="AB114" t="s">
        <v>6490</v>
      </c>
      <c r="AC114" t="s">
        <v>6490</v>
      </c>
    </row>
    <row r="115" spans="1:29" x14ac:dyDescent="0.25">
      <c r="A115" t="s">
        <v>1956</v>
      </c>
      <c r="B115">
        <v>19</v>
      </c>
      <c r="C115">
        <v>1</v>
      </c>
      <c r="D115" t="s">
        <v>6490</v>
      </c>
      <c r="E115">
        <v>2</v>
      </c>
      <c r="F115">
        <v>4</v>
      </c>
      <c r="G115">
        <v>2</v>
      </c>
      <c r="H115">
        <v>10</v>
      </c>
      <c r="I115">
        <v>12</v>
      </c>
      <c r="J115" t="s">
        <v>6490</v>
      </c>
      <c r="K115" t="s">
        <v>6490</v>
      </c>
      <c r="L115">
        <v>1</v>
      </c>
      <c r="M115">
        <v>3</v>
      </c>
      <c r="N115" t="s">
        <v>6490</v>
      </c>
      <c r="O115">
        <v>8</v>
      </c>
      <c r="P115">
        <v>4</v>
      </c>
      <c r="Q115" t="s">
        <v>6490</v>
      </c>
      <c r="R115" t="s">
        <v>6490</v>
      </c>
      <c r="S115" t="s">
        <v>6490</v>
      </c>
      <c r="T115" t="s">
        <v>6490</v>
      </c>
      <c r="U115">
        <v>2</v>
      </c>
      <c r="V115">
        <v>2</v>
      </c>
      <c r="W115">
        <v>2</v>
      </c>
      <c r="X115" t="s">
        <v>6490</v>
      </c>
      <c r="Y115" t="s">
        <v>6490</v>
      </c>
      <c r="Z115" t="s">
        <v>6490</v>
      </c>
      <c r="AA115" t="s">
        <v>6490</v>
      </c>
      <c r="AB115" t="s">
        <v>6490</v>
      </c>
      <c r="AC115">
        <v>2</v>
      </c>
    </row>
    <row r="116" spans="1:29" x14ac:dyDescent="0.25">
      <c r="A116" t="s">
        <v>1965</v>
      </c>
      <c r="B116">
        <v>3</v>
      </c>
      <c r="C116">
        <v>1</v>
      </c>
      <c r="D116" t="s">
        <v>6490</v>
      </c>
      <c r="E116" t="s">
        <v>6490</v>
      </c>
      <c r="F116">
        <v>2</v>
      </c>
      <c r="G116" t="s">
        <v>6490</v>
      </c>
      <c r="H116" t="s">
        <v>6490</v>
      </c>
      <c r="I116">
        <v>1</v>
      </c>
      <c r="J116" t="s">
        <v>6490</v>
      </c>
      <c r="K116" t="s">
        <v>6490</v>
      </c>
      <c r="L116" t="s">
        <v>6490</v>
      </c>
      <c r="M116">
        <v>1</v>
      </c>
      <c r="N116" t="s">
        <v>6490</v>
      </c>
      <c r="O116" t="s">
        <v>6490</v>
      </c>
      <c r="P116">
        <v>1</v>
      </c>
      <c r="Q116" t="s">
        <v>6490</v>
      </c>
      <c r="R116" t="s">
        <v>6490</v>
      </c>
      <c r="S116" t="s">
        <v>6490</v>
      </c>
      <c r="T116">
        <v>1</v>
      </c>
      <c r="U116" t="s">
        <v>6490</v>
      </c>
      <c r="V116" t="s">
        <v>6490</v>
      </c>
      <c r="W116" t="s">
        <v>6490</v>
      </c>
      <c r="X116" t="s">
        <v>6490</v>
      </c>
      <c r="Y116" t="s">
        <v>6490</v>
      </c>
      <c r="Z116" t="s">
        <v>6490</v>
      </c>
      <c r="AA116" t="s">
        <v>6490</v>
      </c>
      <c r="AB116" t="s">
        <v>6490</v>
      </c>
      <c r="AC116" t="s">
        <v>6490</v>
      </c>
    </row>
    <row r="117" spans="1:29" x14ac:dyDescent="0.25">
      <c r="A117" t="s">
        <v>1970</v>
      </c>
      <c r="B117">
        <v>2</v>
      </c>
      <c r="C117" t="s">
        <v>6490</v>
      </c>
      <c r="D117" t="s">
        <v>6490</v>
      </c>
      <c r="E117" t="s">
        <v>6490</v>
      </c>
      <c r="F117">
        <v>1</v>
      </c>
      <c r="G117">
        <v>1</v>
      </c>
      <c r="H117" t="s">
        <v>6490</v>
      </c>
      <c r="I117">
        <v>1</v>
      </c>
      <c r="J117" t="s">
        <v>6490</v>
      </c>
      <c r="K117" t="s">
        <v>6490</v>
      </c>
      <c r="L117" t="s">
        <v>6490</v>
      </c>
      <c r="M117" t="s">
        <v>6490</v>
      </c>
      <c r="N117">
        <v>1</v>
      </c>
      <c r="O117" t="s">
        <v>6490</v>
      </c>
      <c r="P117">
        <v>1</v>
      </c>
      <c r="Q117" t="s">
        <v>6490</v>
      </c>
      <c r="R117" t="s">
        <v>6490</v>
      </c>
      <c r="S117" t="s">
        <v>6490</v>
      </c>
      <c r="T117" t="s">
        <v>6490</v>
      </c>
      <c r="U117">
        <v>1</v>
      </c>
      <c r="V117" t="s">
        <v>6490</v>
      </c>
      <c r="W117" t="s">
        <v>6490</v>
      </c>
      <c r="X117" t="s">
        <v>6490</v>
      </c>
      <c r="Y117" t="s">
        <v>6490</v>
      </c>
      <c r="Z117" t="s">
        <v>6490</v>
      </c>
      <c r="AA117" t="s">
        <v>6490</v>
      </c>
      <c r="AB117" t="s">
        <v>6490</v>
      </c>
      <c r="AC117" t="s">
        <v>6490</v>
      </c>
    </row>
    <row r="118" spans="1:29" x14ac:dyDescent="0.25">
      <c r="A118" t="s">
        <v>1974</v>
      </c>
      <c r="B118">
        <v>3</v>
      </c>
      <c r="C118" t="s">
        <v>6490</v>
      </c>
      <c r="D118" t="s">
        <v>6490</v>
      </c>
      <c r="E118">
        <v>2</v>
      </c>
      <c r="F118" t="s">
        <v>6490</v>
      </c>
      <c r="G118" t="s">
        <v>6490</v>
      </c>
      <c r="H118">
        <v>1</v>
      </c>
      <c r="I118">
        <v>1</v>
      </c>
      <c r="J118" t="s">
        <v>6490</v>
      </c>
      <c r="K118" t="s">
        <v>6490</v>
      </c>
      <c r="L118" t="s">
        <v>6490</v>
      </c>
      <c r="M118" t="s">
        <v>6490</v>
      </c>
      <c r="N118" t="s">
        <v>6490</v>
      </c>
      <c r="O118">
        <v>1</v>
      </c>
      <c r="P118">
        <v>1</v>
      </c>
      <c r="Q118" t="s">
        <v>6490</v>
      </c>
      <c r="R118" t="s">
        <v>6490</v>
      </c>
      <c r="S118" t="s">
        <v>6490</v>
      </c>
      <c r="T118" t="s">
        <v>6490</v>
      </c>
      <c r="U118" t="s">
        <v>6490</v>
      </c>
      <c r="V118">
        <v>1</v>
      </c>
      <c r="W118" t="s">
        <v>6490</v>
      </c>
      <c r="X118" t="s">
        <v>6490</v>
      </c>
      <c r="Y118" t="s">
        <v>6490</v>
      </c>
      <c r="Z118" t="s">
        <v>6490</v>
      </c>
      <c r="AA118" t="s">
        <v>6490</v>
      </c>
      <c r="AB118" t="s">
        <v>6490</v>
      </c>
      <c r="AC118" t="s">
        <v>6490</v>
      </c>
    </row>
    <row r="119" spans="1:29" x14ac:dyDescent="0.25">
      <c r="A119" t="s">
        <v>1979</v>
      </c>
      <c r="B119">
        <v>1</v>
      </c>
      <c r="C119" t="s">
        <v>6490</v>
      </c>
      <c r="D119" t="s">
        <v>6490</v>
      </c>
      <c r="E119" t="s">
        <v>6490</v>
      </c>
      <c r="F119">
        <v>1</v>
      </c>
      <c r="G119" t="s">
        <v>6490</v>
      </c>
      <c r="H119" t="s">
        <v>6490</v>
      </c>
      <c r="I119" t="s">
        <v>6490</v>
      </c>
      <c r="J119" t="s">
        <v>6490</v>
      </c>
      <c r="K119" t="s">
        <v>6490</v>
      </c>
      <c r="L119" t="s">
        <v>6490</v>
      </c>
      <c r="M119" t="s">
        <v>6490</v>
      </c>
      <c r="N119" t="s">
        <v>6490</v>
      </c>
      <c r="O119" t="s">
        <v>6490</v>
      </c>
      <c r="P119" t="s">
        <v>6490</v>
      </c>
      <c r="Q119" t="s">
        <v>6490</v>
      </c>
      <c r="R119" t="s">
        <v>6490</v>
      </c>
      <c r="S119" t="s">
        <v>6490</v>
      </c>
      <c r="T119" t="s">
        <v>6490</v>
      </c>
      <c r="U119" t="s">
        <v>6490</v>
      </c>
      <c r="V119" t="s">
        <v>6490</v>
      </c>
      <c r="W119" t="s">
        <v>6490</v>
      </c>
      <c r="X119" t="s">
        <v>6490</v>
      </c>
      <c r="Y119" t="s">
        <v>6490</v>
      </c>
      <c r="Z119" t="s">
        <v>6490</v>
      </c>
      <c r="AA119" t="s">
        <v>6490</v>
      </c>
      <c r="AB119" t="s">
        <v>6490</v>
      </c>
      <c r="AC119" t="s">
        <v>6490</v>
      </c>
    </row>
    <row r="120" spans="1:29" x14ac:dyDescent="0.25">
      <c r="A120" t="s">
        <v>51</v>
      </c>
      <c r="B120">
        <v>3</v>
      </c>
      <c r="C120" t="s">
        <v>6490</v>
      </c>
      <c r="D120">
        <v>1</v>
      </c>
      <c r="E120">
        <v>1</v>
      </c>
      <c r="F120">
        <v>1</v>
      </c>
      <c r="G120" t="s">
        <v>6490</v>
      </c>
      <c r="H120" t="s">
        <v>6490</v>
      </c>
      <c r="I120" t="s">
        <v>6490</v>
      </c>
      <c r="J120" t="s">
        <v>6490</v>
      </c>
      <c r="K120" t="s">
        <v>6490</v>
      </c>
      <c r="L120" t="s">
        <v>6490</v>
      </c>
      <c r="M120" t="s">
        <v>6490</v>
      </c>
      <c r="N120" t="s">
        <v>6490</v>
      </c>
      <c r="O120" t="s">
        <v>6490</v>
      </c>
      <c r="P120" t="s">
        <v>6490</v>
      </c>
      <c r="Q120" t="s">
        <v>6490</v>
      </c>
      <c r="R120" t="s">
        <v>6490</v>
      </c>
      <c r="S120" t="s">
        <v>6490</v>
      </c>
      <c r="T120" t="s">
        <v>6490</v>
      </c>
      <c r="U120" t="s">
        <v>6490</v>
      </c>
      <c r="V120" t="s">
        <v>6490</v>
      </c>
      <c r="W120" t="s">
        <v>6490</v>
      </c>
      <c r="X120" t="s">
        <v>6490</v>
      </c>
      <c r="Y120" t="s">
        <v>6490</v>
      </c>
      <c r="Z120" t="s">
        <v>6490</v>
      </c>
      <c r="AA120" t="s">
        <v>6490</v>
      </c>
      <c r="AB120" t="s">
        <v>6490</v>
      </c>
      <c r="AC120" t="s">
        <v>6490</v>
      </c>
    </row>
    <row r="121" spans="1:29" x14ac:dyDescent="0.25">
      <c r="A121" t="s">
        <v>2003</v>
      </c>
      <c r="B121">
        <v>16</v>
      </c>
      <c r="C121" t="s">
        <v>6490</v>
      </c>
      <c r="D121">
        <v>1</v>
      </c>
      <c r="E121">
        <v>5</v>
      </c>
      <c r="F121">
        <v>2</v>
      </c>
      <c r="G121">
        <v>1</v>
      </c>
      <c r="H121">
        <v>7</v>
      </c>
      <c r="I121">
        <v>5</v>
      </c>
      <c r="J121" t="s">
        <v>6490</v>
      </c>
      <c r="K121" t="s">
        <v>6490</v>
      </c>
      <c r="L121" t="s">
        <v>6490</v>
      </c>
      <c r="M121" t="s">
        <v>6490</v>
      </c>
      <c r="N121">
        <v>1</v>
      </c>
      <c r="O121">
        <v>4</v>
      </c>
      <c r="P121">
        <v>5</v>
      </c>
      <c r="Q121" t="s">
        <v>6490</v>
      </c>
      <c r="R121" t="s">
        <v>6490</v>
      </c>
      <c r="S121" t="s">
        <v>6490</v>
      </c>
      <c r="T121" t="s">
        <v>6490</v>
      </c>
      <c r="U121" t="s">
        <v>6490</v>
      </c>
      <c r="V121">
        <v>5</v>
      </c>
      <c r="W121" t="s">
        <v>6490</v>
      </c>
      <c r="X121" t="s">
        <v>6490</v>
      </c>
      <c r="Y121" t="s">
        <v>6490</v>
      </c>
      <c r="Z121" t="s">
        <v>6490</v>
      </c>
      <c r="AA121" t="s">
        <v>6490</v>
      </c>
      <c r="AB121" t="s">
        <v>6490</v>
      </c>
      <c r="AC121" t="s">
        <v>6490</v>
      </c>
    </row>
    <row r="122" spans="1:29" x14ac:dyDescent="0.25">
      <c r="A122" t="s">
        <v>2016</v>
      </c>
      <c r="B122" t="s">
        <v>6490</v>
      </c>
      <c r="C122" t="s">
        <v>6490</v>
      </c>
      <c r="D122" t="s">
        <v>6490</v>
      </c>
      <c r="E122" t="s">
        <v>6490</v>
      </c>
      <c r="F122" t="s">
        <v>6490</v>
      </c>
      <c r="G122" t="s">
        <v>6490</v>
      </c>
      <c r="H122" t="s">
        <v>6490</v>
      </c>
      <c r="I122" t="s">
        <v>6490</v>
      </c>
      <c r="J122" t="s">
        <v>6490</v>
      </c>
      <c r="K122" t="s">
        <v>6490</v>
      </c>
      <c r="L122" t="s">
        <v>6490</v>
      </c>
      <c r="M122" t="s">
        <v>6490</v>
      </c>
      <c r="N122" t="s">
        <v>6490</v>
      </c>
      <c r="O122" t="s">
        <v>6490</v>
      </c>
      <c r="P122" t="s">
        <v>6490</v>
      </c>
      <c r="Q122" t="s">
        <v>6490</v>
      </c>
      <c r="R122" t="s">
        <v>6490</v>
      </c>
      <c r="S122" t="s">
        <v>6490</v>
      </c>
      <c r="T122" t="s">
        <v>6490</v>
      </c>
      <c r="U122" t="s">
        <v>6490</v>
      </c>
      <c r="V122" t="s">
        <v>6490</v>
      </c>
      <c r="W122" t="s">
        <v>6490</v>
      </c>
      <c r="X122" t="s">
        <v>6490</v>
      </c>
      <c r="Y122" t="s">
        <v>6490</v>
      </c>
      <c r="Z122" t="s">
        <v>6490</v>
      </c>
      <c r="AA122" t="s">
        <v>6490</v>
      </c>
      <c r="AB122" t="s">
        <v>6490</v>
      </c>
      <c r="AC122" t="s">
        <v>6490</v>
      </c>
    </row>
    <row r="123" spans="1:29" x14ac:dyDescent="0.25">
      <c r="A123" t="s">
        <v>2023</v>
      </c>
      <c r="B123" t="s">
        <v>6490</v>
      </c>
      <c r="C123" t="s">
        <v>6490</v>
      </c>
      <c r="D123" t="s">
        <v>6490</v>
      </c>
      <c r="E123" t="s">
        <v>6490</v>
      </c>
      <c r="F123" t="s">
        <v>6490</v>
      </c>
      <c r="G123" t="s">
        <v>6490</v>
      </c>
      <c r="H123" t="s">
        <v>6490</v>
      </c>
      <c r="I123" t="s">
        <v>6490</v>
      </c>
      <c r="J123" t="s">
        <v>6490</v>
      </c>
      <c r="K123" t="s">
        <v>6490</v>
      </c>
      <c r="L123" t="s">
        <v>6490</v>
      </c>
      <c r="M123" t="s">
        <v>6490</v>
      </c>
      <c r="N123" t="s">
        <v>6490</v>
      </c>
      <c r="O123" t="s">
        <v>6490</v>
      </c>
      <c r="P123" t="s">
        <v>6490</v>
      </c>
      <c r="Q123" t="s">
        <v>6490</v>
      </c>
      <c r="R123" t="s">
        <v>6490</v>
      </c>
      <c r="S123" t="s">
        <v>6490</v>
      </c>
      <c r="T123" t="s">
        <v>6490</v>
      </c>
      <c r="U123" t="s">
        <v>6490</v>
      </c>
      <c r="V123" t="s">
        <v>6490</v>
      </c>
      <c r="W123" t="s">
        <v>6490</v>
      </c>
      <c r="X123" t="s">
        <v>6490</v>
      </c>
      <c r="Y123" t="s">
        <v>6490</v>
      </c>
      <c r="Z123" t="s">
        <v>6490</v>
      </c>
      <c r="AA123" t="s">
        <v>6490</v>
      </c>
      <c r="AB123" t="s">
        <v>6490</v>
      </c>
      <c r="AC123" t="s">
        <v>6490</v>
      </c>
    </row>
    <row r="124" spans="1:29" x14ac:dyDescent="0.25">
      <c r="A124" t="s">
        <v>2037</v>
      </c>
      <c r="B124">
        <v>2</v>
      </c>
      <c r="C124" t="s">
        <v>6490</v>
      </c>
      <c r="D124" t="s">
        <v>6490</v>
      </c>
      <c r="E124" t="s">
        <v>6490</v>
      </c>
      <c r="F124" t="s">
        <v>6490</v>
      </c>
      <c r="G124" t="s">
        <v>6490</v>
      </c>
      <c r="H124">
        <v>2</v>
      </c>
      <c r="I124">
        <v>2</v>
      </c>
      <c r="J124" t="s">
        <v>6490</v>
      </c>
      <c r="K124" t="s">
        <v>6490</v>
      </c>
      <c r="L124" t="s">
        <v>6490</v>
      </c>
      <c r="M124" t="s">
        <v>6490</v>
      </c>
      <c r="N124" t="s">
        <v>6490</v>
      </c>
      <c r="O124">
        <v>2</v>
      </c>
      <c r="P124">
        <v>1</v>
      </c>
      <c r="Q124" t="s">
        <v>6490</v>
      </c>
      <c r="R124" t="s">
        <v>6490</v>
      </c>
      <c r="S124" t="s">
        <v>6490</v>
      </c>
      <c r="T124" t="s">
        <v>6490</v>
      </c>
      <c r="U124" t="s">
        <v>6490</v>
      </c>
      <c r="V124">
        <v>1</v>
      </c>
      <c r="W124" t="s">
        <v>6490</v>
      </c>
      <c r="X124" t="s">
        <v>6490</v>
      </c>
      <c r="Y124" t="s">
        <v>6490</v>
      </c>
      <c r="Z124" t="s">
        <v>6490</v>
      </c>
      <c r="AA124" t="s">
        <v>6490</v>
      </c>
      <c r="AB124" t="s">
        <v>6490</v>
      </c>
      <c r="AC124" t="s">
        <v>6490</v>
      </c>
    </row>
    <row r="125" spans="1:29" x14ac:dyDescent="0.25">
      <c r="A125" t="s">
        <v>2044</v>
      </c>
      <c r="B125">
        <v>2</v>
      </c>
      <c r="C125" t="s">
        <v>6490</v>
      </c>
      <c r="D125" t="s">
        <v>6490</v>
      </c>
      <c r="E125" t="s">
        <v>6490</v>
      </c>
      <c r="F125">
        <v>1</v>
      </c>
      <c r="G125" t="s">
        <v>6490</v>
      </c>
      <c r="H125">
        <v>1</v>
      </c>
      <c r="I125">
        <v>2</v>
      </c>
      <c r="J125" t="s">
        <v>6490</v>
      </c>
      <c r="K125" t="s">
        <v>6490</v>
      </c>
      <c r="L125" t="s">
        <v>6490</v>
      </c>
      <c r="M125">
        <v>1</v>
      </c>
      <c r="N125" t="s">
        <v>6490</v>
      </c>
      <c r="O125">
        <v>1</v>
      </c>
      <c r="P125">
        <v>2</v>
      </c>
      <c r="Q125" t="s">
        <v>6490</v>
      </c>
      <c r="R125" t="s">
        <v>6490</v>
      </c>
      <c r="S125" t="s">
        <v>6490</v>
      </c>
      <c r="T125">
        <v>1</v>
      </c>
      <c r="U125" t="s">
        <v>6490</v>
      </c>
      <c r="V125">
        <v>1</v>
      </c>
      <c r="W125" t="s">
        <v>6490</v>
      </c>
      <c r="X125" t="s">
        <v>6490</v>
      </c>
      <c r="Y125" t="s">
        <v>6490</v>
      </c>
      <c r="Z125" t="s">
        <v>6490</v>
      </c>
      <c r="AA125" t="s">
        <v>6490</v>
      </c>
      <c r="AB125" t="s">
        <v>6490</v>
      </c>
      <c r="AC125" t="s">
        <v>6490</v>
      </c>
    </row>
    <row r="126" spans="1:29" x14ac:dyDescent="0.25">
      <c r="A126" t="s">
        <v>2053</v>
      </c>
      <c r="B126">
        <v>11</v>
      </c>
      <c r="C126">
        <v>1</v>
      </c>
      <c r="D126">
        <v>2</v>
      </c>
      <c r="E126">
        <v>2</v>
      </c>
      <c r="F126">
        <v>5</v>
      </c>
      <c r="G126" t="s">
        <v>6490</v>
      </c>
      <c r="H126">
        <v>1</v>
      </c>
      <c r="I126">
        <v>6</v>
      </c>
      <c r="J126" t="s">
        <v>6490</v>
      </c>
      <c r="K126" t="s">
        <v>6490</v>
      </c>
      <c r="L126">
        <v>1</v>
      </c>
      <c r="M126">
        <v>4</v>
      </c>
      <c r="N126" t="s">
        <v>6490</v>
      </c>
      <c r="O126">
        <v>1</v>
      </c>
      <c r="P126">
        <v>1</v>
      </c>
      <c r="Q126" t="s">
        <v>6490</v>
      </c>
      <c r="R126" t="s">
        <v>6490</v>
      </c>
      <c r="S126" t="s">
        <v>6490</v>
      </c>
      <c r="T126" t="s">
        <v>6490</v>
      </c>
      <c r="U126" t="s">
        <v>6490</v>
      </c>
      <c r="V126">
        <v>1</v>
      </c>
      <c r="W126">
        <v>3</v>
      </c>
      <c r="X126" t="s">
        <v>6490</v>
      </c>
      <c r="Y126" t="s">
        <v>6490</v>
      </c>
      <c r="Z126">
        <v>1</v>
      </c>
      <c r="AA126">
        <v>2</v>
      </c>
      <c r="AB126" t="s">
        <v>6490</v>
      </c>
      <c r="AC126" t="s">
        <v>6490</v>
      </c>
    </row>
    <row r="127" spans="1:29" x14ac:dyDescent="0.25">
      <c r="A127" t="s">
        <v>2073</v>
      </c>
      <c r="B127">
        <v>5</v>
      </c>
      <c r="C127" t="s">
        <v>6490</v>
      </c>
      <c r="D127">
        <v>1</v>
      </c>
      <c r="E127">
        <v>1</v>
      </c>
      <c r="F127">
        <v>1</v>
      </c>
      <c r="G127">
        <v>1</v>
      </c>
      <c r="H127">
        <v>1</v>
      </c>
      <c r="I127">
        <v>3</v>
      </c>
      <c r="J127" t="s">
        <v>6490</v>
      </c>
      <c r="K127" t="s">
        <v>6490</v>
      </c>
      <c r="L127" t="s">
        <v>6490</v>
      </c>
      <c r="M127">
        <v>1</v>
      </c>
      <c r="N127">
        <v>1</v>
      </c>
      <c r="O127">
        <v>1</v>
      </c>
      <c r="P127">
        <v>2</v>
      </c>
      <c r="Q127" t="s">
        <v>6490</v>
      </c>
      <c r="R127" t="s">
        <v>6490</v>
      </c>
      <c r="S127" t="s">
        <v>6490</v>
      </c>
      <c r="T127">
        <v>1</v>
      </c>
      <c r="U127" t="s">
        <v>6490</v>
      </c>
      <c r="V127">
        <v>1</v>
      </c>
      <c r="W127" t="s">
        <v>6490</v>
      </c>
      <c r="X127" t="s">
        <v>6490</v>
      </c>
      <c r="Y127" t="s">
        <v>6490</v>
      </c>
      <c r="Z127" t="s">
        <v>6490</v>
      </c>
      <c r="AA127" t="s">
        <v>6490</v>
      </c>
      <c r="AB127" t="s">
        <v>6490</v>
      </c>
      <c r="AC127" t="s">
        <v>6490</v>
      </c>
    </row>
    <row r="128" spans="1:29" x14ac:dyDescent="0.25">
      <c r="A128" t="s">
        <v>2084</v>
      </c>
      <c r="B128">
        <v>5</v>
      </c>
      <c r="C128" t="s">
        <v>6490</v>
      </c>
      <c r="D128" t="s">
        <v>6490</v>
      </c>
      <c r="E128">
        <v>2</v>
      </c>
      <c r="F128">
        <v>1</v>
      </c>
      <c r="G128" t="s">
        <v>6490</v>
      </c>
      <c r="H128">
        <v>2</v>
      </c>
      <c r="I128">
        <v>3</v>
      </c>
      <c r="J128" t="s">
        <v>6490</v>
      </c>
      <c r="K128" t="s">
        <v>6490</v>
      </c>
      <c r="L128">
        <v>1</v>
      </c>
      <c r="M128" t="s">
        <v>6490</v>
      </c>
      <c r="N128" t="s">
        <v>6490</v>
      </c>
      <c r="O128">
        <v>2</v>
      </c>
      <c r="P128">
        <v>3</v>
      </c>
      <c r="Q128" t="s">
        <v>6490</v>
      </c>
      <c r="R128" t="s">
        <v>6490</v>
      </c>
      <c r="S128">
        <v>1</v>
      </c>
      <c r="T128" t="s">
        <v>6490</v>
      </c>
      <c r="U128" t="s">
        <v>6490</v>
      </c>
      <c r="V128">
        <v>2</v>
      </c>
      <c r="W128" t="s">
        <v>6490</v>
      </c>
      <c r="X128" t="s">
        <v>6490</v>
      </c>
      <c r="Y128" t="s">
        <v>6490</v>
      </c>
      <c r="Z128" t="s">
        <v>6490</v>
      </c>
      <c r="AA128" t="s">
        <v>6490</v>
      </c>
      <c r="AB128" t="s">
        <v>6490</v>
      </c>
      <c r="AC128" t="s">
        <v>6490</v>
      </c>
    </row>
    <row r="129" spans="1:29" x14ac:dyDescent="0.25">
      <c r="A129" t="s">
        <v>2089</v>
      </c>
      <c r="B129">
        <v>19</v>
      </c>
      <c r="C129">
        <v>1</v>
      </c>
      <c r="D129">
        <v>4</v>
      </c>
      <c r="E129">
        <v>2</v>
      </c>
      <c r="F129">
        <v>8</v>
      </c>
      <c r="G129">
        <v>4</v>
      </c>
      <c r="H129" t="s">
        <v>6490</v>
      </c>
      <c r="I129">
        <v>5</v>
      </c>
      <c r="J129">
        <v>1</v>
      </c>
      <c r="K129" t="s">
        <v>6490</v>
      </c>
      <c r="L129" t="s">
        <v>6490</v>
      </c>
      <c r="M129">
        <v>3</v>
      </c>
      <c r="N129">
        <v>1</v>
      </c>
      <c r="O129" t="s">
        <v>6490</v>
      </c>
      <c r="P129">
        <v>1</v>
      </c>
      <c r="Q129" t="s">
        <v>6490</v>
      </c>
      <c r="R129" t="s">
        <v>6490</v>
      </c>
      <c r="S129" t="s">
        <v>6490</v>
      </c>
      <c r="T129" t="s">
        <v>6490</v>
      </c>
      <c r="U129">
        <v>1</v>
      </c>
      <c r="V129" t="s">
        <v>6490</v>
      </c>
      <c r="W129" t="s">
        <v>6490</v>
      </c>
      <c r="X129" t="s">
        <v>6490</v>
      </c>
      <c r="Y129" t="s">
        <v>6490</v>
      </c>
      <c r="Z129" t="s">
        <v>6490</v>
      </c>
      <c r="AA129" t="s">
        <v>6490</v>
      </c>
      <c r="AB129" t="s">
        <v>6490</v>
      </c>
      <c r="AC129" t="s">
        <v>6490</v>
      </c>
    </row>
    <row r="130" spans="1:29" x14ac:dyDescent="0.25">
      <c r="A130" t="s">
        <v>2146</v>
      </c>
      <c r="B130">
        <v>6</v>
      </c>
      <c r="C130">
        <v>1</v>
      </c>
      <c r="D130">
        <v>1</v>
      </c>
      <c r="E130">
        <v>2</v>
      </c>
      <c r="F130">
        <v>2</v>
      </c>
      <c r="G130" t="s">
        <v>6490</v>
      </c>
      <c r="H130" t="s">
        <v>6490</v>
      </c>
      <c r="I130" t="s">
        <v>6490</v>
      </c>
      <c r="J130" t="s">
        <v>6490</v>
      </c>
      <c r="K130" t="s">
        <v>6490</v>
      </c>
      <c r="L130" t="s">
        <v>6490</v>
      </c>
      <c r="M130" t="s">
        <v>6490</v>
      </c>
      <c r="N130" t="s">
        <v>6490</v>
      </c>
      <c r="O130" t="s">
        <v>6490</v>
      </c>
      <c r="P130" t="s">
        <v>6490</v>
      </c>
      <c r="Q130" t="s">
        <v>6490</v>
      </c>
      <c r="R130" t="s">
        <v>6490</v>
      </c>
      <c r="S130" t="s">
        <v>6490</v>
      </c>
      <c r="T130" t="s">
        <v>6490</v>
      </c>
      <c r="U130" t="s">
        <v>6490</v>
      </c>
      <c r="V130" t="s">
        <v>6490</v>
      </c>
      <c r="W130" t="s">
        <v>6490</v>
      </c>
      <c r="X130" t="s">
        <v>6490</v>
      </c>
      <c r="Y130" t="s">
        <v>6490</v>
      </c>
      <c r="Z130" t="s">
        <v>6490</v>
      </c>
      <c r="AA130" t="s">
        <v>6490</v>
      </c>
      <c r="AB130" t="s">
        <v>6490</v>
      </c>
      <c r="AC130" t="s">
        <v>6490</v>
      </c>
    </row>
    <row r="131" spans="1:29" x14ac:dyDescent="0.25">
      <c r="A131" t="s">
        <v>2155</v>
      </c>
      <c r="B131">
        <v>6</v>
      </c>
      <c r="C131">
        <v>1</v>
      </c>
      <c r="D131" t="s">
        <v>6490</v>
      </c>
      <c r="E131">
        <v>2</v>
      </c>
      <c r="F131">
        <v>1</v>
      </c>
      <c r="G131">
        <v>1</v>
      </c>
      <c r="H131">
        <v>1</v>
      </c>
      <c r="I131">
        <v>2</v>
      </c>
      <c r="J131" t="s">
        <v>6490</v>
      </c>
      <c r="K131" t="s">
        <v>6490</v>
      </c>
      <c r="L131" t="s">
        <v>6490</v>
      </c>
      <c r="M131" t="s">
        <v>6490</v>
      </c>
      <c r="N131">
        <v>1</v>
      </c>
      <c r="O131">
        <v>1</v>
      </c>
      <c r="P131">
        <v>2</v>
      </c>
      <c r="Q131" t="s">
        <v>6490</v>
      </c>
      <c r="R131" t="s">
        <v>6490</v>
      </c>
      <c r="S131" t="s">
        <v>6490</v>
      </c>
      <c r="T131" t="s">
        <v>6490</v>
      </c>
      <c r="U131">
        <v>1</v>
      </c>
      <c r="V131">
        <v>1</v>
      </c>
      <c r="W131">
        <v>3</v>
      </c>
      <c r="X131" t="s">
        <v>6490</v>
      </c>
      <c r="Y131" t="s">
        <v>6490</v>
      </c>
      <c r="Z131">
        <v>2</v>
      </c>
      <c r="AA131">
        <v>1</v>
      </c>
      <c r="AB131" t="s">
        <v>6490</v>
      </c>
      <c r="AC131" t="s">
        <v>6490</v>
      </c>
    </row>
    <row r="132" spans="1:29" x14ac:dyDescent="0.25">
      <c r="A132" t="s">
        <v>2166</v>
      </c>
      <c r="B132">
        <v>3</v>
      </c>
      <c r="C132" t="s">
        <v>6490</v>
      </c>
      <c r="D132" t="s">
        <v>6490</v>
      </c>
      <c r="E132">
        <v>1</v>
      </c>
      <c r="F132" t="s">
        <v>6490</v>
      </c>
      <c r="G132">
        <v>1</v>
      </c>
      <c r="H132">
        <v>1</v>
      </c>
      <c r="I132">
        <v>3</v>
      </c>
      <c r="J132" t="s">
        <v>6490</v>
      </c>
      <c r="K132" t="s">
        <v>6490</v>
      </c>
      <c r="L132">
        <v>1</v>
      </c>
      <c r="M132" t="s">
        <v>6490</v>
      </c>
      <c r="N132">
        <v>1</v>
      </c>
      <c r="O132">
        <v>1</v>
      </c>
      <c r="P132">
        <v>2</v>
      </c>
      <c r="Q132" t="s">
        <v>6490</v>
      </c>
      <c r="R132" t="s">
        <v>6490</v>
      </c>
      <c r="S132" t="s">
        <v>6490</v>
      </c>
      <c r="T132" t="s">
        <v>6490</v>
      </c>
      <c r="U132">
        <v>1</v>
      </c>
      <c r="V132">
        <v>1</v>
      </c>
      <c r="W132" t="s">
        <v>6490</v>
      </c>
      <c r="X132" t="s">
        <v>6490</v>
      </c>
      <c r="Y132" t="s">
        <v>6490</v>
      </c>
      <c r="Z132" t="s">
        <v>6490</v>
      </c>
      <c r="AA132" t="s">
        <v>6490</v>
      </c>
      <c r="AB132" t="s">
        <v>6490</v>
      </c>
      <c r="AC132" t="s">
        <v>6490</v>
      </c>
    </row>
    <row r="133" spans="1:29" x14ac:dyDescent="0.25">
      <c r="A133" t="s">
        <v>2171</v>
      </c>
      <c r="B133">
        <v>5</v>
      </c>
      <c r="C133">
        <v>2</v>
      </c>
      <c r="D133" t="s">
        <v>6490</v>
      </c>
      <c r="E133">
        <v>2</v>
      </c>
      <c r="F133" t="s">
        <v>6490</v>
      </c>
      <c r="G133">
        <v>1</v>
      </c>
      <c r="H133" t="s">
        <v>6490</v>
      </c>
      <c r="I133" t="s">
        <v>6490</v>
      </c>
      <c r="J133" t="s">
        <v>6490</v>
      </c>
      <c r="K133" t="s">
        <v>6490</v>
      </c>
      <c r="L133" t="s">
        <v>6490</v>
      </c>
      <c r="M133" t="s">
        <v>6490</v>
      </c>
      <c r="N133" t="s">
        <v>6490</v>
      </c>
      <c r="O133" t="s">
        <v>6490</v>
      </c>
      <c r="P133" t="s">
        <v>6490</v>
      </c>
      <c r="Q133" t="s">
        <v>6490</v>
      </c>
      <c r="R133" t="s">
        <v>6490</v>
      </c>
      <c r="S133" t="s">
        <v>6490</v>
      </c>
      <c r="T133" t="s">
        <v>6490</v>
      </c>
      <c r="U133" t="s">
        <v>6490</v>
      </c>
      <c r="V133" t="s">
        <v>6490</v>
      </c>
      <c r="W133" t="s">
        <v>6490</v>
      </c>
      <c r="X133" t="s">
        <v>6490</v>
      </c>
      <c r="Y133" t="s">
        <v>6490</v>
      </c>
      <c r="Z133" t="s">
        <v>6490</v>
      </c>
      <c r="AA133" t="s">
        <v>6490</v>
      </c>
      <c r="AB133" t="s">
        <v>6490</v>
      </c>
      <c r="AC133" t="s">
        <v>6490</v>
      </c>
    </row>
    <row r="134" spans="1:29" x14ac:dyDescent="0.25">
      <c r="A134" t="s">
        <v>2182</v>
      </c>
      <c r="B134">
        <v>3</v>
      </c>
      <c r="C134" t="s">
        <v>6490</v>
      </c>
      <c r="D134" t="s">
        <v>6490</v>
      </c>
      <c r="E134" t="s">
        <v>6490</v>
      </c>
      <c r="F134">
        <v>3</v>
      </c>
      <c r="G134" t="s">
        <v>6490</v>
      </c>
      <c r="H134" t="s">
        <v>6490</v>
      </c>
      <c r="I134" t="s">
        <v>6490</v>
      </c>
      <c r="J134" t="s">
        <v>6490</v>
      </c>
      <c r="K134" t="s">
        <v>6490</v>
      </c>
      <c r="L134" t="s">
        <v>6490</v>
      </c>
      <c r="M134" t="s">
        <v>6490</v>
      </c>
      <c r="N134" t="s">
        <v>6490</v>
      </c>
      <c r="O134" t="s">
        <v>6490</v>
      </c>
      <c r="P134">
        <v>3</v>
      </c>
      <c r="Q134" t="s">
        <v>6490</v>
      </c>
      <c r="R134" t="s">
        <v>6490</v>
      </c>
      <c r="S134" t="s">
        <v>6490</v>
      </c>
      <c r="T134">
        <v>3</v>
      </c>
      <c r="U134" t="s">
        <v>6490</v>
      </c>
      <c r="V134" t="s">
        <v>6490</v>
      </c>
      <c r="W134" t="s">
        <v>6490</v>
      </c>
      <c r="X134" t="s">
        <v>6490</v>
      </c>
      <c r="Y134" t="s">
        <v>6490</v>
      </c>
      <c r="Z134" t="s">
        <v>6490</v>
      </c>
      <c r="AA134" t="s">
        <v>6490</v>
      </c>
      <c r="AB134" t="s">
        <v>6490</v>
      </c>
      <c r="AC134" t="s">
        <v>6490</v>
      </c>
    </row>
    <row r="135" spans="1:29" x14ac:dyDescent="0.25">
      <c r="A135" t="s">
        <v>2187</v>
      </c>
      <c r="B135">
        <v>6</v>
      </c>
      <c r="C135" t="s">
        <v>6490</v>
      </c>
      <c r="D135">
        <v>1</v>
      </c>
      <c r="E135">
        <v>4</v>
      </c>
      <c r="F135" t="s">
        <v>6490</v>
      </c>
      <c r="G135" t="s">
        <v>6490</v>
      </c>
      <c r="H135">
        <v>1</v>
      </c>
      <c r="I135">
        <v>3</v>
      </c>
      <c r="J135" t="s">
        <v>6490</v>
      </c>
      <c r="K135">
        <v>1</v>
      </c>
      <c r="L135">
        <v>1</v>
      </c>
      <c r="M135" t="s">
        <v>6490</v>
      </c>
      <c r="N135" t="s">
        <v>6490</v>
      </c>
      <c r="O135">
        <v>1</v>
      </c>
      <c r="P135">
        <v>2</v>
      </c>
      <c r="Q135" t="s">
        <v>6490</v>
      </c>
      <c r="R135" t="s">
        <v>6490</v>
      </c>
      <c r="S135">
        <v>1</v>
      </c>
      <c r="T135" t="s">
        <v>6490</v>
      </c>
      <c r="U135" t="s">
        <v>6490</v>
      </c>
      <c r="V135">
        <v>1</v>
      </c>
      <c r="W135" t="s">
        <v>6490</v>
      </c>
      <c r="X135" t="s">
        <v>6490</v>
      </c>
      <c r="Y135" t="s">
        <v>6490</v>
      </c>
      <c r="Z135" t="s">
        <v>6490</v>
      </c>
      <c r="AA135" t="s">
        <v>6490</v>
      </c>
      <c r="AB135" t="s">
        <v>6490</v>
      </c>
      <c r="AC135" t="s">
        <v>6490</v>
      </c>
    </row>
    <row r="136" spans="1:29" x14ac:dyDescent="0.25">
      <c r="A136" t="s">
        <v>2211</v>
      </c>
      <c r="B136">
        <v>4</v>
      </c>
      <c r="C136" t="s">
        <v>6490</v>
      </c>
      <c r="D136" t="s">
        <v>6490</v>
      </c>
      <c r="E136">
        <v>1</v>
      </c>
      <c r="F136">
        <v>2</v>
      </c>
      <c r="G136" t="s">
        <v>6490</v>
      </c>
      <c r="H136">
        <v>1</v>
      </c>
      <c r="I136">
        <v>2</v>
      </c>
      <c r="J136" t="s">
        <v>6490</v>
      </c>
      <c r="K136" t="s">
        <v>6490</v>
      </c>
      <c r="L136" t="s">
        <v>6490</v>
      </c>
      <c r="M136">
        <v>1</v>
      </c>
      <c r="N136" t="s">
        <v>6490</v>
      </c>
      <c r="O136">
        <v>1</v>
      </c>
      <c r="P136">
        <v>1</v>
      </c>
      <c r="Q136" t="s">
        <v>6490</v>
      </c>
      <c r="R136" t="s">
        <v>6490</v>
      </c>
      <c r="S136" t="s">
        <v>6490</v>
      </c>
      <c r="T136" t="s">
        <v>6490</v>
      </c>
      <c r="U136" t="s">
        <v>6490</v>
      </c>
      <c r="V136">
        <v>1</v>
      </c>
      <c r="W136" t="s">
        <v>6490</v>
      </c>
      <c r="X136" t="s">
        <v>6490</v>
      </c>
      <c r="Y136" t="s">
        <v>6490</v>
      </c>
      <c r="Z136" t="s">
        <v>6490</v>
      </c>
      <c r="AA136" t="s">
        <v>6490</v>
      </c>
      <c r="AB136" t="s">
        <v>6490</v>
      </c>
      <c r="AC136" t="s">
        <v>6490</v>
      </c>
    </row>
    <row r="137" spans="1:29" x14ac:dyDescent="0.25">
      <c r="A137" t="s">
        <v>6550</v>
      </c>
      <c r="B137">
        <v>172</v>
      </c>
      <c r="C137">
        <v>14</v>
      </c>
      <c r="D137">
        <v>30</v>
      </c>
      <c r="E137">
        <v>33</v>
      </c>
      <c r="F137">
        <v>50</v>
      </c>
      <c r="G137">
        <v>19</v>
      </c>
      <c r="H137">
        <v>26</v>
      </c>
      <c r="I137">
        <v>59</v>
      </c>
      <c r="J137">
        <v>2</v>
      </c>
      <c r="K137">
        <v>3</v>
      </c>
      <c r="L137">
        <v>4</v>
      </c>
      <c r="M137">
        <v>23</v>
      </c>
      <c r="N137">
        <v>7</v>
      </c>
      <c r="O137">
        <v>20</v>
      </c>
      <c r="P137">
        <v>42</v>
      </c>
      <c r="Q137" t="s">
        <v>6490</v>
      </c>
      <c r="R137">
        <v>1</v>
      </c>
      <c r="S137">
        <v>3</v>
      </c>
      <c r="T137">
        <v>11</v>
      </c>
      <c r="U137">
        <v>7</v>
      </c>
      <c r="V137">
        <v>20</v>
      </c>
      <c r="W137">
        <v>16</v>
      </c>
      <c r="X137" t="s">
        <v>6490</v>
      </c>
      <c r="Y137">
        <v>2</v>
      </c>
      <c r="Z137">
        <v>3</v>
      </c>
      <c r="AA137">
        <v>9</v>
      </c>
      <c r="AB137">
        <v>2</v>
      </c>
      <c r="AC137" t="s">
        <v>6490</v>
      </c>
    </row>
    <row r="138" spans="1:29" x14ac:dyDescent="0.25">
      <c r="A138" t="s">
        <v>490</v>
      </c>
      <c r="B138">
        <v>30</v>
      </c>
      <c r="C138">
        <v>3</v>
      </c>
      <c r="D138">
        <v>4</v>
      </c>
      <c r="E138">
        <v>5</v>
      </c>
      <c r="F138">
        <v>5</v>
      </c>
      <c r="G138">
        <v>3</v>
      </c>
      <c r="H138">
        <v>10</v>
      </c>
      <c r="I138">
        <v>22</v>
      </c>
      <c r="J138">
        <v>1</v>
      </c>
      <c r="K138">
        <v>2</v>
      </c>
      <c r="L138">
        <v>3</v>
      </c>
      <c r="M138">
        <v>3</v>
      </c>
      <c r="N138">
        <v>3</v>
      </c>
      <c r="O138">
        <v>10</v>
      </c>
      <c r="P138">
        <v>17</v>
      </c>
      <c r="Q138" t="s">
        <v>6490</v>
      </c>
      <c r="R138" t="s">
        <v>6490</v>
      </c>
      <c r="S138">
        <v>1</v>
      </c>
      <c r="T138">
        <v>4</v>
      </c>
      <c r="U138">
        <v>2</v>
      </c>
      <c r="V138">
        <v>10</v>
      </c>
      <c r="W138">
        <v>9</v>
      </c>
      <c r="X138">
        <v>1</v>
      </c>
      <c r="Y138">
        <v>2</v>
      </c>
      <c r="Z138">
        <v>2</v>
      </c>
      <c r="AA138">
        <v>1</v>
      </c>
      <c r="AB138">
        <v>1</v>
      </c>
      <c r="AC138">
        <v>2</v>
      </c>
    </row>
    <row r="139" spans="1:29" x14ac:dyDescent="0.25">
      <c r="A139" t="s">
        <v>2287</v>
      </c>
      <c r="B139">
        <v>15</v>
      </c>
      <c r="C139" t="s">
        <v>6490</v>
      </c>
      <c r="D139">
        <v>2</v>
      </c>
      <c r="E139" t="s">
        <v>6490</v>
      </c>
      <c r="F139">
        <v>6</v>
      </c>
      <c r="G139">
        <v>2</v>
      </c>
      <c r="H139">
        <v>5</v>
      </c>
      <c r="I139">
        <v>9</v>
      </c>
      <c r="J139" t="s">
        <v>6490</v>
      </c>
      <c r="K139" t="s">
        <v>6490</v>
      </c>
      <c r="L139" t="s">
        <v>6490</v>
      </c>
      <c r="M139">
        <v>2</v>
      </c>
      <c r="N139">
        <v>2</v>
      </c>
      <c r="O139">
        <v>5</v>
      </c>
      <c r="P139">
        <v>9</v>
      </c>
      <c r="Q139" t="s">
        <v>6490</v>
      </c>
      <c r="R139" t="s">
        <v>6490</v>
      </c>
      <c r="S139" t="s">
        <v>6490</v>
      </c>
      <c r="T139">
        <v>2</v>
      </c>
      <c r="U139">
        <v>2</v>
      </c>
      <c r="V139">
        <v>5</v>
      </c>
      <c r="W139">
        <v>2</v>
      </c>
      <c r="X139" t="s">
        <v>6490</v>
      </c>
      <c r="Y139" t="s">
        <v>6490</v>
      </c>
      <c r="Z139" t="s">
        <v>6490</v>
      </c>
      <c r="AA139">
        <v>2</v>
      </c>
      <c r="AB139" t="s">
        <v>6490</v>
      </c>
      <c r="AC139" t="s">
        <v>6490</v>
      </c>
    </row>
    <row r="140" spans="1:29" x14ac:dyDescent="0.25">
      <c r="A140" t="s">
        <v>2353</v>
      </c>
      <c r="B140">
        <v>4</v>
      </c>
      <c r="C140" t="s">
        <v>6490</v>
      </c>
      <c r="D140" t="s">
        <v>6490</v>
      </c>
      <c r="E140" t="s">
        <v>6490</v>
      </c>
      <c r="F140">
        <v>1</v>
      </c>
      <c r="G140">
        <v>3</v>
      </c>
      <c r="H140" t="s">
        <v>6490</v>
      </c>
      <c r="I140" t="s">
        <v>6490</v>
      </c>
      <c r="J140" t="s">
        <v>6490</v>
      </c>
      <c r="K140" t="s">
        <v>6490</v>
      </c>
      <c r="L140" t="s">
        <v>6490</v>
      </c>
      <c r="M140" t="s">
        <v>6490</v>
      </c>
      <c r="N140" t="s">
        <v>6490</v>
      </c>
      <c r="O140" t="s">
        <v>6490</v>
      </c>
      <c r="P140">
        <v>4</v>
      </c>
      <c r="Q140" t="s">
        <v>6490</v>
      </c>
      <c r="R140" t="s">
        <v>6490</v>
      </c>
      <c r="S140" t="s">
        <v>6490</v>
      </c>
      <c r="T140">
        <v>1</v>
      </c>
      <c r="U140">
        <v>3</v>
      </c>
      <c r="V140" t="s">
        <v>6490</v>
      </c>
      <c r="W140" t="s">
        <v>6490</v>
      </c>
      <c r="X140" t="s">
        <v>6490</v>
      </c>
      <c r="Y140" t="s">
        <v>6490</v>
      </c>
      <c r="Z140" t="s">
        <v>6490</v>
      </c>
      <c r="AA140" t="s">
        <v>6490</v>
      </c>
      <c r="AB140" t="s">
        <v>6490</v>
      </c>
      <c r="AC140" t="s">
        <v>6490</v>
      </c>
    </row>
    <row r="141" spans="1:29" x14ac:dyDescent="0.25">
      <c r="A141" t="s">
        <v>2357</v>
      </c>
      <c r="B141">
        <v>7</v>
      </c>
      <c r="C141" t="s">
        <v>6490</v>
      </c>
      <c r="D141" t="s">
        <v>6490</v>
      </c>
      <c r="E141" t="s">
        <v>6490</v>
      </c>
      <c r="F141">
        <v>6</v>
      </c>
      <c r="G141">
        <v>1</v>
      </c>
      <c r="H141" t="s">
        <v>6490</v>
      </c>
      <c r="I141">
        <v>1</v>
      </c>
      <c r="J141" t="s">
        <v>6490</v>
      </c>
      <c r="K141" t="s">
        <v>6490</v>
      </c>
      <c r="L141" t="s">
        <v>6490</v>
      </c>
      <c r="M141" t="s">
        <v>6490</v>
      </c>
      <c r="N141">
        <v>1</v>
      </c>
      <c r="O141" t="s">
        <v>6490</v>
      </c>
      <c r="P141">
        <v>1</v>
      </c>
      <c r="Q141" t="s">
        <v>6490</v>
      </c>
      <c r="R141" t="s">
        <v>6490</v>
      </c>
      <c r="S141" t="s">
        <v>6490</v>
      </c>
      <c r="T141">
        <v>1</v>
      </c>
      <c r="U141" t="s">
        <v>6490</v>
      </c>
      <c r="V141" t="s">
        <v>6490</v>
      </c>
      <c r="W141" t="s">
        <v>6490</v>
      </c>
      <c r="X141" t="s">
        <v>6490</v>
      </c>
      <c r="Y141" t="s">
        <v>6490</v>
      </c>
      <c r="Z141" t="s">
        <v>6490</v>
      </c>
      <c r="AA141" t="s">
        <v>6490</v>
      </c>
      <c r="AB141" t="s">
        <v>6490</v>
      </c>
      <c r="AC141" t="s">
        <v>6490</v>
      </c>
    </row>
    <row r="142" spans="1:29" x14ac:dyDescent="0.25">
      <c r="A142" t="s">
        <v>2365</v>
      </c>
      <c r="B142">
        <v>11</v>
      </c>
      <c r="C142">
        <v>2</v>
      </c>
      <c r="D142">
        <v>1</v>
      </c>
      <c r="E142">
        <v>4</v>
      </c>
      <c r="F142">
        <v>2</v>
      </c>
      <c r="G142">
        <v>2</v>
      </c>
      <c r="H142" t="s">
        <v>6490</v>
      </c>
      <c r="I142">
        <v>2</v>
      </c>
      <c r="J142" t="s">
        <v>6490</v>
      </c>
      <c r="K142" t="s">
        <v>6490</v>
      </c>
      <c r="L142">
        <v>1</v>
      </c>
      <c r="M142">
        <v>1</v>
      </c>
      <c r="N142" t="s">
        <v>6490</v>
      </c>
      <c r="O142" t="s">
        <v>6490</v>
      </c>
      <c r="P142">
        <v>5</v>
      </c>
      <c r="Q142" t="s">
        <v>6490</v>
      </c>
      <c r="R142" t="s">
        <v>6490</v>
      </c>
      <c r="S142">
        <v>2</v>
      </c>
      <c r="T142">
        <v>1</v>
      </c>
      <c r="U142">
        <v>2</v>
      </c>
      <c r="V142" t="s">
        <v>6490</v>
      </c>
      <c r="W142" t="s">
        <v>6490</v>
      </c>
      <c r="X142" t="s">
        <v>6490</v>
      </c>
      <c r="Y142" t="s">
        <v>6490</v>
      </c>
      <c r="Z142" t="s">
        <v>6490</v>
      </c>
      <c r="AA142" t="s">
        <v>6490</v>
      </c>
      <c r="AB142" t="s">
        <v>6490</v>
      </c>
      <c r="AC142" t="s">
        <v>6490</v>
      </c>
    </row>
    <row r="143" spans="1:29" x14ac:dyDescent="0.25">
      <c r="A143" t="s">
        <v>2376</v>
      </c>
      <c r="B143">
        <v>12</v>
      </c>
      <c r="C143" t="s">
        <v>6490</v>
      </c>
      <c r="D143">
        <v>2</v>
      </c>
      <c r="E143">
        <v>1</v>
      </c>
      <c r="F143">
        <v>3</v>
      </c>
      <c r="G143" t="s">
        <v>6490</v>
      </c>
      <c r="H143">
        <v>6</v>
      </c>
      <c r="I143">
        <v>8</v>
      </c>
      <c r="J143" t="s">
        <v>6490</v>
      </c>
      <c r="K143" t="s">
        <v>6490</v>
      </c>
      <c r="L143" t="s">
        <v>6490</v>
      </c>
      <c r="M143">
        <v>2</v>
      </c>
      <c r="N143" t="s">
        <v>6490</v>
      </c>
      <c r="O143">
        <v>6</v>
      </c>
      <c r="P143">
        <v>8</v>
      </c>
      <c r="Q143" t="s">
        <v>6490</v>
      </c>
      <c r="R143" t="s">
        <v>6490</v>
      </c>
      <c r="S143" t="s">
        <v>6490</v>
      </c>
      <c r="T143">
        <v>2</v>
      </c>
      <c r="U143" t="s">
        <v>6490</v>
      </c>
      <c r="V143">
        <v>6</v>
      </c>
      <c r="W143" t="s">
        <v>6490</v>
      </c>
      <c r="X143" t="s">
        <v>6490</v>
      </c>
      <c r="Y143" t="s">
        <v>6490</v>
      </c>
      <c r="Z143" t="s">
        <v>6490</v>
      </c>
      <c r="AA143" t="s">
        <v>6490</v>
      </c>
      <c r="AB143" t="s">
        <v>6490</v>
      </c>
      <c r="AC143" t="s">
        <v>6490</v>
      </c>
    </row>
    <row r="144" spans="1:29" x14ac:dyDescent="0.25">
      <c r="A144" t="s">
        <v>2407</v>
      </c>
      <c r="B144">
        <v>15</v>
      </c>
      <c r="C144">
        <v>4</v>
      </c>
      <c r="D144">
        <v>2</v>
      </c>
      <c r="E144">
        <v>5</v>
      </c>
      <c r="F144">
        <v>3</v>
      </c>
      <c r="G144">
        <v>1</v>
      </c>
      <c r="H144" t="s">
        <v>6490</v>
      </c>
      <c r="I144" t="s">
        <v>6490</v>
      </c>
      <c r="J144" t="s">
        <v>6490</v>
      </c>
      <c r="K144" t="s">
        <v>6490</v>
      </c>
      <c r="L144" t="s">
        <v>6490</v>
      </c>
      <c r="M144" t="s">
        <v>6490</v>
      </c>
      <c r="N144" t="s">
        <v>6490</v>
      </c>
      <c r="O144" t="s">
        <v>6490</v>
      </c>
      <c r="P144" t="s">
        <v>6490</v>
      </c>
      <c r="Q144" t="s">
        <v>6490</v>
      </c>
      <c r="R144" t="s">
        <v>6490</v>
      </c>
      <c r="S144" t="s">
        <v>6490</v>
      </c>
      <c r="T144" t="s">
        <v>6490</v>
      </c>
      <c r="U144" t="s">
        <v>6490</v>
      </c>
      <c r="V144" t="s">
        <v>6490</v>
      </c>
      <c r="W144" t="s">
        <v>6490</v>
      </c>
      <c r="X144" t="s">
        <v>6490</v>
      </c>
      <c r="Y144" t="s">
        <v>6490</v>
      </c>
      <c r="Z144" t="s">
        <v>6490</v>
      </c>
      <c r="AA144" t="s">
        <v>6490</v>
      </c>
      <c r="AB144" t="s">
        <v>6490</v>
      </c>
      <c r="AC144" t="s">
        <v>6490</v>
      </c>
    </row>
    <row r="145" spans="1:29" x14ac:dyDescent="0.25">
      <c r="A145" t="s">
        <v>2437</v>
      </c>
      <c r="B145">
        <v>15</v>
      </c>
      <c r="C145">
        <v>3</v>
      </c>
      <c r="D145" t="s">
        <v>6490</v>
      </c>
      <c r="E145">
        <v>6</v>
      </c>
      <c r="F145" t="s">
        <v>6490</v>
      </c>
      <c r="G145">
        <v>3</v>
      </c>
      <c r="H145">
        <v>3</v>
      </c>
      <c r="I145">
        <v>5</v>
      </c>
      <c r="J145" t="s">
        <v>6490</v>
      </c>
      <c r="K145" t="s">
        <v>6490</v>
      </c>
      <c r="L145" t="s">
        <v>6490</v>
      </c>
      <c r="M145" t="s">
        <v>6490</v>
      </c>
      <c r="N145">
        <v>2</v>
      </c>
      <c r="O145">
        <v>3</v>
      </c>
      <c r="P145">
        <v>5</v>
      </c>
      <c r="Q145" t="s">
        <v>6490</v>
      </c>
      <c r="R145" t="s">
        <v>6490</v>
      </c>
      <c r="S145" t="s">
        <v>6490</v>
      </c>
      <c r="T145" t="s">
        <v>6490</v>
      </c>
      <c r="U145">
        <v>2</v>
      </c>
      <c r="V145">
        <v>3</v>
      </c>
      <c r="W145" t="s">
        <v>6490</v>
      </c>
      <c r="X145" t="s">
        <v>6490</v>
      </c>
      <c r="Y145" t="s">
        <v>6490</v>
      </c>
      <c r="Z145" t="s">
        <v>6490</v>
      </c>
      <c r="AA145" t="s">
        <v>6490</v>
      </c>
      <c r="AB145" t="s">
        <v>6490</v>
      </c>
      <c r="AC145" t="s">
        <v>6490</v>
      </c>
    </row>
    <row r="146" spans="1:29" ht="30" customHeight="1" x14ac:dyDescent="0.25">
      <c r="A146" s="13" t="s">
        <v>6551</v>
      </c>
      <c r="B146">
        <v>466</v>
      </c>
      <c r="C146">
        <v>43</v>
      </c>
      <c r="D146">
        <v>73</v>
      </c>
      <c r="E146">
        <v>138</v>
      </c>
      <c r="F146">
        <v>122</v>
      </c>
      <c r="G146">
        <v>39</v>
      </c>
      <c r="H146">
        <v>51</v>
      </c>
      <c r="I146">
        <v>118</v>
      </c>
      <c r="J146" t="s">
        <v>6490</v>
      </c>
      <c r="K146">
        <v>8</v>
      </c>
      <c r="L146">
        <v>22</v>
      </c>
      <c r="M146">
        <v>28</v>
      </c>
      <c r="N146">
        <v>23</v>
      </c>
      <c r="O146">
        <v>37</v>
      </c>
      <c r="P146">
        <v>73</v>
      </c>
      <c r="Q146">
        <v>1</v>
      </c>
      <c r="R146" t="s">
        <v>6490</v>
      </c>
      <c r="S146">
        <v>3</v>
      </c>
      <c r="T146">
        <v>17</v>
      </c>
      <c r="U146">
        <v>14</v>
      </c>
      <c r="V146">
        <v>38</v>
      </c>
      <c r="W146">
        <v>56</v>
      </c>
      <c r="X146" t="s">
        <v>6490</v>
      </c>
      <c r="Y146">
        <v>5</v>
      </c>
      <c r="Z146">
        <v>22</v>
      </c>
      <c r="AA146">
        <v>21</v>
      </c>
      <c r="AB146">
        <v>7</v>
      </c>
      <c r="AC146">
        <v>1</v>
      </c>
    </row>
    <row r="147" spans="1:29" x14ac:dyDescent="0.25">
      <c r="A147" t="s">
        <v>2443</v>
      </c>
      <c r="B147" t="s">
        <v>6490</v>
      </c>
      <c r="C147" t="s">
        <v>6490</v>
      </c>
      <c r="D147" t="s">
        <v>6490</v>
      </c>
      <c r="E147" t="s">
        <v>6490</v>
      </c>
      <c r="F147" t="s">
        <v>6490</v>
      </c>
      <c r="G147" t="s">
        <v>6490</v>
      </c>
      <c r="H147" t="s">
        <v>6490</v>
      </c>
      <c r="I147" t="s">
        <v>6490</v>
      </c>
      <c r="J147" t="s">
        <v>6490</v>
      </c>
      <c r="K147" t="s">
        <v>6490</v>
      </c>
      <c r="L147" t="s">
        <v>6490</v>
      </c>
      <c r="M147" t="s">
        <v>6490</v>
      </c>
      <c r="N147" t="s">
        <v>6490</v>
      </c>
      <c r="O147" t="s">
        <v>6490</v>
      </c>
      <c r="P147" t="s">
        <v>6490</v>
      </c>
      <c r="Q147" t="s">
        <v>6490</v>
      </c>
      <c r="R147" t="s">
        <v>6490</v>
      </c>
      <c r="S147" t="s">
        <v>6490</v>
      </c>
      <c r="T147" t="s">
        <v>6490</v>
      </c>
      <c r="U147" t="s">
        <v>6490</v>
      </c>
      <c r="V147" t="s">
        <v>6490</v>
      </c>
      <c r="W147" t="s">
        <v>6490</v>
      </c>
      <c r="X147" t="s">
        <v>6490</v>
      </c>
      <c r="Y147" t="s">
        <v>6490</v>
      </c>
      <c r="Z147" t="s">
        <v>6490</v>
      </c>
      <c r="AA147" t="s">
        <v>6490</v>
      </c>
      <c r="AB147" t="s">
        <v>6490</v>
      </c>
      <c r="AC147" t="s">
        <v>6490</v>
      </c>
    </row>
    <row r="148" spans="1:29" ht="30" customHeight="1" x14ac:dyDescent="0.25">
      <c r="A148" s="13" t="s">
        <v>6552</v>
      </c>
      <c r="B148">
        <v>2</v>
      </c>
      <c r="C148" t="s">
        <v>6490</v>
      </c>
      <c r="D148" t="s">
        <v>6490</v>
      </c>
      <c r="E148" t="s">
        <v>6490</v>
      </c>
      <c r="F148">
        <v>1</v>
      </c>
      <c r="G148" t="s">
        <v>6490</v>
      </c>
      <c r="H148">
        <v>1</v>
      </c>
      <c r="I148">
        <v>2</v>
      </c>
      <c r="J148" t="s">
        <v>6490</v>
      </c>
      <c r="K148" t="s">
        <v>6490</v>
      </c>
      <c r="L148" t="s">
        <v>6490</v>
      </c>
      <c r="M148">
        <v>1</v>
      </c>
      <c r="N148" t="s">
        <v>6490</v>
      </c>
      <c r="O148">
        <v>1</v>
      </c>
      <c r="P148">
        <v>2</v>
      </c>
      <c r="Q148" t="s">
        <v>6490</v>
      </c>
      <c r="R148" t="s">
        <v>6490</v>
      </c>
      <c r="S148" t="s">
        <v>6490</v>
      </c>
      <c r="T148">
        <v>1</v>
      </c>
      <c r="U148" t="s">
        <v>6490</v>
      </c>
      <c r="V148">
        <v>1</v>
      </c>
      <c r="W148" t="s">
        <v>6490</v>
      </c>
      <c r="X148" t="s">
        <v>6490</v>
      </c>
      <c r="Y148" t="s">
        <v>6490</v>
      </c>
      <c r="Z148" t="s">
        <v>6490</v>
      </c>
      <c r="AA148" t="s">
        <v>6490</v>
      </c>
      <c r="AB148" t="s">
        <v>6490</v>
      </c>
      <c r="AC148" t="s">
        <v>6490</v>
      </c>
    </row>
    <row r="149" spans="1:29" x14ac:dyDescent="0.25">
      <c r="A149" t="s">
        <v>2455</v>
      </c>
      <c r="B149">
        <v>1</v>
      </c>
      <c r="C149" t="s">
        <v>6490</v>
      </c>
      <c r="D149" t="s">
        <v>6490</v>
      </c>
      <c r="E149" t="s">
        <v>6490</v>
      </c>
      <c r="F149" t="s">
        <v>6490</v>
      </c>
      <c r="G149">
        <v>1</v>
      </c>
      <c r="H149" t="s">
        <v>6490</v>
      </c>
      <c r="I149">
        <v>1</v>
      </c>
      <c r="J149" t="s">
        <v>6490</v>
      </c>
      <c r="K149" t="s">
        <v>6490</v>
      </c>
      <c r="L149" t="s">
        <v>6490</v>
      </c>
      <c r="M149" t="s">
        <v>6490</v>
      </c>
      <c r="N149">
        <v>1</v>
      </c>
      <c r="O149" t="s">
        <v>6490</v>
      </c>
      <c r="P149">
        <v>1</v>
      </c>
      <c r="Q149" t="s">
        <v>6490</v>
      </c>
      <c r="R149" t="s">
        <v>6490</v>
      </c>
      <c r="S149" t="s">
        <v>6490</v>
      </c>
      <c r="T149" t="s">
        <v>6490</v>
      </c>
      <c r="U149">
        <v>1</v>
      </c>
      <c r="V149" t="s">
        <v>6490</v>
      </c>
      <c r="W149" t="s">
        <v>6490</v>
      </c>
      <c r="X149" t="s">
        <v>6490</v>
      </c>
      <c r="Y149" t="s">
        <v>6490</v>
      </c>
      <c r="Z149" t="s">
        <v>6490</v>
      </c>
      <c r="AA149" t="s">
        <v>6490</v>
      </c>
      <c r="AB149" t="s">
        <v>6490</v>
      </c>
      <c r="AC149" t="s">
        <v>6490</v>
      </c>
    </row>
    <row r="150" spans="1:29" x14ac:dyDescent="0.25">
      <c r="A150" t="s">
        <v>2460</v>
      </c>
      <c r="B150" t="s">
        <v>6490</v>
      </c>
      <c r="C150" t="s">
        <v>6490</v>
      </c>
      <c r="D150" t="s">
        <v>6490</v>
      </c>
      <c r="E150" t="s">
        <v>6490</v>
      </c>
      <c r="F150" t="s">
        <v>6490</v>
      </c>
      <c r="G150" t="s">
        <v>6490</v>
      </c>
      <c r="H150" t="s">
        <v>6490</v>
      </c>
      <c r="I150" t="s">
        <v>6490</v>
      </c>
      <c r="J150" t="s">
        <v>6490</v>
      </c>
      <c r="K150" t="s">
        <v>6490</v>
      </c>
      <c r="L150" t="s">
        <v>6490</v>
      </c>
      <c r="M150" t="s">
        <v>6490</v>
      </c>
      <c r="N150" t="s">
        <v>6490</v>
      </c>
      <c r="O150" t="s">
        <v>6490</v>
      </c>
      <c r="P150" t="s">
        <v>6490</v>
      </c>
      <c r="Q150" t="s">
        <v>6490</v>
      </c>
      <c r="R150" t="s">
        <v>6490</v>
      </c>
      <c r="S150" t="s">
        <v>6490</v>
      </c>
      <c r="T150" t="s">
        <v>6490</v>
      </c>
      <c r="U150" t="s">
        <v>6490</v>
      </c>
      <c r="V150" t="s">
        <v>6490</v>
      </c>
      <c r="W150" t="s">
        <v>6490</v>
      </c>
      <c r="X150" t="s">
        <v>6490</v>
      </c>
      <c r="Y150" t="s">
        <v>6490</v>
      </c>
      <c r="Z150" t="s">
        <v>6490</v>
      </c>
      <c r="AA150" t="s">
        <v>6490</v>
      </c>
      <c r="AB150" t="s">
        <v>6490</v>
      </c>
      <c r="AC150" t="s">
        <v>6490</v>
      </c>
    </row>
    <row r="151" spans="1:29" x14ac:dyDescent="0.25">
      <c r="A151" t="s">
        <v>2465</v>
      </c>
      <c r="B151">
        <v>14</v>
      </c>
      <c r="C151" t="s">
        <v>6490</v>
      </c>
      <c r="D151" t="s">
        <v>6490</v>
      </c>
      <c r="E151">
        <v>3</v>
      </c>
      <c r="F151">
        <v>3</v>
      </c>
      <c r="G151">
        <v>3</v>
      </c>
      <c r="H151">
        <v>5</v>
      </c>
      <c r="I151">
        <v>6</v>
      </c>
      <c r="J151" t="s">
        <v>6490</v>
      </c>
      <c r="K151" t="s">
        <v>6490</v>
      </c>
      <c r="L151" t="s">
        <v>6490</v>
      </c>
      <c r="M151">
        <v>1</v>
      </c>
      <c r="N151">
        <v>2</v>
      </c>
      <c r="O151">
        <v>3</v>
      </c>
      <c r="P151">
        <v>11</v>
      </c>
      <c r="Q151" t="s">
        <v>6490</v>
      </c>
      <c r="R151" t="s">
        <v>6490</v>
      </c>
      <c r="S151">
        <v>1</v>
      </c>
      <c r="T151">
        <v>2</v>
      </c>
      <c r="U151">
        <v>3</v>
      </c>
      <c r="V151">
        <v>5</v>
      </c>
      <c r="W151" t="s">
        <v>6490</v>
      </c>
      <c r="X151" t="s">
        <v>6490</v>
      </c>
      <c r="Y151" t="s">
        <v>6490</v>
      </c>
      <c r="Z151" t="s">
        <v>6490</v>
      </c>
      <c r="AA151" t="s">
        <v>6490</v>
      </c>
      <c r="AB151" t="s">
        <v>6490</v>
      </c>
      <c r="AC151" t="s">
        <v>6490</v>
      </c>
    </row>
    <row r="152" spans="1:29" x14ac:dyDescent="0.25">
      <c r="A152" t="s">
        <v>2476</v>
      </c>
      <c r="B152">
        <v>38</v>
      </c>
      <c r="C152">
        <v>5</v>
      </c>
      <c r="D152">
        <v>6</v>
      </c>
      <c r="E152">
        <v>13</v>
      </c>
      <c r="F152">
        <v>8</v>
      </c>
      <c r="G152">
        <v>2</v>
      </c>
      <c r="H152">
        <v>4</v>
      </c>
      <c r="I152">
        <v>6</v>
      </c>
      <c r="J152" t="s">
        <v>6490</v>
      </c>
      <c r="K152" t="s">
        <v>6490</v>
      </c>
      <c r="L152" t="s">
        <v>6490</v>
      </c>
      <c r="M152">
        <v>3</v>
      </c>
      <c r="N152" t="s">
        <v>6490</v>
      </c>
      <c r="O152">
        <v>3</v>
      </c>
      <c r="P152">
        <v>2</v>
      </c>
      <c r="Q152" t="s">
        <v>6490</v>
      </c>
      <c r="R152" t="s">
        <v>6490</v>
      </c>
      <c r="S152" t="s">
        <v>6490</v>
      </c>
      <c r="T152">
        <v>1</v>
      </c>
      <c r="U152" t="s">
        <v>6490</v>
      </c>
      <c r="V152">
        <v>1</v>
      </c>
      <c r="W152">
        <v>1</v>
      </c>
      <c r="X152" t="s">
        <v>6490</v>
      </c>
      <c r="Y152" t="s">
        <v>6490</v>
      </c>
      <c r="Z152" t="s">
        <v>6490</v>
      </c>
      <c r="AA152" t="s">
        <v>6490</v>
      </c>
      <c r="AB152" t="s">
        <v>6490</v>
      </c>
      <c r="AC152">
        <v>1</v>
      </c>
    </row>
    <row r="153" spans="1:29" x14ac:dyDescent="0.25">
      <c r="A153" t="s">
        <v>2543</v>
      </c>
      <c r="B153">
        <v>3</v>
      </c>
      <c r="C153" t="s">
        <v>6490</v>
      </c>
      <c r="D153" t="s">
        <v>6490</v>
      </c>
      <c r="E153" t="s">
        <v>6490</v>
      </c>
      <c r="F153">
        <v>2</v>
      </c>
      <c r="G153" t="s">
        <v>6490</v>
      </c>
      <c r="H153">
        <v>1</v>
      </c>
      <c r="I153">
        <v>1</v>
      </c>
      <c r="J153" t="s">
        <v>6490</v>
      </c>
      <c r="K153" t="s">
        <v>6490</v>
      </c>
      <c r="L153" t="s">
        <v>6490</v>
      </c>
      <c r="M153" t="s">
        <v>6490</v>
      </c>
      <c r="N153" t="s">
        <v>6490</v>
      </c>
      <c r="O153">
        <v>1</v>
      </c>
      <c r="P153">
        <v>3</v>
      </c>
      <c r="Q153" t="s">
        <v>6490</v>
      </c>
      <c r="R153" t="s">
        <v>6490</v>
      </c>
      <c r="S153" t="s">
        <v>6490</v>
      </c>
      <c r="T153">
        <v>2</v>
      </c>
      <c r="U153" t="s">
        <v>6490</v>
      </c>
      <c r="V153">
        <v>1</v>
      </c>
      <c r="W153" t="s">
        <v>6490</v>
      </c>
      <c r="X153" t="s">
        <v>6490</v>
      </c>
      <c r="Y153" t="s">
        <v>6490</v>
      </c>
      <c r="Z153" t="s">
        <v>6490</v>
      </c>
      <c r="AA153" t="s">
        <v>6490</v>
      </c>
      <c r="AB153" t="s">
        <v>6490</v>
      </c>
      <c r="AC153" t="s">
        <v>6490</v>
      </c>
    </row>
    <row r="154" spans="1:29" x14ac:dyDescent="0.25">
      <c r="A154" t="s">
        <v>2580</v>
      </c>
      <c r="B154">
        <v>2</v>
      </c>
      <c r="C154" t="s">
        <v>6490</v>
      </c>
      <c r="D154" t="s">
        <v>6490</v>
      </c>
      <c r="E154" t="s">
        <v>6490</v>
      </c>
      <c r="F154" t="s">
        <v>6490</v>
      </c>
      <c r="G154" t="s">
        <v>6490</v>
      </c>
      <c r="H154">
        <v>2</v>
      </c>
      <c r="I154">
        <v>2</v>
      </c>
      <c r="J154" t="s">
        <v>6490</v>
      </c>
      <c r="K154" t="s">
        <v>6490</v>
      </c>
      <c r="L154" t="s">
        <v>6490</v>
      </c>
      <c r="M154" t="s">
        <v>6490</v>
      </c>
      <c r="N154" t="s">
        <v>6490</v>
      </c>
      <c r="O154">
        <v>2</v>
      </c>
      <c r="P154">
        <v>2</v>
      </c>
      <c r="Q154" t="s">
        <v>6490</v>
      </c>
      <c r="R154" t="s">
        <v>6490</v>
      </c>
      <c r="S154" t="s">
        <v>6490</v>
      </c>
      <c r="T154" t="s">
        <v>6490</v>
      </c>
      <c r="U154" t="s">
        <v>6490</v>
      </c>
      <c r="V154">
        <v>2</v>
      </c>
      <c r="W154" t="s">
        <v>6490</v>
      </c>
      <c r="X154" t="s">
        <v>6490</v>
      </c>
      <c r="Y154" t="s">
        <v>6490</v>
      </c>
      <c r="Z154" t="s">
        <v>6490</v>
      </c>
      <c r="AA154" t="s">
        <v>6490</v>
      </c>
      <c r="AB154" t="s">
        <v>6490</v>
      </c>
      <c r="AC154" t="s">
        <v>6490</v>
      </c>
    </row>
    <row r="155" spans="1:29" x14ac:dyDescent="0.25">
      <c r="A155" t="s">
        <v>52</v>
      </c>
      <c r="B155">
        <v>476</v>
      </c>
      <c r="C155">
        <v>84</v>
      </c>
      <c r="D155">
        <v>144</v>
      </c>
      <c r="E155">
        <v>143</v>
      </c>
      <c r="F155">
        <v>74</v>
      </c>
      <c r="G155">
        <v>20</v>
      </c>
      <c r="H155">
        <v>11</v>
      </c>
      <c r="I155">
        <v>21</v>
      </c>
      <c r="J155">
        <v>1</v>
      </c>
      <c r="K155">
        <v>3</v>
      </c>
      <c r="L155">
        <v>4</v>
      </c>
      <c r="M155">
        <v>5</v>
      </c>
      <c r="N155">
        <v>6</v>
      </c>
      <c r="O155">
        <v>2</v>
      </c>
      <c r="P155">
        <v>4</v>
      </c>
      <c r="Q155" t="s">
        <v>6490</v>
      </c>
      <c r="R155" t="s">
        <v>6490</v>
      </c>
      <c r="S155">
        <v>1</v>
      </c>
      <c r="T155">
        <v>1</v>
      </c>
      <c r="U155" t="s">
        <v>6490</v>
      </c>
      <c r="V155">
        <v>2</v>
      </c>
      <c r="W155">
        <v>15</v>
      </c>
      <c r="X155" t="s">
        <v>6490</v>
      </c>
      <c r="Y155">
        <v>10</v>
      </c>
      <c r="Z155">
        <v>5</v>
      </c>
      <c r="AA155" t="s">
        <v>6490</v>
      </c>
      <c r="AB155" t="s">
        <v>6490</v>
      </c>
      <c r="AC155" t="s">
        <v>6490</v>
      </c>
    </row>
    <row r="156" spans="1:29" x14ac:dyDescent="0.25">
      <c r="A156" t="s">
        <v>6553</v>
      </c>
      <c r="B156">
        <v>603</v>
      </c>
      <c r="C156">
        <v>101</v>
      </c>
      <c r="D156">
        <v>160</v>
      </c>
      <c r="E156">
        <v>171</v>
      </c>
      <c r="F156">
        <v>100</v>
      </c>
      <c r="G156">
        <v>41</v>
      </c>
      <c r="H156">
        <v>30</v>
      </c>
      <c r="I156">
        <v>58</v>
      </c>
      <c r="J156">
        <v>2</v>
      </c>
      <c r="K156">
        <v>4</v>
      </c>
      <c r="L156">
        <v>9</v>
      </c>
      <c r="M156">
        <v>10</v>
      </c>
      <c r="N156">
        <v>17</v>
      </c>
      <c r="O156">
        <v>16</v>
      </c>
      <c r="P156">
        <v>34</v>
      </c>
      <c r="Q156" t="s">
        <v>6490</v>
      </c>
      <c r="R156" t="s">
        <v>6490</v>
      </c>
      <c r="S156">
        <v>3</v>
      </c>
      <c r="T156">
        <v>5</v>
      </c>
      <c r="U156">
        <v>8</v>
      </c>
      <c r="V156">
        <v>18</v>
      </c>
      <c r="W156">
        <v>25</v>
      </c>
      <c r="X156">
        <v>1</v>
      </c>
      <c r="Y156">
        <v>10</v>
      </c>
      <c r="Z156">
        <v>5</v>
      </c>
      <c r="AA156">
        <v>3</v>
      </c>
      <c r="AB156">
        <v>3</v>
      </c>
      <c r="AC156">
        <v>3</v>
      </c>
    </row>
    <row r="157" spans="1:29" x14ac:dyDescent="0.25">
      <c r="A157" t="s">
        <v>6554</v>
      </c>
      <c r="B157">
        <v>212</v>
      </c>
      <c r="C157">
        <v>23</v>
      </c>
      <c r="D157">
        <v>32</v>
      </c>
      <c r="E157">
        <v>59</v>
      </c>
      <c r="F157">
        <v>46</v>
      </c>
      <c r="G157">
        <v>18</v>
      </c>
      <c r="H157">
        <v>34</v>
      </c>
      <c r="I157">
        <v>60</v>
      </c>
      <c r="J157">
        <v>2</v>
      </c>
      <c r="K157">
        <v>3</v>
      </c>
      <c r="L157">
        <v>12</v>
      </c>
      <c r="M157">
        <v>12</v>
      </c>
      <c r="N157">
        <v>7</v>
      </c>
      <c r="O157">
        <v>24</v>
      </c>
      <c r="P157">
        <v>37</v>
      </c>
      <c r="Q157" t="s">
        <v>6490</v>
      </c>
      <c r="R157">
        <v>2</v>
      </c>
      <c r="S157">
        <v>2</v>
      </c>
      <c r="T157">
        <v>6</v>
      </c>
      <c r="U157">
        <v>5</v>
      </c>
      <c r="V157">
        <v>22</v>
      </c>
      <c r="W157">
        <v>10</v>
      </c>
      <c r="X157">
        <v>3</v>
      </c>
      <c r="Y157">
        <v>1</v>
      </c>
      <c r="Z157">
        <v>1</v>
      </c>
      <c r="AA157">
        <v>3</v>
      </c>
      <c r="AB157">
        <v>2</v>
      </c>
      <c r="AC157" t="s">
        <v>6490</v>
      </c>
    </row>
    <row r="158" spans="1:29" x14ac:dyDescent="0.25">
      <c r="A158" t="s">
        <v>3040</v>
      </c>
      <c r="B158">
        <v>11</v>
      </c>
      <c r="C158">
        <v>1</v>
      </c>
      <c r="D158">
        <v>2</v>
      </c>
      <c r="E158">
        <v>3</v>
      </c>
      <c r="F158">
        <v>4</v>
      </c>
      <c r="G158" t="s">
        <v>6490</v>
      </c>
      <c r="H158">
        <v>1</v>
      </c>
      <c r="I158">
        <v>4</v>
      </c>
      <c r="J158" t="s">
        <v>6490</v>
      </c>
      <c r="K158" t="s">
        <v>6490</v>
      </c>
      <c r="L158">
        <v>2</v>
      </c>
      <c r="M158">
        <v>1</v>
      </c>
      <c r="N158" t="s">
        <v>6490</v>
      </c>
      <c r="O158">
        <v>1</v>
      </c>
      <c r="P158">
        <v>3</v>
      </c>
      <c r="Q158" t="s">
        <v>6490</v>
      </c>
      <c r="R158" t="s">
        <v>6490</v>
      </c>
      <c r="S158">
        <v>1</v>
      </c>
      <c r="T158">
        <v>1</v>
      </c>
      <c r="U158" t="s">
        <v>6490</v>
      </c>
      <c r="V158">
        <v>1</v>
      </c>
      <c r="W158" t="s">
        <v>6490</v>
      </c>
      <c r="X158" t="s">
        <v>6490</v>
      </c>
      <c r="Y158" t="s">
        <v>6490</v>
      </c>
      <c r="Z158" t="s">
        <v>6490</v>
      </c>
      <c r="AA158" t="s">
        <v>6490</v>
      </c>
      <c r="AB158" t="s">
        <v>6490</v>
      </c>
      <c r="AC158" t="s">
        <v>6490</v>
      </c>
    </row>
    <row r="159" spans="1:29" x14ac:dyDescent="0.25">
      <c r="A159" t="s">
        <v>3054</v>
      </c>
      <c r="B159">
        <v>4</v>
      </c>
      <c r="C159" t="s">
        <v>6490</v>
      </c>
      <c r="D159" t="s">
        <v>6490</v>
      </c>
      <c r="E159" t="s">
        <v>6490</v>
      </c>
      <c r="F159" t="s">
        <v>6490</v>
      </c>
      <c r="G159">
        <v>3</v>
      </c>
      <c r="H159">
        <v>1</v>
      </c>
      <c r="I159">
        <v>2</v>
      </c>
      <c r="J159" t="s">
        <v>6490</v>
      </c>
      <c r="K159" t="s">
        <v>6490</v>
      </c>
      <c r="L159" t="s">
        <v>6490</v>
      </c>
      <c r="M159" t="s">
        <v>6490</v>
      </c>
      <c r="N159">
        <v>1</v>
      </c>
      <c r="O159">
        <v>1</v>
      </c>
      <c r="P159">
        <v>2</v>
      </c>
      <c r="Q159" t="s">
        <v>6490</v>
      </c>
      <c r="R159" t="s">
        <v>6490</v>
      </c>
      <c r="S159" t="s">
        <v>6490</v>
      </c>
      <c r="T159" t="s">
        <v>6490</v>
      </c>
      <c r="U159">
        <v>2</v>
      </c>
      <c r="V159" t="s">
        <v>6490</v>
      </c>
      <c r="W159" t="s">
        <v>6490</v>
      </c>
      <c r="X159" t="s">
        <v>6490</v>
      </c>
      <c r="Y159" t="s">
        <v>6490</v>
      </c>
      <c r="Z159" t="s">
        <v>6490</v>
      </c>
      <c r="AA159" t="s">
        <v>6490</v>
      </c>
      <c r="AB159" t="s">
        <v>6490</v>
      </c>
      <c r="AC159" t="s">
        <v>6490</v>
      </c>
    </row>
    <row r="160" spans="1:29" x14ac:dyDescent="0.25">
      <c r="A160" t="s">
        <v>3061</v>
      </c>
      <c r="B160">
        <v>16</v>
      </c>
      <c r="C160">
        <v>2</v>
      </c>
      <c r="D160">
        <v>1</v>
      </c>
      <c r="E160">
        <v>4</v>
      </c>
      <c r="F160">
        <v>5</v>
      </c>
      <c r="G160">
        <v>3</v>
      </c>
      <c r="H160">
        <v>1</v>
      </c>
      <c r="I160">
        <v>1</v>
      </c>
      <c r="J160" t="s">
        <v>6490</v>
      </c>
      <c r="K160" t="s">
        <v>6490</v>
      </c>
      <c r="L160" t="s">
        <v>6490</v>
      </c>
      <c r="M160" t="s">
        <v>6490</v>
      </c>
      <c r="N160">
        <v>1</v>
      </c>
      <c r="O160" t="s">
        <v>6490</v>
      </c>
      <c r="P160" t="s">
        <v>6490</v>
      </c>
      <c r="Q160" t="s">
        <v>6490</v>
      </c>
      <c r="R160" t="s">
        <v>6490</v>
      </c>
      <c r="S160" t="s">
        <v>6490</v>
      </c>
      <c r="T160" t="s">
        <v>6490</v>
      </c>
      <c r="U160" t="s">
        <v>6490</v>
      </c>
      <c r="V160" t="s">
        <v>6490</v>
      </c>
      <c r="W160" t="s">
        <v>6490</v>
      </c>
      <c r="X160" t="s">
        <v>6490</v>
      </c>
      <c r="Y160" t="s">
        <v>6490</v>
      </c>
      <c r="Z160" t="s">
        <v>6490</v>
      </c>
      <c r="AA160" t="s">
        <v>6490</v>
      </c>
      <c r="AB160" t="s">
        <v>6490</v>
      </c>
      <c r="AC160" t="s">
        <v>6490</v>
      </c>
    </row>
    <row r="161" spans="1:29" x14ac:dyDescent="0.25">
      <c r="A161" t="s">
        <v>3133</v>
      </c>
      <c r="B161">
        <v>5</v>
      </c>
      <c r="C161" t="s">
        <v>6490</v>
      </c>
      <c r="D161">
        <v>1</v>
      </c>
      <c r="E161">
        <v>2</v>
      </c>
      <c r="F161">
        <v>2</v>
      </c>
      <c r="G161" t="s">
        <v>6490</v>
      </c>
      <c r="H161" t="s">
        <v>6490</v>
      </c>
      <c r="I161" t="s">
        <v>6490</v>
      </c>
      <c r="J161" t="s">
        <v>6490</v>
      </c>
      <c r="K161" t="s">
        <v>6490</v>
      </c>
      <c r="L161" t="s">
        <v>6490</v>
      </c>
      <c r="M161" t="s">
        <v>6490</v>
      </c>
      <c r="N161" t="s">
        <v>6490</v>
      </c>
      <c r="O161" t="s">
        <v>6490</v>
      </c>
      <c r="P161" t="s">
        <v>6490</v>
      </c>
      <c r="Q161" t="s">
        <v>6490</v>
      </c>
      <c r="R161" t="s">
        <v>6490</v>
      </c>
      <c r="S161" t="s">
        <v>6490</v>
      </c>
      <c r="T161" t="s">
        <v>6490</v>
      </c>
      <c r="U161" t="s">
        <v>6490</v>
      </c>
      <c r="V161" t="s">
        <v>6490</v>
      </c>
      <c r="W161" t="s">
        <v>6490</v>
      </c>
      <c r="X161" t="s">
        <v>6490</v>
      </c>
      <c r="Y161" t="s">
        <v>6490</v>
      </c>
      <c r="Z161" t="s">
        <v>6490</v>
      </c>
      <c r="AA161" t="s">
        <v>6490</v>
      </c>
      <c r="AB161" t="s">
        <v>6490</v>
      </c>
      <c r="AC161" t="s">
        <v>6490</v>
      </c>
    </row>
    <row r="162" spans="1:29" x14ac:dyDescent="0.25">
      <c r="A162" t="s">
        <v>53</v>
      </c>
      <c r="B162">
        <v>15</v>
      </c>
      <c r="C162">
        <v>2</v>
      </c>
      <c r="D162">
        <v>3</v>
      </c>
      <c r="E162">
        <v>7</v>
      </c>
      <c r="F162">
        <v>2</v>
      </c>
      <c r="G162">
        <v>1</v>
      </c>
      <c r="H162" t="s">
        <v>6490</v>
      </c>
      <c r="I162" t="s">
        <v>6490</v>
      </c>
      <c r="J162" t="s">
        <v>6490</v>
      </c>
      <c r="K162" t="s">
        <v>6490</v>
      </c>
      <c r="L162" t="s">
        <v>6490</v>
      </c>
      <c r="M162" t="s">
        <v>6490</v>
      </c>
      <c r="N162" t="s">
        <v>6490</v>
      </c>
      <c r="O162" t="s">
        <v>6490</v>
      </c>
      <c r="P162">
        <v>2</v>
      </c>
      <c r="Q162" t="s">
        <v>6490</v>
      </c>
      <c r="R162" t="s">
        <v>6490</v>
      </c>
      <c r="S162">
        <v>1</v>
      </c>
      <c r="T162">
        <v>1</v>
      </c>
      <c r="U162" t="s">
        <v>6490</v>
      </c>
      <c r="V162" t="s">
        <v>6490</v>
      </c>
      <c r="W162" t="s">
        <v>6490</v>
      </c>
      <c r="X162" t="s">
        <v>6490</v>
      </c>
      <c r="Y162" t="s">
        <v>6490</v>
      </c>
      <c r="Z162" t="s">
        <v>6490</v>
      </c>
      <c r="AA162" t="s">
        <v>6490</v>
      </c>
      <c r="AB162" t="s">
        <v>6490</v>
      </c>
      <c r="AC162" t="s">
        <v>6490</v>
      </c>
    </row>
    <row r="163" spans="1:29" x14ac:dyDescent="0.25">
      <c r="A163" t="s">
        <v>3179</v>
      </c>
      <c r="B163">
        <v>1</v>
      </c>
      <c r="C163" t="s">
        <v>6490</v>
      </c>
      <c r="D163" t="s">
        <v>6490</v>
      </c>
      <c r="E163" t="s">
        <v>6490</v>
      </c>
      <c r="F163">
        <v>1</v>
      </c>
      <c r="G163" t="s">
        <v>6490</v>
      </c>
      <c r="H163" t="s">
        <v>6490</v>
      </c>
      <c r="I163" t="s">
        <v>6490</v>
      </c>
      <c r="J163" t="s">
        <v>6490</v>
      </c>
      <c r="K163" t="s">
        <v>6490</v>
      </c>
      <c r="L163" t="s">
        <v>6490</v>
      </c>
      <c r="M163" t="s">
        <v>6490</v>
      </c>
      <c r="N163" t="s">
        <v>6490</v>
      </c>
      <c r="O163" t="s">
        <v>6490</v>
      </c>
      <c r="P163" t="s">
        <v>6490</v>
      </c>
      <c r="Q163" t="s">
        <v>6490</v>
      </c>
      <c r="R163" t="s">
        <v>6490</v>
      </c>
      <c r="S163" t="s">
        <v>6490</v>
      </c>
      <c r="T163" t="s">
        <v>6490</v>
      </c>
      <c r="U163" t="s">
        <v>6490</v>
      </c>
      <c r="V163" t="s">
        <v>6490</v>
      </c>
      <c r="W163" t="s">
        <v>6490</v>
      </c>
      <c r="X163" t="s">
        <v>6490</v>
      </c>
      <c r="Y163" t="s">
        <v>6490</v>
      </c>
      <c r="Z163" t="s">
        <v>6490</v>
      </c>
      <c r="AA163" t="s">
        <v>6490</v>
      </c>
      <c r="AB163" t="s">
        <v>6490</v>
      </c>
      <c r="AC163" t="s">
        <v>6490</v>
      </c>
    </row>
    <row r="164" spans="1:29" x14ac:dyDescent="0.25">
      <c r="A164" t="s">
        <v>3184</v>
      </c>
      <c r="B164" t="s">
        <v>6490</v>
      </c>
      <c r="C164" t="s">
        <v>6490</v>
      </c>
      <c r="D164" t="s">
        <v>6490</v>
      </c>
      <c r="E164" t="s">
        <v>6490</v>
      </c>
      <c r="F164" t="s">
        <v>6490</v>
      </c>
      <c r="G164" t="s">
        <v>6490</v>
      </c>
      <c r="H164" t="s">
        <v>6490</v>
      </c>
      <c r="I164" t="s">
        <v>6490</v>
      </c>
      <c r="J164" t="s">
        <v>6490</v>
      </c>
      <c r="K164" t="s">
        <v>6490</v>
      </c>
      <c r="L164" t="s">
        <v>6490</v>
      </c>
      <c r="M164" t="s">
        <v>6490</v>
      </c>
      <c r="N164" t="s">
        <v>6490</v>
      </c>
      <c r="O164" t="s">
        <v>6490</v>
      </c>
      <c r="P164" t="s">
        <v>6490</v>
      </c>
      <c r="Q164" t="s">
        <v>6490</v>
      </c>
      <c r="R164" t="s">
        <v>6490</v>
      </c>
      <c r="S164" t="s">
        <v>6490</v>
      </c>
      <c r="T164" t="s">
        <v>6490</v>
      </c>
      <c r="U164" t="s">
        <v>6490</v>
      </c>
      <c r="V164" t="s">
        <v>6490</v>
      </c>
      <c r="W164" t="s">
        <v>6490</v>
      </c>
      <c r="X164" t="s">
        <v>6490</v>
      </c>
      <c r="Y164" t="s">
        <v>6490</v>
      </c>
      <c r="Z164" t="s">
        <v>6490</v>
      </c>
      <c r="AA164" t="s">
        <v>6490</v>
      </c>
      <c r="AB164" t="s">
        <v>6490</v>
      </c>
      <c r="AC164" t="s">
        <v>6490</v>
      </c>
    </row>
    <row r="165" spans="1:29" x14ac:dyDescent="0.25">
      <c r="A165" t="s">
        <v>3187</v>
      </c>
      <c r="B165">
        <v>68</v>
      </c>
      <c r="C165">
        <v>5</v>
      </c>
      <c r="D165">
        <v>15</v>
      </c>
      <c r="E165">
        <v>21</v>
      </c>
      <c r="F165">
        <v>10</v>
      </c>
      <c r="G165">
        <v>6</v>
      </c>
      <c r="H165">
        <v>11</v>
      </c>
      <c r="I165">
        <v>44</v>
      </c>
      <c r="J165">
        <v>2</v>
      </c>
      <c r="K165">
        <v>9</v>
      </c>
      <c r="L165">
        <v>9</v>
      </c>
      <c r="M165">
        <v>8</v>
      </c>
      <c r="N165">
        <v>5</v>
      </c>
      <c r="O165">
        <v>11</v>
      </c>
      <c r="P165">
        <v>13</v>
      </c>
      <c r="Q165" t="s">
        <v>6490</v>
      </c>
      <c r="R165" t="s">
        <v>6490</v>
      </c>
      <c r="S165">
        <v>1</v>
      </c>
      <c r="T165" t="s">
        <v>6490</v>
      </c>
      <c r="U165">
        <v>2</v>
      </c>
      <c r="V165">
        <v>10</v>
      </c>
      <c r="W165" t="s">
        <v>6490</v>
      </c>
      <c r="X165" t="s">
        <v>6490</v>
      </c>
      <c r="Y165" t="s">
        <v>6490</v>
      </c>
      <c r="Z165" t="s">
        <v>6490</v>
      </c>
      <c r="AA165" t="s">
        <v>6490</v>
      </c>
      <c r="AB165" t="s">
        <v>6490</v>
      </c>
      <c r="AC165" t="s">
        <v>6490</v>
      </c>
    </row>
    <row r="166" spans="1:29" x14ac:dyDescent="0.25">
      <c r="A166" t="s">
        <v>3292</v>
      </c>
      <c r="B166">
        <v>10</v>
      </c>
      <c r="C166" t="s">
        <v>6490</v>
      </c>
      <c r="D166">
        <v>3</v>
      </c>
      <c r="E166">
        <v>3</v>
      </c>
      <c r="F166">
        <v>3</v>
      </c>
      <c r="G166" t="s">
        <v>6490</v>
      </c>
      <c r="H166">
        <v>1</v>
      </c>
      <c r="I166">
        <v>2</v>
      </c>
      <c r="J166" t="s">
        <v>6490</v>
      </c>
      <c r="K166" t="s">
        <v>6490</v>
      </c>
      <c r="L166" t="s">
        <v>6490</v>
      </c>
      <c r="M166">
        <v>2</v>
      </c>
      <c r="N166" t="s">
        <v>6490</v>
      </c>
      <c r="O166" t="s">
        <v>6490</v>
      </c>
      <c r="P166" t="s">
        <v>6490</v>
      </c>
      <c r="Q166" t="s">
        <v>6490</v>
      </c>
      <c r="R166" t="s">
        <v>6490</v>
      </c>
      <c r="S166" t="s">
        <v>6490</v>
      </c>
      <c r="T166" t="s">
        <v>6490</v>
      </c>
      <c r="U166" t="s">
        <v>6490</v>
      </c>
      <c r="V166" t="s">
        <v>6490</v>
      </c>
      <c r="W166" t="s">
        <v>6490</v>
      </c>
      <c r="X166" t="s">
        <v>6490</v>
      </c>
      <c r="Y166" t="s">
        <v>6490</v>
      </c>
      <c r="Z166" t="s">
        <v>6490</v>
      </c>
      <c r="AA166" t="s">
        <v>6490</v>
      </c>
      <c r="AB166" t="s">
        <v>6490</v>
      </c>
      <c r="AC166" t="s">
        <v>6490</v>
      </c>
    </row>
    <row r="167" spans="1:29" x14ac:dyDescent="0.25">
      <c r="A167" t="s">
        <v>3299</v>
      </c>
      <c r="B167">
        <v>4</v>
      </c>
      <c r="C167" t="s">
        <v>6490</v>
      </c>
      <c r="D167">
        <v>2</v>
      </c>
      <c r="E167" t="s">
        <v>6490</v>
      </c>
      <c r="F167" t="s">
        <v>6490</v>
      </c>
      <c r="G167">
        <v>1</v>
      </c>
      <c r="H167">
        <v>1</v>
      </c>
      <c r="I167">
        <v>2</v>
      </c>
      <c r="J167" t="s">
        <v>6490</v>
      </c>
      <c r="K167">
        <v>1</v>
      </c>
      <c r="L167" t="s">
        <v>6490</v>
      </c>
      <c r="M167" t="s">
        <v>6490</v>
      </c>
      <c r="N167" t="s">
        <v>6490</v>
      </c>
      <c r="O167">
        <v>1</v>
      </c>
      <c r="P167">
        <v>1</v>
      </c>
      <c r="Q167" t="s">
        <v>6490</v>
      </c>
      <c r="R167" t="s">
        <v>6490</v>
      </c>
      <c r="S167" t="s">
        <v>6490</v>
      </c>
      <c r="T167" t="s">
        <v>6490</v>
      </c>
      <c r="U167" t="s">
        <v>6490</v>
      </c>
      <c r="V167">
        <v>1</v>
      </c>
      <c r="W167" t="s">
        <v>6490</v>
      </c>
      <c r="X167" t="s">
        <v>6490</v>
      </c>
      <c r="Y167" t="s">
        <v>6490</v>
      </c>
      <c r="Z167" t="s">
        <v>6490</v>
      </c>
      <c r="AA167" t="s">
        <v>6490</v>
      </c>
      <c r="AB167" t="s">
        <v>6490</v>
      </c>
      <c r="AC167" t="s">
        <v>6490</v>
      </c>
    </row>
    <row r="168" spans="1:29" x14ac:dyDescent="0.25">
      <c r="A168" t="s">
        <v>54</v>
      </c>
      <c r="B168">
        <v>100</v>
      </c>
      <c r="C168" t="s">
        <v>6490</v>
      </c>
      <c r="D168" t="s">
        <v>6490</v>
      </c>
      <c r="E168" t="s">
        <v>6490</v>
      </c>
      <c r="F168" t="s">
        <v>6490</v>
      </c>
      <c r="G168" t="s">
        <v>6490</v>
      </c>
      <c r="H168" t="s">
        <v>6490</v>
      </c>
      <c r="I168" t="s">
        <v>6490</v>
      </c>
      <c r="J168" t="s">
        <v>6490</v>
      </c>
      <c r="K168" t="s">
        <v>6490</v>
      </c>
      <c r="L168" t="s">
        <v>6490</v>
      </c>
      <c r="M168" t="s">
        <v>6490</v>
      </c>
      <c r="N168" t="s">
        <v>6490</v>
      </c>
      <c r="O168" t="s">
        <v>6490</v>
      </c>
      <c r="P168" t="s">
        <v>6490</v>
      </c>
      <c r="Q168" t="s">
        <v>6490</v>
      </c>
      <c r="R168" t="s">
        <v>6490</v>
      </c>
      <c r="S168" t="s">
        <v>6490</v>
      </c>
      <c r="T168" t="s">
        <v>6490</v>
      </c>
      <c r="U168" t="s">
        <v>6490</v>
      </c>
      <c r="V168" t="s">
        <v>6490</v>
      </c>
      <c r="W168" t="s">
        <v>6490</v>
      </c>
      <c r="X168" t="s">
        <v>6490</v>
      </c>
      <c r="Y168" t="s">
        <v>6490</v>
      </c>
      <c r="Z168" t="s">
        <v>6490</v>
      </c>
      <c r="AA168" t="s">
        <v>6490</v>
      </c>
      <c r="AB168" t="s">
        <v>6490</v>
      </c>
      <c r="AC168" t="s">
        <v>6490</v>
      </c>
    </row>
    <row r="169" spans="1:29" x14ac:dyDescent="0.25">
      <c r="A169" t="s">
        <v>3352</v>
      </c>
      <c r="B169">
        <v>7</v>
      </c>
      <c r="C169" t="s">
        <v>6490</v>
      </c>
      <c r="D169" t="s">
        <v>6490</v>
      </c>
      <c r="E169">
        <v>2</v>
      </c>
      <c r="F169">
        <v>2</v>
      </c>
      <c r="G169" t="s">
        <v>6490</v>
      </c>
      <c r="H169">
        <v>3</v>
      </c>
      <c r="I169">
        <v>5</v>
      </c>
      <c r="J169" t="s">
        <v>6490</v>
      </c>
      <c r="K169" t="s">
        <v>6490</v>
      </c>
      <c r="L169">
        <v>1</v>
      </c>
      <c r="M169">
        <v>1</v>
      </c>
      <c r="N169" t="s">
        <v>6490</v>
      </c>
      <c r="O169">
        <v>3</v>
      </c>
      <c r="P169">
        <v>5</v>
      </c>
      <c r="Q169" t="s">
        <v>6490</v>
      </c>
      <c r="R169" t="s">
        <v>6490</v>
      </c>
      <c r="S169">
        <v>1</v>
      </c>
      <c r="T169">
        <v>1</v>
      </c>
      <c r="U169" t="s">
        <v>6490</v>
      </c>
      <c r="V169">
        <v>3</v>
      </c>
      <c r="W169">
        <v>1</v>
      </c>
      <c r="X169" t="s">
        <v>6490</v>
      </c>
      <c r="Y169" t="s">
        <v>6490</v>
      </c>
      <c r="Z169" t="s">
        <v>6490</v>
      </c>
      <c r="AA169" t="s">
        <v>6490</v>
      </c>
      <c r="AB169" t="s">
        <v>6490</v>
      </c>
      <c r="AC169">
        <v>1</v>
      </c>
    </row>
    <row r="170" spans="1:29" x14ac:dyDescent="0.25">
      <c r="A170" t="s">
        <v>3355</v>
      </c>
      <c r="B170" t="s">
        <v>6490</v>
      </c>
      <c r="C170" t="s">
        <v>6490</v>
      </c>
      <c r="D170" t="s">
        <v>6490</v>
      </c>
      <c r="E170" t="s">
        <v>6490</v>
      </c>
      <c r="F170" t="s">
        <v>6490</v>
      </c>
      <c r="G170" t="s">
        <v>6490</v>
      </c>
      <c r="H170" t="s">
        <v>6490</v>
      </c>
      <c r="I170" t="s">
        <v>6490</v>
      </c>
      <c r="J170" t="s">
        <v>6490</v>
      </c>
      <c r="K170" t="s">
        <v>6490</v>
      </c>
      <c r="L170" t="s">
        <v>6490</v>
      </c>
      <c r="M170" t="s">
        <v>6490</v>
      </c>
      <c r="N170" t="s">
        <v>6490</v>
      </c>
      <c r="O170" t="s">
        <v>6490</v>
      </c>
      <c r="P170" t="s">
        <v>6490</v>
      </c>
      <c r="Q170" t="s">
        <v>6490</v>
      </c>
      <c r="R170" t="s">
        <v>6490</v>
      </c>
      <c r="S170" t="s">
        <v>6490</v>
      </c>
      <c r="T170" t="s">
        <v>6490</v>
      </c>
      <c r="U170" t="s">
        <v>6490</v>
      </c>
      <c r="V170" t="s">
        <v>6490</v>
      </c>
      <c r="W170" t="s">
        <v>6490</v>
      </c>
      <c r="X170" t="s">
        <v>6490</v>
      </c>
      <c r="Y170" t="s">
        <v>6490</v>
      </c>
      <c r="Z170" t="s">
        <v>6490</v>
      </c>
      <c r="AA170" t="s">
        <v>6490</v>
      </c>
      <c r="AB170" t="s">
        <v>6490</v>
      </c>
      <c r="AC170" t="s">
        <v>6490</v>
      </c>
    </row>
    <row r="171" spans="1:29" x14ac:dyDescent="0.25">
      <c r="A171" t="s">
        <v>3360</v>
      </c>
      <c r="B171">
        <v>36</v>
      </c>
      <c r="C171">
        <v>2</v>
      </c>
      <c r="D171">
        <v>3</v>
      </c>
      <c r="E171">
        <v>9</v>
      </c>
      <c r="F171">
        <v>11</v>
      </c>
      <c r="G171">
        <v>5</v>
      </c>
      <c r="H171">
        <v>6</v>
      </c>
      <c r="I171">
        <v>15</v>
      </c>
      <c r="J171">
        <v>1</v>
      </c>
      <c r="K171" t="s">
        <v>6490</v>
      </c>
      <c r="L171">
        <v>3</v>
      </c>
      <c r="M171">
        <v>4</v>
      </c>
      <c r="N171">
        <v>2</v>
      </c>
      <c r="O171">
        <v>5</v>
      </c>
      <c r="P171">
        <v>5</v>
      </c>
      <c r="Q171" t="s">
        <v>6490</v>
      </c>
      <c r="R171" t="s">
        <v>6490</v>
      </c>
      <c r="S171" t="s">
        <v>6490</v>
      </c>
      <c r="T171">
        <v>1</v>
      </c>
      <c r="U171">
        <v>1</v>
      </c>
      <c r="V171">
        <v>3</v>
      </c>
      <c r="W171">
        <v>3</v>
      </c>
      <c r="X171" t="s">
        <v>6490</v>
      </c>
      <c r="Y171" t="s">
        <v>6490</v>
      </c>
      <c r="Z171" t="s">
        <v>6490</v>
      </c>
      <c r="AA171">
        <v>3</v>
      </c>
      <c r="AB171" t="s">
        <v>6490</v>
      </c>
      <c r="AC171" t="s">
        <v>6490</v>
      </c>
    </row>
    <row r="172" spans="1:29" x14ac:dyDescent="0.25">
      <c r="A172" t="s">
        <v>3391</v>
      </c>
      <c r="B172">
        <v>2</v>
      </c>
      <c r="C172" t="s">
        <v>6490</v>
      </c>
      <c r="D172" t="s">
        <v>6490</v>
      </c>
      <c r="E172" t="s">
        <v>6490</v>
      </c>
      <c r="F172">
        <v>1</v>
      </c>
      <c r="G172" t="s">
        <v>6490</v>
      </c>
      <c r="H172">
        <v>1</v>
      </c>
      <c r="I172">
        <v>2</v>
      </c>
      <c r="J172" t="s">
        <v>6490</v>
      </c>
      <c r="K172" t="s">
        <v>6490</v>
      </c>
      <c r="L172" t="s">
        <v>6490</v>
      </c>
      <c r="M172">
        <v>1</v>
      </c>
      <c r="N172" t="s">
        <v>6490</v>
      </c>
      <c r="O172">
        <v>1</v>
      </c>
      <c r="P172" t="s">
        <v>6490</v>
      </c>
      <c r="Q172" t="s">
        <v>6490</v>
      </c>
      <c r="R172" t="s">
        <v>6490</v>
      </c>
      <c r="S172" t="s">
        <v>6490</v>
      </c>
      <c r="T172" t="s">
        <v>6490</v>
      </c>
      <c r="U172" t="s">
        <v>6490</v>
      </c>
      <c r="V172" t="s">
        <v>6490</v>
      </c>
      <c r="W172">
        <v>1</v>
      </c>
      <c r="X172" t="s">
        <v>6490</v>
      </c>
      <c r="Y172" t="s">
        <v>6490</v>
      </c>
      <c r="Z172" t="s">
        <v>6490</v>
      </c>
      <c r="AA172" t="s">
        <v>6490</v>
      </c>
      <c r="AB172" t="s">
        <v>6490</v>
      </c>
      <c r="AC172">
        <v>1</v>
      </c>
    </row>
    <row r="173" spans="1:29" x14ac:dyDescent="0.25">
      <c r="A173" t="s">
        <v>6531</v>
      </c>
      <c r="B173">
        <v>4</v>
      </c>
      <c r="C173">
        <v>2</v>
      </c>
      <c r="D173" t="s">
        <v>6490</v>
      </c>
      <c r="E173" t="s">
        <v>6490</v>
      </c>
      <c r="F173" t="s">
        <v>6490</v>
      </c>
      <c r="G173">
        <v>1</v>
      </c>
      <c r="H173">
        <v>1</v>
      </c>
      <c r="I173">
        <v>2</v>
      </c>
      <c r="J173" t="s">
        <v>6490</v>
      </c>
      <c r="K173" t="s">
        <v>6490</v>
      </c>
      <c r="L173" t="s">
        <v>6490</v>
      </c>
      <c r="M173" t="s">
        <v>6490</v>
      </c>
      <c r="N173">
        <v>1</v>
      </c>
      <c r="O173">
        <v>1</v>
      </c>
      <c r="P173">
        <v>2</v>
      </c>
      <c r="Q173" t="s">
        <v>6490</v>
      </c>
      <c r="R173" t="s">
        <v>6490</v>
      </c>
      <c r="S173" t="s">
        <v>6490</v>
      </c>
      <c r="T173" t="s">
        <v>6490</v>
      </c>
      <c r="U173">
        <v>1</v>
      </c>
      <c r="V173">
        <v>1</v>
      </c>
      <c r="W173" t="s">
        <v>6490</v>
      </c>
      <c r="X173" t="s">
        <v>6490</v>
      </c>
      <c r="Y173" t="s">
        <v>6490</v>
      </c>
      <c r="Z173" t="s">
        <v>6490</v>
      </c>
      <c r="AA173" t="s">
        <v>6490</v>
      </c>
      <c r="AB173" t="s">
        <v>6490</v>
      </c>
      <c r="AC173" t="s">
        <v>6490</v>
      </c>
    </row>
    <row r="174" spans="1:29" x14ac:dyDescent="0.25">
      <c r="A174" t="s">
        <v>3398</v>
      </c>
      <c r="B174">
        <v>1</v>
      </c>
      <c r="C174" t="s">
        <v>6490</v>
      </c>
      <c r="D174" t="s">
        <v>6490</v>
      </c>
      <c r="E174" t="s">
        <v>6490</v>
      </c>
      <c r="F174">
        <v>1</v>
      </c>
      <c r="G174" t="s">
        <v>6490</v>
      </c>
      <c r="H174" t="s">
        <v>6490</v>
      </c>
      <c r="I174">
        <v>1</v>
      </c>
      <c r="J174" t="s">
        <v>6490</v>
      </c>
      <c r="K174" t="s">
        <v>6490</v>
      </c>
      <c r="L174" t="s">
        <v>6490</v>
      </c>
      <c r="M174">
        <v>1</v>
      </c>
      <c r="N174" t="s">
        <v>6490</v>
      </c>
      <c r="O174" t="s">
        <v>6490</v>
      </c>
      <c r="P174" t="s">
        <v>6490</v>
      </c>
      <c r="Q174" t="s">
        <v>6490</v>
      </c>
      <c r="R174" t="s">
        <v>6490</v>
      </c>
      <c r="S174" t="s">
        <v>6490</v>
      </c>
      <c r="T174" t="s">
        <v>6490</v>
      </c>
      <c r="U174" t="s">
        <v>6490</v>
      </c>
      <c r="V174" t="s">
        <v>6490</v>
      </c>
      <c r="W174" t="s">
        <v>6490</v>
      </c>
      <c r="X174" t="s">
        <v>6490</v>
      </c>
      <c r="Y174" t="s">
        <v>6490</v>
      </c>
      <c r="Z174" t="s">
        <v>6490</v>
      </c>
      <c r="AA174" t="s">
        <v>6490</v>
      </c>
      <c r="AB174" t="s">
        <v>6490</v>
      </c>
      <c r="AC174" t="s">
        <v>6490</v>
      </c>
    </row>
    <row r="175" spans="1:29" x14ac:dyDescent="0.25">
      <c r="A175" t="s">
        <v>3405</v>
      </c>
      <c r="B175">
        <v>6</v>
      </c>
      <c r="C175" t="s">
        <v>6490</v>
      </c>
      <c r="D175" t="s">
        <v>6490</v>
      </c>
      <c r="E175">
        <v>1</v>
      </c>
      <c r="F175" t="s">
        <v>6490</v>
      </c>
      <c r="G175">
        <v>1</v>
      </c>
      <c r="H175">
        <v>4</v>
      </c>
      <c r="I175">
        <v>5</v>
      </c>
      <c r="J175" t="s">
        <v>6490</v>
      </c>
      <c r="K175" t="s">
        <v>6490</v>
      </c>
      <c r="L175" t="s">
        <v>6490</v>
      </c>
      <c r="M175" t="s">
        <v>6490</v>
      </c>
      <c r="N175">
        <v>1</v>
      </c>
      <c r="O175">
        <v>4</v>
      </c>
      <c r="P175">
        <v>5</v>
      </c>
      <c r="Q175" t="s">
        <v>6490</v>
      </c>
      <c r="R175" t="s">
        <v>6490</v>
      </c>
      <c r="S175" t="s">
        <v>6490</v>
      </c>
      <c r="T175" t="s">
        <v>6490</v>
      </c>
      <c r="U175">
        <v>1</v>
      </c>
      <c r="V175">
        <v>4</v>
      </c>
      <c r="W175" t="s">
        <v>6490</v>
      </c>
      <c r="X175" t="s">
        <v>6490</v>
      </c>
      <c r="Y175" t="s">
        <v>6490</v>
      </c>
      <c r="Z175" t="s">
        <v>6490</v>
      </c>
      <c r="AA175" t="s">
        <v>6490</v>
      </c>
      <c r="AB175" t="s">
        <v>6490</v>
      </c>
      <c r="AC175" t="s">
        <v>6490</v>
      </c>
    </row>
    <row r="176" spans="1:29" x14ac:dyDescent="0.25">
      <c r="A176" t="s">
        <v>55</v>
      </c>
      <c r="B176">
        <v>30</v>
      </c>
      <c r="C176">
        <v>3</v>
      </c>
      <c r="D176">
        <v>3</v>
      </c>
      <c r="E176">
        <v>11</v>
      </c>
      <c r="F176">
        <v>2</v>
      </c>
      <c r="G176">
        <v>1</v>
      </c>
      <c r="H176">
        <v>10</v>
      </c>
      <c r="I176">
        <v>14</v>
      </c>
      <c r="J176" t="s">
        <v>6490</v>
      </c>
      <c r="K176" t="s">
        <v>6490</v>
      </c>
      <c r="L176">
        <v>4</v>
      </c>
      <c r="M176">
        <v>1</v>
      </c>
      <c r="N176">
        <v>1</v>
      </c>
      <c r="O176">
        <v>8</v>
      </c>
      <c r="P176">
        <v>8</v>
      </c>
      <c r="Q176" t="s">
        <v>6490</v>
      </c>
      <c r="R176" t="s">
        <v>6490</v>
      </c>
      <c r="S176" t="s">
        <v>6490</v>
      </c>
      <c r="T176" t="s">
        <v>6490</v>
      </c>
      <c r="U176">
        <v>1</v>
      </c>
      <c r="V176">
        <v>7</v>
      </c>
      <c r="W176">
        <v>1</v>
      </c>
      <c r="X176" t="s">
        <v>6490</v>
      </c>
      <c r="Y176" t="s">
        <v>6490</v>
      </c>
      <c r="Z176">
        <v>1</v>
      </c>
      <c r="AA176" t="s">
        <v>6490</v>
      </c>
      <c r="AB176" t="s">
        <v>6490</v>
      </c>
      <c r="AC176" t="s">
        <v>6490</v>
      </c>
    </row>
    <row r="177" spans="1:29" x14ac:dyDescent="0.25">
      <c r="A177" t="s">
        <v>3503</v>
      </c>
      <c r="B177" t="s">
        <v>6490</v>
      </c>
      <c r="C177" t="s">
        <v>6490</v>
      </c>
      <c r="D177" t="s">
        <v>6490</v>
      </c>
      <c r="E177" t="s">
        <v>6490</v>
      </c>
      <c r="F177" t="s">
        <v>6490</v>
      </c>
      <c r="G177" t="s">
        <v>6490</v>
      </c>
      <c r="H177" t="s">
        <v>6490</v>
      </c>
      <c r="I177" t="s">
        <v>6490</v>
      </c>
      <c r="J177" t="s">
        <v>6490</v>
      </c>
      <c r="K177" t="s">
        <v>6490</v>
      </c>
      <c r="L177" t="s">
        <v>6490</v>
      </c>
      <c r="M177" t="s">
        <v>6490</v>
      </c>
      <c r="N177" t="s">
        <v>6490</v>
      </c>
      <c r="O177" t="s">
        <v>6490</v>
      </c>
      <c r="P177" t="s">
        <v>6490</v>
      </c>
      <c r="Q177" t="s">
        <v>6490</v>
      </c>
      <c r="R177" t="s">
        <v>6490</v>
      </c>
      <c r="S177" t="s">
        <v>6490</v>
      </c>
      <c r="T177" t="s">
        <v>6490</v>
      </c>
      <c r="U177" t="s">
        <v>6490</v>
      </c>
      <c r="V177" t="s">
        <v>6490</v>
      </c>
      <c r="W177" t="s">
        <v>6490</v>
      </c>
      <c r="X177" t="s">
        <v>6490</v>
      </c>
      <c r="Y177" t="s">
        <v>6490</v>
      </c>
      <c r="Z177" t="s">
        <v>6490</v>
      </c>
      <c r="AA177" t="s">
        <v>6490</v>
      </c>
      <c r="AB177" t="s">
        <v>6490</v>
      </c>
      <c r="AC177" t="s">
        <v>6490</v>
      </c>
    </row>
    <row r="178" spans="1:29" x14ac:dyDescent="0.25">
      <c r="A178" t="s">
        <v>3512</v>
      </c>
      <c r="B178">
        <v>3</v>
      </c>
      <c r="C178" t="s">
        <v>6490</v>
      </c>
      <c r="D178" t="s">
        <v>6490</v>
      </c>
      <c r="E178" t="s">
        <v>6490</v>
      </c>
      <c r="F178">
        <v>1</v>
      </c>
      <c r="G178">
        <v>2</v>
      </c>
      <c r="H178" t="s">
        <v>6490</v>
      </c>
      <c r="I178">
        <v>3</v>
      </c>
      <c r="J178" t="s">
        <v>6490</v>
      </c>
      <c r="K178" t="s">
        <v>6490</v>
      </c>
      <c r="L178" t="s">
        <v>6490</v>
      </c>
      <c r="M178">
        <v>1</v>
      </c>
      <c r="N178">
        <v>2</v>
      </c>
      <c r="O178" t="s">
        <v>6490</v>
      </c>
      <c r="P178">
        <v>3</v>
      </c>
      <c r="Q178" t="s">
        <v>6490</v>
      </c>
      <c r="R178" t="s">
        <v>6490</v>
      </c>
      <c r="S178" t="s">
        <v>6490</v>
      </c>
      <c r="T178">
        <v>1</v>
      </c>
      <c r="U178">
        <v>2</v>
      </c>
      <c r="V178" t="s">
        <v>6490</v>
      </c>
      <c r="W178" t="s">
        <v>6490</v>
      </c>
      <c r="X178" t="s">
        <v>6490</v>
      </c>
      <c r="Y178" t="s">
        <v>6490</v>
      </c>
      <c r="Z178" t="s">
        <v>6490</v>
      </c>
      <c r="AA178" t="s">
        <v>6490</v>
      </c>
      <c r="AB178" t="s">
        <v>6490</v>
      </c>
      <c r="AC178" t="s">
        <v>6490</v>
      </c>
    </row>
    <row r="179" spans="1:29" x14ac:dyDescent="0.25">
      <c r="A179" t="s">
        <v>3517</v>
      </c>
      <c r="B179">
        <v>21</v>
      </c>
      <c r="C179" t="s">
        <v>6490</v>
      </c>
      <c r="D179">
        <v>1</v>
      </c>
      <c r="E179">
        <v>7</v>
      </c>
      <c r="F179">
        <v>9</v>
      </c>
      <c r="G179">
        <v>2</v>
      </c>
      <c r="H179">
        <v>2</v>
      </c>
      <c r="I179">
        <v>13</v>
      </c>
      <c r="J179" t="s">
        <v>6490</v>
      </c>
      <c r="K179">
        <v>1</v>
      </c>
      <c r="L179">
        <v>3</v>
      </c>
      <c r="M179">
        <v>5</v>
      </c>
      <c r="N179">
        <v>2</v>
      </c>
      <c r="O179">
        <v>2</v>
      </c>
      <c r="P179">
        <v>3</v>
      </c>
      <c r="Q179" t="s">
        <v>6490</v>
      </c>
      <c r="R179" t="s">
        <v>6490</v>
      </c>
      <c r="S179" t="s">
        <v>6490</v>
      </c>
      <c r="T179">
        <v>1</v>
      </c>
      <c r="U179" t="s">
        <v>6490</v>
      </c>
      <c r="V179">
        <v>2</v>
      </c>
      <c r="W179">
        <v>18</v>
      </c>
      <c r="X179" t="s">
        <v>6490</v>
      </c>
      <c r="Y179">
        <v>1</v>
      </c>
      <c r="Z179">
        <v>7</v>
      </c>
      <c r="AA179">
        <v>8</v>
      </c>
      <c r="AB179">
        <v>2</v>
      </c>
      <c r="AC179" t="s">
        <v>6490</v>
      </c>
    </row>
    <row r="180" spans="1:29" x14ac:dyDescent="0.25">
      <c r="A180" t="s">
        <v>3524</v>
      </c>
      <c r="B180">
        <v>1</v>
      </c>
      <c r="C180" t="s">
        <v>6490</v>
      </c>
      <c r="D180" t="s">
        <v>6490</v>
      </c>
      <c r="E180" t="s">
        <v>6490</v>
      </c>
      <c r="F180" t="s">
        <v>6490</v>
      </c>
      <c r="G180">
        <v>1</v>
      </c>
      <c r="H180" t="s">
        <v>6490</v>
      </c>
      <c r="I180">
        <v>1</v>
      </c>
      <c r="J180" t="s">
        <v>6490</v>
      </c>
      <c r="K180" t="s">
        <v>6490</v>
      </c>
      <c r="L180" t="s">
        <v>6490</v>
      </c>
      <c r="M180" t="s">
        <v>6490</v>
      </c>
      <c r="N180">
        <v>1</v>
      </c>
      <c r="O180" t="s">
        <v>6490</v>
      </c>
      <c r="P180">
        <v>1</v>
      </c>
      <c r="Q180" t="s">
        <v>6490</v>
      </c>
      <c r="R180" t="s">
        <v>6490</v>
      </c>
      <c r="S180" t="s">
        <v>6490</v>
      </c>
      <c r="T180" t="s">
        <v>6490</v>
      </c>
      <c r="U180">
        <v>1</v>
      </c>
      <c r="V180" t="s">
        <v>6490</v>
      </c>
      <c r="W180" t="s">
        <v>6490</v>
      </c>
      <c r="X180" t="s">
        <v>6490</v>
      </c>
      <c r="Y180" t="s">
        <v>6490</v>
      </c>
      <c r="Z180" t="s">
        <v>6490</v>
      </c>
      <c r="AA180" t="s">
        <v>6490</v>
      </c>
      <c r="AB180" t="s">
        <v>6490</v>
      </c>
      <c r="AC180" t="s">
        <v>6490</v>
      </c>
    </row>
    <row r="181" spans="1:29" x14ac:dyDescent="0.25">
      <c r="A181" t="s">
        <v>2328</v>
      </c>
      <c r="B181">
        <v>1</v>
      </c>
      <c r="C181" t="s">
        <v>6490</v>
      </c>
      <c r="D181" t="s">
        <v>6490</v>
      </c>
      <c r="E181">
        <v>1</v>
      </c>
      <c r="F181" t="s">
        <v>6490</v>
      </c>
      <c r="G181" t="s">
        <v>6490</v>
      </c>
      <c r="H181" t="s">
        <v>6490</v>
      </c>
      <c r="I181" t="s">
        <v>6490</v>
      </c>
      <c r="J181" t="s">
        <v>6490</v>
      </c>
      <c r="K181" t="s">
        <v>6490</v>
      </c>
      <c r="L181" t="s">
        <v>6490</v>
      </c>
      <c r="M181" t="s">
        <v>6490</v>
      </c>
      <c r="N181" t="s">
        <v>6490</v>
      </c>
      <c r="O181" t="s">
        <v>6490</v>
      </c>
      <c r="P181">
        <v>1</v>
      </c>
      <c r="Q181" t="s">
        <v>6490</v>
      </c>
      <c r="R181" t="s">
        <v>6490</v>
      </c>
      <c r="S181">
        <v>1</v>
      </c>
      <c r="T181" t="s">
        <v>6490</v>
      </c>
      <c r="U181" t="s">
        <v>6490</v>
      </c>
      <c r="V181" t="s">
        <v>6490</v>
      </c>
      <c r="W181" t="s">
        <v>6490</v>
      </c>
      <c r="X181" t="s">
        <v>6490</v>
      </c>
      <c r="Y181" t="s">
        <v>6490</v>
      </c>
      <c r="Z181" t="s">
        <v>6490</v>
      </c>
      <c r="AA181" t="s">
        <v>6490</v>
      </c>
      <c r="AB181" t="s">
        <v>6490</v>
      </c>
      <c r="AC181" t="s">
        <v>6490</v>
      </c>
    </row>
    <row r="182" spans="1:29" x14ac:dyDescent="0.25">
      <c r="A182" t="s">
        <v>6506</v>
      </c>
      <c r="B182" t="s">
        <v>6490</v>
      </c>
      <c r="C182" t="s">
        <v>6490</v>
      </c>
      <c r="D182" t="s">
        <v>6490</v>
      </c>
      <c r="E182" t="s">
        <v>6490</v>
      </c>
      <c r="F182" t="s">
        <v>6490</v>
      </c>
      <c r="G182" t="s">
        <v>6490</v>
      </c>
      <c r="H182" t="s">
        <v>6490</v>
      </c>
      <c r="I182" t="s">
        <v>6490</v>
      </c>
      <c r="J182" t="s">
        <v>6490</v>
      </c>
      <c r="K182" t="s">
        <v>6490</v>
      </c>
      <c r="L182" t="s">
        <v>6490</v>
      </c>
      <c r="M182" t="s">
        <v>6490</v>
      </c>
      <c r="N182" t="s">
        <v>6490</v>
      </c>
      <c r="O182" t="s">
        <v>6490</v>
      </c>
      <c r="P182" t="s">
        <v>6490</v>
      </c>
      <c r="Q182" t="s">
        <v>6490</v>
      </c>
      <c r="R182" t="s">
        <v>6490</v>
      </c>
      <c r="S182" t="s">
        <v>6490</v>
      </c>
      <c r="T182" t="s">
        <v>6490</v>
      </c>
      <c r="U182" t="s">
        <v>6490</v>
      </c>
      <c r="V182" t="s">
        <v>6490</v>
      </c>
      <c r="W182" t="s">
        <v>6490</v>
      </c>
      <c r="X182" t="s">
        <v>6490</v>
      </c>
      <c r="Y182" t="s">
        <v>6490</v>
      </c>
      <c r="Z182" t="s">
        <v>6490</v>
      </c>
      <c r="AA182" t="s">
        <v>6490</v>
      </c>
      <c r="AB182" t="s">
        <v>6490</v>
      </c>
      <c r="AC182" t="s">
        <v>6490</v>
      </c>
    </row>
    <row r="183" spans="1:29" x14ac:dyDescent="0.25">
      <c r="A183" t="s">
        <v>3544</v>
      </c>
      <c r="B183">
        <v>3</v>
      </c>
      <c r="C183" t="s">
        <v>6490</v>
      </c>
      <c r="D183">
        <v>1</v>
      </c>
      <c r="E183">
        <v>1</v>
      </c>
      <c r="F183" t="s">
        <v>6490</v>
      </c>
      <c r="G183" t="s">
        <v>6490</v>
      </c>
      <c r="H183">
        <v>1</v>
      </c>
      <c r="I183" t="s">
        <v>6490</v>
      </c>
      <c r="J183" t="s">
        <v>6490</v>
      </c>
      <c r="K183" t="s">
        <v>6490</v>
      </c>
      <c r="L183" t="s">
        <v>6490</v>
      </c>
      <c r="M183" t="s">
        <v>6490</v>
      </c>
      <c r="N183" t="s">
        <v>6490</v>
      </c>
      <c r="O183" t="s">
        <v>6490</v>
      </c>
      <c r="P183" t="s">
        <v>6490</v>
      </c>
      <c r="Q183" t="s">
        <v>6490</v>
      </c>
      <c r="R183" t="s">
        <v>6490</v>
      </c>
      <c r="S183" t="s">
        <v>6490</v>
      </c>
      <c r="T183" t="s">
        <v>6490</v>
      </c>
      <c r="U183" t="s">
        <v>6490</v>
      </c>
      <c r="V183" t="s">
        <v>6490</v>
      </c>
      <c r="W183" t="s">
        <v>6490</v>
      </c>
      <c r="X183" t="s">
        <v>6490</v>
      </c>
      <c r="Y183" t="s">
        <v>6490</v>
      </c>
      <c r="Z183" t="s">
        <v>6490</v>
      </c>
      <c r="AA183" t="s">
        <v>6490</v>
      </c>
      <c r="AB183" t="s">
        <v>6490</v>
      </c>
      <c r="AC183" t="s">
        <v>6490</v>
      </c>
    </row>
    <row r="184" spans="1:29" x14ac:dyDescent="0.25">
      <c r="A184" t="s">
        <v>3550</v>
      </c>
      <c r="B184">
        <v>2</v>
      </c>
      <c r="C184" t="s">
        <v>6490</v>
      </c>
      <c r="D184" t="s">
        <v>6490</v>
      </c>
      <c r="E184" t="s">
        <v>6490</v>
      </c>
      <c r="F184" t="s">
        <v>6490</v>
      </c>
      <c r="G184">
        <v>1</v>
      </c>
      <c r="H184">
        <v>1</v>
      </c>
      <c r="I184">
        <v>2</v>
      </c>
      <c r="J184" t="s">
        <v>6490</v>
      </c>
      <c r="K184" t="s">
        <v>6490</v>
      </c>
      <c r="L184" t="s">
        <v>6490</v>
      </c>
      <c r="M184" t="s">
        <v>6490</v>
      </c>
      <c r="N184">
        <v>1</v>
      </c>
      <c r="O184">
        <v>1</v>
      </c>
      <c r="P184">
        <v>2</v>
      </c>
      <c r="Q184" t="s">
        <v>6490</v>
      </c>
      <c r="R184" t="s">
        <v>6490</v>
      </c>
      <c r="S184" t="s">
        <v>6490</v>
      </c>
      <c r="T184" t="s">
        <v>6490</v>
      </c>
      <c r="U184">
        <v>1</v>
      </c>
      <c r="V184">
        <v>1</v>
      </c>
      <c r="W184" t="s">
        <v>6490</v>
      </c>
      <c r="X184" t="s">
        <v>6490</v>
      </c>
      <c r="Y184" t="s">
        <v>6490</v>
      </c>
      <c r="Z184" t="s">
        <v>6490</v>
      </c>
      <c r="AA184" t="s">
        <v>6490</v>
      </c>
      <c r="AB184" t="s">
        <v>6490</v>
      </c>
      <c r="AC184" t="s">
        <v>6490</v>
      </c>
    </row>
    <row r="185" spans="1:29" x14ac:dyDescent="0.25">
      <c r="A185" t="s">
        <v>3555</v>
      </c>
      <c r="B185">
        <v>1</v>
      </c>
      <c r="C185" t="s">
        <v>6490</v>
      </c>
      <c r="D185" t="s">
        <v>6490</v>
      </c>
      <c r="E185" t="s">
        <v>6490</v>
      </c>
      <c r="F185" t="s">
        <v>6490</v>
      </c>
      <c r="G185">
        <v>1</v>
      </c>
      <c r="H185" t="s">
        <v>6490</v>
      </c>
      <c r="I185" t="s">
        <v>6490</v>
      </c>
      <c r="J185" t="s">
        <v>6490</v>
      </c>
      <c r="K185" t="s">
        <v>6490</v>
      </c>
      <c r="L185" t="s">
        <v>6490</v>
      </c>
      <c r="M185" t="s">
        <v>6490</v>
      </c>
      <c r="N185" t="s">
        <v>6490</v>
      </c>
      <c r="O185" t="s">
        <v>6490</v>
      </c>
      <c r="P185" t="s">
        <v>6490</v>
      </c>
      <c r="Q185" t="s">
        <v>6490</v>
      </c>
      <c r="R185" t="s">
        <v>6490</v>
      </c>
      <c r="S185" t="s">
        <v>6490</v>
      </c>
      <c r="T185" t="s">
        <v>6490</v>
      </c>
      <c r="U185" t="s">
        <v>6490</v>
      </c>
      <c r="V185" t="s">
        <v>6490</v>
      </c>
      <c r="W185" t="s">
        <v>6490</v>
      </c>
      <c r="X185" t="s">
        <v>6490</v>
      </c>
      <c r="Y185" t="s">
        <v>6490</v>
      </c>
      <c r="Z185" t="s">
        <v>6490</v>
      </c>
      <c r="AA185" t="s">
        <v>6490</v>
      </c>
      <c r="AB185" t="s">
        <v>6490</v>
      </c>
      <c r="AC185" t="s">
        <v>6490</v>
      </c>
    </row>
    <row r="186" spans="1:29" x14ac:dyDescent="0.25">
      <c r="A186" t="s">
        <v>6532</v>
      </c>
      <c r="B186">
        <v>4</v>
      </c>
      <c r="C186" t="s">
        <v>6490</v>
      </c>
      <c r="D186" t="s">
        <v>6490</v>
      </c>
      <c r="E186" t="s">
        <v>6490</v>
      </c>
      <c r="F186">
        <v>1</v>
      </c>
      <c r="G186">
        <v>2</v>
      </c>
      <c r="H186">
        <v>1</v>
      </c>
      <c r="I186">
        <v>4</v>
      </c>
      <c r="J186" t="s">
        <v>6490</v>
      </c>
      <c r="K186" t="s">
        <v>6490</v>
      </c>
      <c r="L186" t="s">
        <v>6490</v>
      </c>
      <c r="M186">
        <v>1</v>
      </c>
      <c r="N186">
        <v>2</v>
      </c>
      <c r="O186">
        <v>1</v>
      </c>
      <c r="P186">
        <v>1</v>
      </c>
      <c r="Q186" t="s">
        <v>6490</v>
      </c>
      <c r="R186" t="s">
        <v>6490</v>
      </c>
      <c r="S186" t="s">
        <v>6490</v>
      </c>
      <c r="T186" t="s">
        <v>6490</v>
      </c>
      <c r="U186" t="s">
        <v>6490</v>
      </c>
      <c r="V186">
        <v>1</v>
      </c>
      <c r="W186" t="s">
        <v>6490</v>
      </c>
      <c r="X186" t="s">
        <v>6490</v>
      </c>
      <c r="Y186" t="s">
        <v>6490</v>
      </c>
      <c r="Z186" t="s">
        <v>6490</v>
      </c>
      <c r="AA186" t="s">
        <v>6490</v>
      </c>
      <c r="AB186" t="s">
        <v>6490</v>
      </c>
      <c r="AC186" t="s">
        <v>6490</v>
      </c>
    </row>
    <row r="187" spans="1:29" x14ac:dyDescent="0.25">
      <c r="A187" t="s">
        <v>3569</v>
      </c>
      <c r="B187" t="s">
        <v>6490</v>
      </c>
      <c r="C187" t="s">
        <v>6490</v>
      </c>
      <c r="D187" t="s">
        <v>6490</v>
      </c>
      <c r="E187" t="s">
        <v>6490</v>
      </c>
      <c r="F187" t="s">
        <v>6490</v>
      </c>
      <c r="G187" t="s">
        <v>6490</v>
      </c>
      <c r="H187" t="s">
        <v>6490</v>
      </c>
      <c r="I187" t="s">
        <v>6490</v>
      </c>
      <c r="J187" t="s">
        <v>6490</v>
      </c>
      <c r="K187" t="s">
        <v>6490</v>
      </c>
      <c r="L187" t="s">
        <v>6490</v>
      </c>
      <c r="M187" t="s">
        <v>6490</v>
      </c>
      <c r="N187" t="s">
        <v>6490</v>
      </c>
      <c r="O187" t="s">
        <v>6490</v>
      </c>
      <c r="P187" t="s">
        <v>6490</v>
      </c>
      <c r="Q187" t="s">
        <v>6490</v>
      </c>
      <c r="R187" t="s">
        <v>6490</v>
      </c>
      <c r="S187" t="s">
        <v>6490</v>
      </c>
      <c r="T187" t="s">
        <v>6490</v>
      </c>
      <c r="U187" t="s">
        <v>6490</v>
      </c>
      <c r="V187" t="s">
        <v>6490</v>
      </c>
      <c r="W187" t="s">
        <v>6490</v>
      </c>
      <c r="X187" t="s">
        <v>6490</v>
      </c>
      <c r="Y187" t="s">
        <v>6490</v>
      </c>
      <c r="Z187" t="s">
        <v>6490</v>
      </c>
      <c r="AA187" t="s">
        <v>6490</v>
      </c>
      <c r="AB187" t="s">
        <v>6490</v>
      </c>
      <c r="AC187" t="s">
        <v>6490</v>
      </c>
    </row>
    <row r="188" spans="1:29" x14ac:dyDescent="0.25">
      <c r="A188" t="s">
        <v>3572</v>
      </c>
      <c r="B188" t="s">
        <v>6490</v>
      </c>
      <c r="C188" t="s">
        <v>6490</v>
      </c>
      <c r="D188" t="s">
        <v>6490</v>
      </c>
      <c r="E188" t="s">
        <v>6490</v>
      </c>
      <c r="F188" t="s">
        <v>6490</v>
      </c>
      <c r="G188" t="s">
        <v>6490</v>
      </c>
      <c r="H188" t="s">
        <v>6490</v>
      </c>
      <c r="I188" t="s">
        <v>6490</v>
      </c>
      <c r="J188" t="s">
        <v>6490</v>
      </c>
      <c r="K188" t="s">
        <v>6490</v>
      </c>
      <c r="L188" t="s">
        <v>6490</v>
      </c>
      <c r="M188" t="s">
        <v>6490</v>
      </c>
      <c r="N188" t="s">
        <v>6490</v>
      </c>
      <c r="O188" t="s">
        <v>6490</v>
      </c>
      <c r="P188" t="s">
        <v>6490</v>
      </c>
      <c r="Q188" t="s">
        <v>6490</v>
      </c>
      <c r="R188" t="s">
        <v>6490</v>
      </c>
      <c r="S188" t="s">
        <v>6490</v>
      </c>
      <c r="T188" t="s">
        <v>6490</v>
      </c>
      <c r="U188" t="s">
        <v>6490</v>
      </c>
      <c r="V188" t="s">
        <v>6490</v>
      </c>
      <c r="W188" t="s">
        <v>6490</v>
      </c>
      <c r="X188" t="s">
        <v>6490</v>
      </c>
      <c r="Y188" t="s">
        <v>6490</v>
      </c>
      <c r="Z188" t="s">
        <v>6490</v>
      </c>
      <c r="AA188" t="s">
        <v>6490</v>
      </c>
      <c r="AB188" t="s">
        <v>6490</v>
      </c>
      <c r="AC188" t="s">
        <v>6490</v>
      </c>
    </row>
    <row r="189" spans="1:29" x14ac:dyDescent="0.25">
      <c r="A189" t="s">
        <v>3587</v>
      </c>
      <c r="B189">
        <v>15</v>
      </c>
      <c r="C189">
        <v>1</v>
      </c>
      <c r="D189">
        <v>2</v>
      </c>
      <c r="E189">
        <v>5</v>
      </c>
      <c r="F189">
        <v>4</v>
      </c>
      <c r="G189" t="s">
        <v>6490</v>
      </c>
      <c r="H189">
        <v>3</v>
      </c>
      <c r="I189">
        <v>8</v>
      </c>
      <c r="J189">
        <v>1</v>
      </c>
      <c r="K189">
        <v>1</v>
      </c>
      <c r="L189">
        <v>1</v>
      </c>
      <c r="M189">
        <v>2</v>
      </c>
      <c r="N189" t="s">
        <v>6490</v>
      </c>
      <c r="O189">
        <v>3</v>
      </c>
      <c r="P189">
        <v>5</v>
      </c>
      <c r="Q189" t="s">
        <v>6490</v>
      </c>
      <c r="R189">
        <v>1</v>
      </c>
      <c r="S189">
        <v>1</v>
      </c>
      <c r="T189" t="s">
        <v>6490</v>
      </c>
      <c r="U189" t="s">
        <v>6490</v>
      </c>
      <c r="V189">
        <v>3</v>
      </c>
      <c r="W189" t="s">
        <v>6490</v>
      </c>
      <c r="X189" t="s">
        <v>6490</v>
      </c>
      <c r="Y189" t="s">
        <v>6490</v>
      </c>
      <c r="Z189" t="s">
        <v>6490</v>
      </c>
      <c r="AA189" t="s">
        <v>6490</v>
      </c>
      <c r="AB189" t="s">
        <v>6490</v>
      </c>
      <c r="AC189" t="s">
        <v>6490</v>
      </c>
    </row>
    <row r="190" spans="1:29" x14ac:dyDescent="0.25">
      <c r="A190" t="s">
        <v>3642</v>
      </c>
      <c r="B190">
        <v>5</v>
      </c>
      <c r="C190" t="s">
        <v>6490</v>
      </c>
      <c r="D190">
        <v>1</v>
      </c>
      <c r="E190">
        <v>2</v>
      </c>
      <c r="F190" t="s">
        <v>6490</v>
      </c>
      <c r="G190">
        <v>1</v>
      </c>
      <c r="H190">
        <v>1</v>
      </c>
      <c r="I190">
        <v>1</v>
      </c>
      <c r="J190" t="s">
        <v>6490</v>
      </c>
      <c r="K190" t="s">
        <v>6490</v>
      </c>
      <c r="L190" t="s">
        <v>6490</v>
      </c>
      <c r="M190" t="s">
        <v>6490</v>
      </c>
      <c r="N190" t="s">
        <v>6490</v>
      </c>
      <c r="O190">
        <v>1</v>
      </c>
      <c r="P190" t="s">
        <v>6490</v>
      </c>
      <c r="Q190" t="s">
        <v>6490</v>
      </c>
      <c r="R190" t="s">
        <v>6490</v>
      </c>
      <c r="S190" t="s">
        <v>6490</v>
      </c>
      <c r="T190" t="s">
        <v>6490</v>
      </c>
      <c r="U190" t="s">
        <v>6490</v>
      </c>
      <c r="V190" t="s">
        <v>6490</v>
      </c>
      <c r="W190" t="s">
        <v>6490</v>
      </c>
      <c r="X190" t="s">
        <v>6490</v>
      </c>
      <c r="Y190" t="s">
        <v>6490</v>
      </c>
      <c r="Z190" t="s">
        <v>6490</v>
      </c>
      <c r="AA190" t="s">
        <v>6490</v>
      </c>
      <c r="AB190" t="s">
        <v>6490</v>
      </c>
      <c r="AC190" t="s">
        <v>6490</v>
      </c>
    </row>
    <row r="191" spans="1:29" x14ac:dyDescent="0.25">
      <c r="A191" t="s">
        <v>3651</v>
      </c>
      <c r="B191">
        <v>4</v>
      </c>
      <c r="C191">
        <v>1</v>
      </c>
      <c r="D191" t="s">
        <v>6490</v>
      </c>
      <c r="E191">
        <v>1</v>
      </c>
      <c r="F191">
        <v>1</v>
      </c>
      <c r="G191" t="s">
        <v>6490</v>
      </c>
      <c r="H191">
        <v>1</v>
      </c>
      <c r="I191">
        <v>2</v>
      </c>
      <c r="J191" t="s">
        <v>6490</v>
      </c>
      <c r="K191" t="s">
        <v>6490</v>
      </c>
      <c r="L191">
        <v>1</v>
      </c>
      <c r="M191">
        <v>1</v>
      </c>
      <c r="N191" t="s">
        <v>6490</v>
      </c>
      <c r="O191" t="s">
        <v>6490</v>
      </c>
      <c r="P191" t="s">
        <v>6490</v>
      </c>
      <c r="Q191" t="s">
        <v>6490</v>
      </c>
      <c r="R191" t="s">
        <v>6490</v>
      </c>
      <c r="S191" t="s">
        <v>6490</v>
      </c>
      <c r="T191" t="s">
        <v>6490</v>
      </c>
      <c r="U191" t="s">
        <v>6490</v>
      </c>
      <c r="V191" t="s">
        <v>6490</v>
      </c>
      <c r="W191" t="s">
        <v>6490</v>
      </c>
      <c r="X191" t="s">
        <v>6490</v>
      </c>
      <c r="Y191" t="s">
        <v>6490</v>
      </c>
      <c r="Z191" t="s">
        <v>6490</v>
      </c>
      <c r="AA191" t="s">
        <v>6490</v>
      </c>
      <c r="AB191" t="s">
        <v>6490</v>
      </c>
      <c r="AC191" t="s">
        <v>6490</v>
      </c>
    </row>
    <row r="192" spans="1:29" x14ac:dyDescent="0.25">
      <c r="A192" t="s">
        <v>3673</v>
      </c>
      <c r="B192">
        <v>1</v>
      </c>
      <c r="C192" t="s">
        <v>6490</v>
      </c>
      <c r="D192" t="s">
        <v>6490</v>
      </c>
      <c r="E192">
        <v>1</v>
      </c>
      <c r="F192" t="s">
        <v>6490</v>
      </c>
      <c r="G192" t="s">
        <v>6490</v>
      </c>
      <c r="H192" t="s">
        <v>6490</v>
      </c>
      <c r="I192" t="s">
        <v>6490</v>
      </c>
      <c r="J192" t="s">
        <v>6490</v>
      </c>
      <c r="K192" t="s">
        <v>6490</v>
      </c>
      <c r="L192" t="s">
        <v>6490</v>
      </c>
      <c r="M192" t="s">
        <v>6490</v>
      </c>
      <c r="N192" t="s">
        <v>6490</v>
      </c>
      <c r="O192" t="s">
        <v>6490</v>
      </c>
      <c r="P192" t="s">
        <v>6490</v>
      </c>
      <c r="Q192" t="s">
        <v>6490</v>
      </c>
      <c r="R192" t="s">
        <v>6490</v>
      </c>
      <c r="S192" t="s">
        <v>6490</v>
      </c>
      <c r="T192" t="s">
        <v>6490</v>
      </c>
      <c r="U192" t="s">
        <v>6490</v>
      </c>
      <c r="V192" t="s">
        <v>6490</v>
      </c>
      <c r="W192" t="s">
        <v>6490</v>
      </c>
      <c r="X192" t="s">
        <v>6490</v>
      </c>
      <c r="Y192" t="s">
        <v>6490</v>
      </c>
      <c r="Z192" t="s">
        <v>6490</v>
      </c>
      <c r="AA192" t="s">
        <v>6490</v>
      </c>
      <c r="AB192" t="s">
        <v>6490</v>
      </c>
      <c r="AC192" t="s">
        <v>6490</v>
      </c>
    </row>
    <row r="193" spans="1:29" x14ac:dyDescent="0.25">
      <c r="A193" t="s">
        <v>3682</v>
      </c>
      <c r="B193">
        <v>6</v>
      </c>
      <c r="C193" t="s">
        <v>6490</v>
      </c>
      <c r="D193">
        <v>1</v>
      </c>
      <c r="E193">
        <v>1</v>
      </c>
      <c r="F193">
        <v>2</v>
      </c>
      <c r="G193">
        <v>1</v>
      </c>
      <c r="H193">
        <v>1</v>
      </c>
      <c r="I193">
        <v>4</v>
      </c>
      <c r="J193" t="s">
        <v>6490</v>
      </c>
      <c r="K193">
        <v>1</v>
      </c>
      <c r="L193" t="s">
        <v>6490</v>
      </c>
      <c r="M193">
        <v>2</v>
      </c>
      <c r="N193" t="s">
        <v>6490</v>
      </c>
      <c r="O193">
        <v>1</v>
      </c>
      <c r="P193">
        <v>2</v>
      </c>
      <c r="Q193" t="s">
        <v>6490</v>
      </c>
      <c r="R193" t="s">
        <v>6490</v>
      </c>
      <c r="S193" t="s">
        <v>6490</v>
      </c>
      <c r="T193">
        <v>1</v>
      </c>
      <c r="U193" t="s">
        <v>6490</v>
      </c>
      <c r="V193">
        <v>1</v>
      </c>
      <c r="W193" t="s">
        <v>6490</v>
      </c>
      <c r="X193" t="s">
        <v>6490</v>
      </c>
      <c r="Y193" t="s">
        <v>6490</v>
      </c>
      <c r="Z193" t="s">
        <v>6490</v>
      </c>
      <c r="AA193" t="s">
        <v>6490</v>
      </c>
      <c r="AB193" t="s">
        <v>6490</v>
      </c>
      <c r="AC193" t="s">
        <v>6490</v>
      </c>
    </row>
    <row r="194" spans="1:29" x14ac:dyDescent="0.25">
      <c r="A194" t="s">
        <v>3691</v>
      </c>
      <c r="B194">
        <v>179</v>
      </c>
      <c r="C194">
        <v>17</v>
      </c>
      <c r="D194">
        <v>27</v>
      </c>
      <c r="E194">
        <v>57</v>
      </c>
      <c r="F194">
        <v>46</v>
      </c>
      <c r="G194">
        <v>13</v>
      </c>
      <c r="H194">
        <v>19</v>
      </c>
      <c r="I194">
        <v>71</v>
      </c>
      <c r="J194">
        <v>1</v>
      </c>
      <c r="K194">
        <v>8</v>
      </c>
      <c r="L194">
        <v>17</v>
      </c>
      <c r="M194">
        <v>25</v>
      </c>
      <c r="N194">
        <v>4</v>
      </c>
      <c r="O194">
        <v>16</v>
      </c>
      <c r="P194">
        <v>12</v>
      </c>
      <c r="Q194" t="s">
        <v>6490</v>
      </c>
      <c r="R194" t="s">
        <v>6490</v>
      </c>
      <c r="S194">
        <v>2</v>
      </c>
      <c r="T194" t="s">
        <v>6490</v>
      </c>
      <c r="U194">
        <v>1</v>
      </c>
      <c r="V194">
        <v>9</v>
      </c>
      <c r="W194">
        <v>4</v>
      </c>
      <c r="X194" t="s">
        <v>6490</v>
      </c>
      <c r="Y194" t="s">
        <v>6490</v>
      </c>
      <c r="Z194">
        <v>1</v>
      </c>
      <c r="AA194">
        <v>3</v>
      </c>
      <c r="AB194" t="s">
        <v>6490</v>
      </c>
      <c r="AC194" t="s">
        <v>6490</v>
      </c>
    </row>
    <row r="195" spans="1:29" x14ac:dyDescent="0.25">
      <c r="A195" t="s">
        <v>3976</v>
      </c>
      <c r="B195">
        <v>3</v>
      </c>
      <c r="C195" t="s">
        <v>6490</v>
      </c>
      <c r="D195" t="s">
        <v>6490</v>
      </c>
      <c r="E195" t="s">
        <v>6490</v>
      </c>
      <c r="F195" t="s">
        <v>6490</v>
      </c>
      <c r="G195">
        <v>1</v>
      </c>
      <c r="H195">
        <v>2</v>
      </c>
      <c r="I195">
        <v>3</v>
      </c>
      <c r="J195" t="s">
        <v>6490</v>
      </c>
      <c r="K195" t="s">
        <v>6490</v>
      </c>
      <c r="L195" t="s">
        <v>6490</v>
      </c>
      <c r="M195" t="s">
        <v>6490</v>
      </c>
      <c r="N195">
        <v>1</v>
      </c>
      <c r="O195">
        <v>2</v>
      </c>
      <c r="P195">
        <v>3</v>
      </c>
      <c r="Q195" t="s">
        <v>6490</v>
      </c>
      <c r="R195" t="s">
        <v>6490</v>
      </c>
      <c r="S195" t="s">
        <v>6490</v>
      </c>
      <c r="T195" t="s">
        <v>6490</v>
      </c>
      <c r="U195">
        <v>1</v>
      </c>
      <c r="V195">
        <v>2</v>
      </c>
      <c r="W195" t="s">
        <v>6490</v>
      </c>
      <c r="X195" t="s">
        <v>6490</v>
      </c>
      <c r="Y195" t="s">
        <v>6490</v>
      </c>
      <c r="Z195" t="s">
        <v>6490</v>
      </c>
      <c r="AA195" t="s">
        <v>6490</v>
      </c>
      <c r="AB195" t="s">
        <v>6490</v>
      </c>
      <c r="AC195" t="s">
        <v>6490</v>
      </c>
    </row>
    <row r="196" spans="1:29" x14ac:dyDescent="0.25">
      <c r="A196" t="s">
        <v>3990</v>
      </c>
      <c r="B196">
        <v>45</v>
      </c>
      <c r="C196">
        <v>9</v>
      </c>
      <c r="D196">
        <v>6</v>
      </c>
      <c r="E196">
        <v>9</v>
      </c>
      <c r="F196">
        <v>10</v>
      </c>
      <c r="G196">
        <v>6</v>
      </c>
      <c r="H196">
        <v>5</v>
      </c>
      <c r="I196">
        <v>3</v>
      </c>
      <c r="J196" t="s">
        <v>6490</v>
      </c>
      <c r="K196" t="s">
        <v>6490</v>
      </c>
      <c r="L196">
        <v>1</v>
      </c>
      <c r="M196" t="s">
        <v>6490</v>
      </c>
      <c r="N196" t="s">
        <v>6490</v>
      </c>
      <c r="O196">
        <v>2</v>
      </c>
      <c r="P196">
        <v>12</v>
      </c>
      <c r="Q196" t="s">
        <v>6490</v>
      </c>
      <c r="R196" t="s">
        <v>6490</v>
      </c>
      <c r="S196">
        <v>2</v>
      </c>
      <c r="T196">
        <v>1</v>
      </c>
      <c r="U196">
        <v>5</v>
      </c>
      <c r="V196">
        <v>4</v>
      </c>
      <c r="W196" t="s">
        <v>6490</v>
      </c>
      <c r="X196" t="s">
        <v>6490</v>
      </c>
      <c r="Y196" t="s">
        <v>6490</v>
      </c>
      <c r="Z196" t="s">
        <v>6490</v>
      </c>
      <c r="AA196" t="s">
        <v>6490</v>
      </c>
      <c r="AB196" t="s">
        <v>6490</v>
      </c>
      <c r="AC196" t="s">
        <v>6490</v>
      </c>
    </row>
    <row r="197" spans="1:29" x14ac:dyDescent="0.25">
      <c r="A197" t="s">
        <v>56</v>
      </c>
      <c r="B197">
        <v>30</v>
      </c>
      <c r="C197">
        <v>1</v>
      </c>
      <c r="D197">
        <v>11</v>
      </c>
      <c r="E197">
        <v>6</v>
      </c>
      <c r="F197">
        <v>5</v>
      </c>
      <c r="G197">
        <v>5</v>
      </c>
      <c r="H197">
        <v>2</v>
      </c>
      <c r="I197">
        <v>2</v>
      </c>
      <c r="J197" t="s">
        <v>6490</v>
      </c>
      <c r="K197" t="s">
        <v>6490</v>
      </c>
      <c r="L197" t="s">
        <v>6490</v>
      </c>
      <c r="M197">
        <v>1</v>
      </c>
      <c r="N197" t="s">
        <v>6490</v>
      </c>
      <c r="O197">
        <v>1</v>
      </c>
      <c r="P197">
        <v>3</v>
      </c>
      <c r="Q197" t="s">
        <v>6490</v>
      </c>
      <c r="R197" t="s">
        <v>6490</v>
      </c>
      <c r="S197" t="s">
        <v>6490</v>
      </c>
      <c r="T197" t="s">
        <v>6490</v>
      </c>
      <c r="U197">
        <v>1</v>
      </c>
      <c r="V197">
        <v>2</v>
      </c>
      <c r="W197" t="s">
        <v>6490</v>
      </c>
      <c r="X197" t="s">
        <v>6490</v>
      </c>
      <c r="Y197" t="s">
        <v>6490</v>
      </c>
      <c r="Z197" t="s">
        <v>6490</v>
      </c>
      <c r="AA197" t="s">
        <v>6490</v>
      </c>
      <c r="AB197" t="s">
        <v>6490</v>
      </c>
      <c r="AC197" t="s">
        <v>6490</v>
      </c>
    </row>
    <row r="198" spans="1:29" x14ac:dyDescent="0.25">
      <c r="A198" t="s">
        <v>6555</v>
      </c>
      <c r="B198">
        <v>367</v>
      </c>
      <c r="C198">
        <v>21</v>
      </c>
      <c r="D198">
        <v>52</v>
      </c>
      <c r="E198">
        <v>79</v>
      </c>
      <c r="F198">
        <v>71</v>
      </c>
      <c r="G198">
        <v>54</v>
      </c>
      <c r="H198">
        <v>90</v>
      </c>
      <c r="I198">
        <v>153</v>
      </c>
      <c r="J198" t="s">
        <v>6490</v>
      </c>
      <c r="K198">
        <v>13</v>
      </c>
      <c r="L198">
        <v>20</v>
      </c>
      <c r="M198">
        <v>28</v>
      </c>
      <c r="N198">
        <v>29</v>
      </c>
      <c r="O198">
        <v>63</v>
      </c>
      <c r="P198">
        <v>112</v>
      </c>
      <c r="Q198" t="s">
        <v>6490</v>
      </c>
      <c r="R198">
        <v>1</v>
      </c>
      <c r="S198">
        <v>6</v>
      </c>
      <c r="T198">
        <v>14</v>
      </c>
      <c r="U198">
        <v>23</v>
      </c>
      <c r="V198">
        <v>68</v>
      </c>
      <c r="W198">
        <v>28</v>
      </c>
      <c r="X198" t="s">
        <v>6490</v>
      </c>
      <c r="Y198">
        <v>8</v>
      </c>
      <c r="Z198">
        <v>9</v>
      </c>
      <c r="AA198">
        <v>8</v>
      </c>
      <c r="AB198">
        <v>1</v>
      </c>
      <c r="AC198">
        <v>2</v>
      </c>
    </row>
    <row r="199" spans="1:29" x14ac:dyDescent="0.25">
      <c r="A199" t="s">
        <v>6507</v>
      </c>
      <c r="B199">
        <v>10</v>
      </c>
      <c r="C199">
        <v>1</v>
      </c>
      <c r="D199">
        <v>1</v>
      </c>
      <c r="E199">
        <v>1</v>
      </c>
      <c r="F199">
        <v>3</v>
      </c>
      <c r="G199">
        <v>1</v>
      </c>
      <c r="H199">
        <v>3</v>
      </c>
      <c r="I199">
        <v>7</v>
      </c>
      <c r="J199">
        <v>1</v>
      </c>
      <c r="K199" t="s">
        <v>6490</v>
      </c>
      <c r="L199">
        <v>1</v>
      </c>
      <c r="M199">
        <v>2</v>
      </c>
      <c r="N199" t="s">
        <v>6490</v>
      </c>
      <c r="O199">
        <v>3</v>
      </c>
      <c r="P199">
        <v>6</v>
      </c>
      <c r="Q199" t="s">
        <v>6490</v>
      </c>
      <c r="R199" t="s">
        <v>6490</v>
      </c>
      <c r="S199">
        <v>1</v>
      </c>
      <c r="T199">
        <v>2</v>
      </c>
      <c r="U199" t="s">
        <v>6490</v>
      </c>
      <c r="V199">
        <v>3</v>
      </c>
      <c r="W199" t="s">
        <v>6490</v>
      </c>
      <c r="X199" t="s">
        <v>6490</v>
      </c>
      <c r="Y199" t="s">
        <v>6490</v>
      </c>
      <c r="Z199" t="s">
        <v>6490</v>
      </c>
      <c r="AA199" t="s">
        <v>6490</v>
      </c>
      <c r="AB199" t="s">
        <v>6490</v>
      </c>
      <c r="AC199" t="s">
        <v>6490</v>
      </c>
    </row>
    <row r="200" spans="1:29" x14ac:dyDescent="0.25">
      <c r="A200" t="s">
        <v>4088</v>
      </c>
      <c r="B200">
        <v>9</v>
      </c>
      <c r="C200" t="s">
        <v>6490</v>
      </c>
      <c r="D200">
        <v>4</v>
      </c>
      <c r="E200">
        <v>2</v>
      </c>
      <c r="F200">
        <v>3</v>
      </c>
      <c r="G200" t="s">
        <v>6490</v>
      </c>
      <c r="H200" t="s">
        <v>6490</v>
      </c>
      <c r="I200" t="s">
        <v>6490</v>
      </c>
      <c r="J200" t="s">
        <v>6490</v>
      </c>
      <c r="K200" t="s">
        <v>6490</v>
      </c>
      <c r="L200" t="s">
        <v>6490</v>
      </c>
      <c r="M200" t="s">
        <v>6490</v>
      </c>
      <c r="N200" t="s">
        <v>6490</v>
      </c>
      <c r="O200" t="s">
        <v>6490</v>
      </c>
      <c r="P200" t="s">
        <v>6490</v>
      </c>
      <c r="Q200" t="s">
        <v>6490</v>
      </c>
      <c r="R200" t="s">
        <v>6490</v>
      </c>
      <c r="S200" t="s">
        <v>6490</v>
      </c>
      <c r="T200" t="s">
        <v>6490</v>
      </c>
      <c r="U200" t="s">
        <v>6490</v>
      </c>
      <c r="V200" t="s">
        <v>6490</v>
      </c>
      <c r="W200" t="s">
        <v>6490</v>
      </c>
      <c r="X200" t="s">
        <v>6490</v>
      </c>
      <c r="Y200" t="s">
        <v>6490</v>
      </c>
      <c r="Z200" t="s">
        <v>6490</v>
      </c>
      <c r="AA200" t="s">
        <v>6490</v>
      </c>
      <c r="AB200" t="s">
        <v>6490</v>
      </c>
      <c r="AC200" t="s">
        <v>6490</v>
      </c>
    </row>
    <row r="201" spans="1:29" x14ac:dyDescent="0.25">
      <c r="A201" t="s">
        <v>4114</v>
      </c>
      <c r="B201" t="s">
        <v>6490</v>
      </c>
      <c r="C201" t="s">
        <v>6490</v>
      </c>
      <c r="D201" t="s">
        <v>6490</v>
      </c>
      <c r="E201" t="s">
        <v>6490</v>
      </c>
      <c r="F201" t="s">
        <v>6490</v>
      </c>
      <c r="G201" t="s">
        <v>6490</v>
      </c>
      <c r="H201" t="s">
        <v>6490</v>
      </c>
      <c r="I201" t="s">
        <v>6490</v>
      </c>
      <c r="J201" t="s">
        <v>6490</v>
      </c>
      <c r="K201" t="s">
        <v>6490</v>
      </c>
      <c r="L201" t="s">
        <v>6490</v>
      </c>
      <c r="M201" t="s">
        <v>6490</v>
      </c>
      <c r="N201" t="s">
        <v>6490</v>
      </c>
      <c r="O201" t="s">
        <v>6490</v>
      </c>
      <c r="P201" t="s">
        <v>6490</v>
      </c>
      <c r="Q201" t="s">
        <v>6490</v>
      </c>
      <c r="R201" t="s">
        <v>6490</v>
      </c>
      <c r="S201" t="s">
        <v>6490</v>
      </c>
      <c r="T201" t="s">
        <v>6490</v>
      </c>
      <c r="U201" t="s">
        <v>6490</v>
      </c>
      <c r="V201" t="s">
        <v>6490</v>
      </c>
      <c r="W201" t="s">
        <v>6490</v>
      </c>
      <c r="X201" t="s">
        <v>6490</v>
      </c>
      <c r="Y201" t="s">
        <v>6490</v>
      </c>
      <c r="Z201" t="s">
        <v>6490</v>
      </c>
      <c r="AA201" t="s">
        <v>6490</v>
      </c>
      <c r="AB201" t="s">
        <v>6490</v>
      </c>
      <c r="AC201" t="s">
        <v>6490</v>
      </c>
    </row>
    <row r="202" spans="1:29" x14ac:dyDescent="0.25">
      <c r="A202" t="s">
        <v>4119</v>
      </c>
      <c r="B202">
        <v>1</v>
      </c>
      <c r="C202" t="s">
        <v>6490</v>
      </c>
      <c r="D202">
        <v>1</v>
      </c>
      <c r="E202" t="s">
        <v>6490</v>
      </c>
      <c r="F202" t="s">
        <v>6490</v>
      </c>
      <c r="G202" t="s">
        <v>6490</v>
      </c>
      <c r="H202" t="s">
        <v>6490</v>
      </c>
      <c r="I202" t="s">
        <v>6490</v>
      </c>
      <c r="J202" t="s">
        <v>6490</v>
      </c>
      <c r="K202" t="s">
        <v>6490</v>
      </c>
      <c r="L202" t="s">
        <v>6490</v>
      </c>
      <c r="M202" t="s">
        <v>6490</v>
      </c>
      <c r="N202" t="s">
        <v>6490</v>
      </c>
      <c r="O202" t="s">
        <v>6490</v>
      </c>
      <c r="P202" t="s">
        <v>6490</v>
      </c>
      <c r="Q202" t="s">
        <v>6490</v>
      </c>
      <c r="R202" t="s">
        <v>6490</v>
      </c>
      <c r="S202" t="s">
        <v>6490</v>
      </c>
      <c r="T202" t="s">
        <v>6490</v>
      </c>
      <c r="U202" t="s">
        <v>6490</v>
      </c>
      <c r="V202" t="s">
        <v>6490</v>
      </c>
      <c r="W202" t="s">
        <v>6490</v>
      </c>
      <c r="X202" t="s">
        <v>6490</v>
      </c>
      <c r="Y202" t="s">
        <v>6490</v>
      </c>
      <c r="Z202" t="s">
        <v>6490</v>
      </c>
      <c r="AA202" t="s">
        <v>6490</v>
      </c>
      <c r="AB202" t="s">
        <v>6490</v>
      </c>
      <c r="AC202" t="s">
        <v>6490</v>
      </c>
    </row>
    <row r="203" spans="1:29" x14ac:dyDescent="0.25">
      <c r="A203" t="s">
        <v>4122</v>
      </c>
      <c r="B203">
        <v>21</v>
      </c>
      <c r="C203">
        <v>3</v>
      </c>
      <c r="D203">
        <v>7</v>
      </c>
      <c r="E203">
        <v>7</v>
      </c>
      <c r="F203">
        <v>1</v>
      </c>
      <c r="G203">
        <v>1</v>
      </c>
      <c r="H203">
        <v>2</v>
      </c>
      <c r="I203">
        <v>2</v>
      </c>
      <c r="J203" t="s">
        <v>6490</v>
      </c>
      <c r="K203" t="s">
        <v>6490</v>
      </c>
      <c r="L203">
        <v>1</v>
      </c>
      <c r="M203" t="s">
        <v>6490</v>
      </c>
      <c r="N203" t="s">
        <v>6490</v>
      </c>
      <c r="O203">
        <v>1</v>
      </c>
      <c r="P203">
        <v>1</v>
      </c>
      <c r="Q203" t="s">
        <v>6490</v>
      </c>
      <c r="R203" t="s">
        <v>6490</v>
      </c>
      <c r="S203" t="s">
        <v>6490</v>
      </c>
      <c r="T203" t="s">
        <v>6490</v>
      </c>
      <c r="U203" t="s">
        <v>6490</v>
      </c>
      <c r="V203">
        <v>1</v>
      </c>
      <c r="W203" t="s">
        <v>6490</v>
      </c>
      <c r="X203" t="s">
        <v>6490</v>
      </c>
      <c r="Y203" t="s">
        <v>6490</v>
      </c>
      <c r="Z203" t="s">
        <v>6490</v>
      </c>
      <c r="AA203" t="s">
        <v>6490</v>
      </c>
      <c r="AB203" t="s">
        <v>6490</v>
      </c>
      <c r="AC203" t="s">
        <v>6490</v>
      </c>
    </row>
    <row r="204" spans="1:29" x14ac:dyDescent="0.25">
      <c r="A204" t="s">
        <v>4135</v>
      </c>
      <c r="B204">
        <v>37</v>
      </c>
      <c r="C204" t="s">
        <v>6490</v>
      </c>
      <c r="D204">
        <v>7</v>
      </c>
      <c r="E204">
        <v>10</v>
      </c>
      <c r="F204">
        <v>9</v>
      </c>
      <c r="G204">
        <v>7</v>
      </c>
      <c r="H204">
        <v>4</v>
      </c>
      <c r="I204">
        <v>16</v>
      </c>
      <c r="J204" t="s">
        <v>6490</v>
      </c>
      <c r="K204">
        <v>1</v>
      </c>
      <c r="L204">
        <v>3</v>
      </c>
      <c r="M204">
        <v>3</v>
      </c>
      <c r="N204">
        <v>6</v>
      </c>
      <c r="O204">
        <v>3</v>
      </c>
      <c r="P204">
        <v>7</v>
      </c>
      <c r="Q204" t="s">
        <v>6490</v>
      </c>
      <c r="R204" t="s">
        <v>6490</v>
      </c>
      <c r="S204" t="s">
        <v>6490</v>
      </c>
      <c r="T204">
        <v>2</v>
      </c>
      <c r="U204">
        <v>2</v>
      </c>
      <c r="V204">
        <v>3</v>
      </c>
      <c r="W204">
        <v>1</v>
      </c>
      <c r="X204" t="s">
        <v>6490</v>
      </c>
      <c r="Y204" t="s">
        <v>6490</v>
      </c>
      <c r="Z204" t="s">
        <v>6490</v>
      </c>
      <c r="AA204">
        <v>1</v>
      </c>
      <c r="AB204" t="s">
        <v>6490</v>
      </c>
      <c r="AC204" t="s">
        <v>6490</v>
      </c>
    </row>
    <row r="205" spans="1:29" x14ac:dyDescent="0.25">
      <c r="A205" t="s">
        <v>6556</v>
      </c>
      <c r="B205">
        <v>692</v>
      </c>
      <c r="C205">
        <v>69</v>
      </c>
      <c r="D205">
        <v>101</v>
      </c>
      <c r="E205">
        <v>125</v>
      </c>
      <c r="F205">
        <v>155</v>
      </c>
      <c r="G205">
        <v>103</v>
      </c>
      <c r="H205">
        <v>139</v>
      </c>
      <c r="I205">
        <v>194</v>
      </c>
      <c r="J205">
        <v>5</v>
      </c>
      <c r="K205">
        <v>10</v>
      </c>
      <c r="L205">
        <v>21</v>
      </c>
      <c r="M205">
        <v>40</v>
      </c>
      <c r="N205">
        <v>44</v>
      </c>
      <c r="O205">
        <v>74</v>
      </c>
      <c r="P205">
        <v>220</v>
      </c>
      <c r="Q205">
        <v>6</v>
      </c>
      <c r="R205">
        <v>8</v>
      </c>
      <c r="S205">
        <v>12</v>
      </c>
      <c r="T205">
        <v>26</v>
      </c>
      <c r="U205">
        <v>56</v>
      </c>
      <c r="V205">
        <v>112</v>
      </c>
      <c r="W205">
        <v>26</v>
      </c>
      <c r="X205">
        <v>2</v>
      </c>
      <c r="Y205" t="s">
        <v>6490</v>
      </c>
      <c r="Z205">
        <v>5</v>
      </c>
      <c r="AA205">
        <v>12</v>
      </c>
      <c r="AB205">
        <v>1</v>
      </c>
      <c r="AC205">
        <v>6</v>
      </c>
    </row>
    <row r="206" spans="1:29" x14ac:dyDescent="0.25">
      <c r="A206" t="s">
        <v>4241</v>
      </c>
      <c r="B206">
        <v>3</v>
      </c>
      <c r="C206" t="s">
        <v>6490</v>
      </c>
      <c r="D206" t="s">
        <v>6490</v>
      </c>
      <c r="E206" t="s">
        <v>6490</v>
      </c>
      <c r="F206">
        <v>1</v>
      </c>
      <c r="G206">
        <v>1</v>
      </c>
      <c r="H206">
        <v>1</v>
      </c>
      <c r="I206">
        <v>3</v>
      </c>
      <c r="J206" t="s">
        <v>6490</v>
      </c>
      <c r="K206" t="s">
        <v>6490</v>
      </c>
      <c r="L206" t="s">
        <v>6490</v>
      </c>
      <c r="M206">
        <v>1</v>
      </c>
      <c r="N206">
        <v>1</v>
      </c>
      <c r="O206">
        <v>1</v>
      </c>
      <c r="P206" t="s">
        <v>6490</v>
      </c>
      <c r="Q206" t="s">
        <v>6490</v>
      </c>
      <c r="R206" t="s">
        <v>6490</v>
      </c>
      <c r="S206" t="s">
        <v>6490</v>
      </c>
      <c r="T206" t="s">
        <v>6490</v>
      </c>
      <c r="U206" t="s">
        <v>6490</v>
      </c>
      <c r="V206" t="s">
        <v>6490</v>
      </c>
      <c r="W206" t="s">
        <v>6490</v>
      </c>
      <c r="X206" t="s">
        <v>6490</v>
      </c>
      <c r="Y206" t="s">
        <v>6490</v>
      </c>
      <c r="Z206" t="s">
        <v>6490</v>
      </c>
      <c r="AA206" t="s">
        <v>6490</v>
      </c>
      <c r="AB206" t="s">
        <v>6490</v>
      </c>
      <c r="AC206" t="s">
        <v>6490</v>
      </c>
    </row>
    <row r="207" spans="1:29" x14ac:dyDescent="0.25">
      <c r="A207" t="s">
        <v>4244</v>
      </c>
      <c r="B207">
        <v>100</v>
      </c>
      <c r="C207">
        <v>4</v>
      </c>
      <c r="D207">
        <v>7</v>
      </c>
      <c r="E207">
        <v>25</v>
      </c>
      <c r="F207">
        <v>27</v>
      </c>
      <c r="G207">
        <v>10</v>
      </c>
      <c r="H207">
        <v>27</v>
      </c>
      <c r="I207">
        <v>87</v>
      </c>
      <c r="J207">
        <v>2</v>
      </c>
      <c r="K207">
        <v>7</v>
      </c>
      <c r="L207">
        <v>20</v>
      </c>
      <c r="M207">
        <v>23</v>
      </c>
      <c r="N207">
        <v>9</v>
      </c>
      <c r="O207">
        <v>26</v>
      </c>
      <c r="P207">
        <v>28</v>
      </c>
      <c r="Q207" t="s">
        <v>6490</v>
      </c>
      <c r="R207" t="s">
        <v>6490</v>
      </c>
      <c r="S207" t="s">
        <v>6490</v>
      </c>
      <c r="T207" t="s">
        <v>6490</v>
      </c>
      <c r="U207">
        <v>4</v>
      </c>
      <c r="V207">
        <v>24</v>
      </c>
      <c r="W207">
        <v>5</v>
      </c>
      <c r="X207" t="s">
        <v>6490</v>
      </c>
      <c r="Y207" t="s">
        <v>6490</v>
      </c>
      <c r="Z207">
        <v>2</v>
      </c>
      <c r="AA207">
        <v>3</v>
      </c>
      <c r="AB207" t="s">
        <v>6490</v>
      </c>
      <c r="AC207" t="s">
        <v>6490</v>
      </c>
    </row>
    <row r="208" spans="1:29" x14ac:dyDescent="0.25">
      <c r="A208" t="s">
        <v>6518</v>
      </c>
      <c r="B208">
        <v>2</v>
      </c>
      <c r="C208" t="s">
        <v>6490</v>
      </c>
      <c r="D208" t="s">
        <v>6490</v>
      </c>
      <c r="E208" t="s">
        <v>6490</v>
      </c>
      <c r="F208" t="s">
        <v>6490</v>
      </c>
      <c r="G208" t="s">
        <v>6490</v>
      </c>
      <c r="H208">
        <v>2</v>
      </c>
      <c r="I208">
        <v>2</v>
      </c>
      <c r="J208" t="s">
        <v>6490</v>
      </c>
      <c r="K208" t="s">
        <v>6490</v>
      </c>
      <c r="L208" t="s">
        <v>6490</v>
      </c>
      <c r="M208" t="s">
        <v>6490</v>
      </c>
      <c r="N208" t="s">
        <v>6490</v>
      </c>
      <c r="O208">
        <v>2</v>
      </c>
      <c r="P208">
        <v>2</v>
      </c>
      <c r="Q208" t="s">
        <v>6490</v>
      </c>
      <c r="R208" t="s">
        <v>6490</v>
      </c>
      <c r="S208" t="s">
        <v>6490</v>
      </c>
      <c r="T208" t="s">
        <v>6490</v>
      </c>
      <c r="U208" t="s">
        <v>6490</v>
      </c>
      <c r="V208">
        <v>2</v>
      </c>
      <c r="W208" t="s">
        <v>6490</v>
      </c>
      <c r="X208" t="s">
        <v>6490</v>
      </c>
      <c r="Y208" t="s">
        <v>6490</v>
      </c>
      <c r="Z208" t="s">
        <v>6490</v>
      </c>
      <c r="AA208" t="s">
        <v>6490</v>
      </c>
      <c r="AB208" t="s">
        <v>6490</v>
      </c>
      <c r="AC208" t="s">
        <v>6490</v>
      </c>
    </row>
    <row r="209" spans="1:29" x14ac:dyDescent="0.25">
      <c r="A209" t="s">
        <v>4480</v>
      </c>
      <c r="B209" t="s">
        <v>6490</v>
      </c>
      <c r="C209" t="s">
        <v>6490</v>
      </c>
      <c r="D209" t="s">
        <v>6490</v>
      </c>
      <c r="E209" t="s">
        <v>6490</v>
      </c>
      <c r="F209" t="s">
        <v>6490</v>
      </c>
      <c r="G209" t="s">
        <v>6490</v>
      </c>
      <c r="H209" t="s">
        <v>6490</v>
      </c>
      <c r="I209" t="s">
        <v>6490</v>
      </c>
      <c r="J209" t="s">
        <v>6490</v>
      </c>
      <c r="K209" t="s">
        <v>6490</v>
      </c>
      <c r="L209" t="s">
        <v>6490</v>
      </c>
      <c r="M209" t="s">
        <v>6490</v>
      </c>
      <c r="N209" t="s">
        <v>6490</v>
      </c>
      <c r="O209" t="s">
        <v>6490</v>
      </c>
      <c r="P209" t="s">
        <v>6490</v>
      </c>
      <c r="Q209" t="s">
        <v>6490</v>
      </c>
      <c r="R209" t="s">
        <v>6490</v>
      </c>
      <c r="S209" t="s">
        <v>6490</v>
      </c>
      <c r="T209" t="s">
        <v>6490</v>
      </c>
      <c r="U209" t="s">
        <v>6490</v>
      </c>
      <c r="V209" t="s">
        <v>6490</v>
      </c>
      <c r="W209" t="s">
        <v>6490</v>
      </c>
      <c r="X209" t="s">
        <v>6490</v>
      </c>
      <c r="Y209" t="s">
        <v>6490</v>
      </c>
      <c r="Z209" t="s">
        <v>6490</v>
      </c>
      <c r="AA209" t="s">
        <v>6490</v>
      </c>
      <c r="AB209" t="s">
        <v>6490</v>
      </c>
      <c r="AC209" t="s">
        <v>6490</v>
      </c>
    </row>
    <row r="210" spans="1:29" x14ac:dyDescent="0.25">
      <c r="A210" t="s">
        <v>4485</v>
      </c>
      <c r="B210">
        <v>35</v>
      </c>
      <c r="C210">
        <v>9</v>
      </c>
      <c r="D210">
        <v>4</v>
      </c>
      <c r="E210">
        <v>14</v>
      </c>
      <c r="F210">
        <v>7</v>
      </c>
      <c r="G210">
        <v>1</v>
      </c>
      <c r="H210" t="s">
        <v>6490</v>
      </c>
      <c r="I210" t="s">
        <v>6490</v>
      </c>
      <c r="J210" t="s">
        <v>6490</v>
      </c>
      <c r="K210" t="s">
        <v>6490</v>
      </c>
      <c r="L210" t="s">
        <v>6490</v>
      </c>
      <c r="M210" t="s">
        <v>6490</v>
      </c>
      <c r="N210" t="s">
        <v>6490</v>
      </c>
      <c r="O210" t="s">
        <v>6490</v>
      </c>
      <c r="P210" t="s">
        <v>6490</v>
      </c>
      <c r="Q210" t="s">
        <v>6490</v>
      </c>
      <c r="R210" t="s">
        <v>6490</v>
      </c>
      <c r="S210" t="s">
        <v>6490</v>
      </c>
      <c r="T210" t="s">
        <v>6490</v>
      </c>
      <c r="U210" t="s">
        <v>6490</v>
      </c>
      <c r="V210" t="s">
        <v>6490</v>
      </c>
      <c r="W210" t="s">
        <v>6490</v>
      </c>
      <c r="X210" t="s">
        <v>6490</v>
      </c>
      <c r="Y210" t="s">
        <v>6490</v>
      </c>
      <c r="Z210" t="s">
        <v>6490</v>
      </c>
      <c r="AA210" t="s">
        <v>6490</v>
      </c>
      <c r="AB210" t="s">
        <v>6490</v>
      </c>
      <c r="AC210" t="s">
        <v>6490</v>
      </c>
    </row>
    <row r="211" spans="1:29" x14ac:dyDescent="0.25">
      <c r="A211" t="s">
        <v>4544</v>
      </c>
      <c r="B211">
        <v>3</v>
      </c>
      <c r="C211" t="s">
        <v>6490</v>
      </c>
      <c r="D211">
        <v>2</v>
      </c>
      <c r="E211">
        <v>1</v>
      </c>
      <c r="F211" t="s">
        <v>6490</v>
      </c>
      <c r="G211" t="s">
        <v>6490</v>
      </c>
      <c r="H211" t="s">
        <v>6490</v>
      </c>
      <c r="I211" t="s">
        <v>6490</v>
      </c>
      <c r="J211" t="s">
        <v>6490</v>
      </c>
      <c r="K211" t="s">
        <v>6490</v>
      </c>
      <c r="L211" t="s">
        <v>6490</v>
      </c>
      <c r="M211" t="s">
        <v>6490</v>
      </c>
      <c r="N211" t="s">
        <v>6490</v>
      </c>
      <c r="O211" t="s">
        <v>6490</v>
      </c>
      <c r="P211" t="s">
        <v>6490</v>
      </c>
      <c r="Q211" t="s">
        <v>6490</v>
      </c>
      <c r="R211" t="s">
        <v>6490</v>
      </c>
      <c r="S211" t="s">
        <v>6490</v>
      </c>
      <c r="T211" t="s">
        <v>6490</v>
      </c>
      <c r="U211" t="s">
        <v>6490</v>
      </c>
      <c r="V211" t="s">
        <v>6490</v>
      </c>
      <c r="W211" t="s">
        <v>6490</v>
      </c>
      <c r="X211" t="s">
        <v>6490</v>
      </c>
      <c r="Y211" t="s">
        <v>6490</v>
      </c>
      <c r="Z211" t="s">
        <v>6490</v>
      </c>
      <c r="AA211" t="s">
        <v>6490</v>
      </c>
      <c r="AB211" t="s">
        <v>6490</v>
      </c>
      <c r="AC211" t="s">
        <v>6490</v>
      </c>
    </row>
    <row r="212" spans="1:29" x14ac:dyDescent="0.25">
      <c r="A212" t="s">
        <v>4549</v>
      </c>
      <c r="B212">
        <v>9</v>
      </c>
      <c r="C212">
        <v>1</v>
      </c>
      <c r="D212" t="s">
        <v>6490</v>
      </c>
      <c r="E212">
        <v>6</v>
      </c>
      <c r="F212">
        <v>1</v>
      </c>
      <c r="G212">
        <v>1</v>
      </c>
      <c r="H212" t="s">
        <v>6490</v>
      </c>
      <c r="I212">
        <v>6</v>
      </c>
      <c r="J212" t="s">
        <v>6490</v>
      </c>
      <c r="K212" t="s">
        <v>6490</v>
      </c>
      <c r="L212">
        <v>4</v>
      </c>
      <c r="M212">
        <v>1</v>
      </c>
      <c r="N212">
        <v>1</v>
      </c>
      <c r="O212" t="s">
        <v>6490</v>
      </c>
      <c r="P212">
        <v>5</v>
      </c>
      <c r="Q212" t="s">
        <v>6490</v>
      </c>
      <c r="R212" t="s">
        <v>6490</v>
      </c>
      <c r="S212">
        <v>3</v>
      </c>
      <c r="T212">
        <v>1</v>
      </c>
      <c r="U212">
        <v>1</v>
      </c>
      <c r="V212" t="s">
        <v>6490</v>
      </c>
      <c r="W212">
        <v>2</v>
      </c>
      <c r="X212" t="s">
        <v>6490</v>
      </c>
      <c r="Y212" t="s">
        <v>6490</v>
      </c>
      <c r="Z212">
        <v>2</v>
      </c>
      <c r="AA212" t="s">
        <v>6490</v>
      </c>
      <c r="AB212" t="s">
        <v>6490</v>
      </c>
      <c r="AC212" t="s">
        <v>6490</v>
      </c>
    </row>
    <row r="213" spans="1:29" x14ac:dyDescent="0.25">
      <c r="A213" t="s">
        <v>4624</v>
      </c>
      <c r="B213">
        <v>31</v>
      </c>
      <c r="C213" t="s">
        <v>6490</v>
      </c>
      <c r="D213">
        <v>1</v>
      </c>
      <c r="E213">
        <v>4</v>
      </c>
      <c r="F213">
        <v>9</v>
      </c>
      <c r="G213">
        <v>4</v>
      </c>
      <c r="H213">
        <v>13</v>
      </c>
      <c r="I213">
        <v>24</v>
      </c>
      <c r="J213" t="s">
        <v>6490</v>
      </c>
      <c r="K213" t="s">
        <v>6490</v>
      </c>
      <c r="L213">
        <v>1</v>
      </c>
      <c r="M213">
        <v>6</v>
      </c>
      <c r="N213">
        <v>4</v>
      </c>
      <c r="O213">
        <v>13</v>
      </c>
      <c r="P213">
        <v>19</v>
      </c>
      <c r="Q213" t="s">
        <v>6490</v>
      </c>
      <c r="R213" t="s">
        <v>6490</v>
      </c>
      <c r="S213">
        <v>1</v>
      </c>
      <c r="T213">
        <v>5</v>
      </c>
      <c r="U213">
        <v>1</v>
      </c>
      <c r="V213">
        <v>12</v>
      </c>
      <c r="W213">
        <v>1</v>
      </c>
      <c r="X213" t="s">
        <v>6490</v>
      </c>
      <c r="Y213" t="s">
        <v>6490</v>
      </c>
      <c r="Z213" t="s">
        <v>6490</v>
      </c>
      <c r="AA213" t="s">
        <v>6490</v>
      </c>
      <c r="AB213" t="s">
        <v>6490</v>
      </c>
      <c r="AC213">
        <v>1</v>
      </c>
    </row>
    <row r="214" spans="1:29" x14ac:dyDescent="0.25">
      <c r="A214" t="s">
        <v>4744</v>
      </c>
      <c r="B214">
        <v>4</v>
      </c>
      <c r="C214">
        <v>1</v>
      </c>
      <c r="D214">
        <v>1</v>
      </c>
      <c r="E214" t="s">
        <v>6490</v>
      </c>
      <c r="F214">
        <v>1</v>
      </c>
      <c r="G214" t="s">
        <v>6490</v>
      </c>
      <c r="H214">
        <v>1</v>
      </c>
      <c r="I214" t="s">
        <v>6490</v>
      </c>
      <c r="J214" t="s">
        <v>6490</v>
      </c>
      <c r="K214" t="s">
        <v>6490</v>
      </c>
      <c r="L214" t="s">
        <v>6490</v>
      </c>
      <c r="M214" t="s">
        <v>6490</v>
      </c>
      <c r="N214" t="s">
        <v>6490</v>
      </c>
      <c r="O214" t="s">
        <v>6490</v>
      </c>
      <c r="P214">
        <v>1</v>
      </c>
      <c r="Q214" t="s">
        <v>6490</v>
      </c>
      <c r="R214" t="s">
        <v>6490</v>
      </c>
      <c r="S214" t="s">
        <v>6490</v>
      </c>
      <c r="T214">
        <v>1</v>
      </c>
      <c r="U214" t="s">
        <v>6490</v>
      </c>
      <c r="V214" t="s">
        <v>6490</v>
      </c>
      <c r="W214" t="s">
        <v>6490</v>
      </c>
      <c r="X214" t="s">
        <v>6490</v>
      </c>
      <c r="Y214" t="s">
        <v>6490</v>
      </c>
      <c r="Z214" t="s">
        <v>6490</v>
      </c>
      <c r="AA214" t="s">
        <v>6490</v>
      </c>
      <c r="AB214" t="s">
        <v>6490</v>
      </c>
      <c r="AC214" t="s">
        <v>6490</v>
      </c>
    </row>
    <row r="215" spans="1:29" x14ac:dyDescent="0.25">
      <c r="A215" t="s">
        <v>4747</v>
      </c>
      <c r="B215">
        <v>29</v>
      </c>
      <c r="C215">
        <v>2</v>
      </c>
      <c r="D215">
        <v>4</v>
      </c>
      <c r="E215">
        <v>7</v>
      </c>
      <c r="F215">
        <v>10</v>
      </c>
      <c r="G215">
        <v>5</v>
      </c>
      <c r="H215">
        <v>1</v>
      </c>
      <c r="I215">
        <v>9</v>
      </c>
      <c r="J215">
        <v>1</v>
      </c>
      <c r="K215">
        <v>1</v>
      </c>
      <c r="L215">
        <v>2</v>
      </c>
      <c r="M215">
        <v>2</v>
      </c>
      <c r="N215">
        <v>2</v>
      </c>
      <c r="O215">
        <v>1</v>
      </c>
      <c r="P215">
        <v>3</v>
      </c>
      <c r="Q215" t="s">
        <v>6490</v>
      </c>
      <c r="R215" t="s">
        <v>6490</v>
      </c>
      <c r="S215">
        <v>1</v>
      </c>
      <c r="T215" t="s">
        <v>6490</v>
      </c>
      <c r="U215">
        <v>2</v>
      </c>
      <c r="V215" t="s">
        <v>6490</v>
      </c>
      <c r="W215">
        <v>4</v>
      </c>
      <c r="X215" t="s">
        <v>6490</v>
      </c>
      <c r="Y215" t="s">
        <v>6490</v>
      </c>
      <c r="Z215" t="s">
        <v>6490</v>
      </c>
      <c r="AA215">
        <v>3</v>
      </c>
      <c r="AB215">
        <v>1</v>
      </c>
      <c r="AC215" t="s">
        <v>6490</v>
      </c>
    </row>
    <row r="216" spans="1:29" x14ac:dyDescent="0.25">
      <c r="A216" t="s">
        <v>4823</v>
      </c>
      <c r="B216">
        <v>2</v>
      </c>
      <c r="C216" t="s">
        <v>6490</v>
      </c>
      <c r="D216" t="s">
        <v>6490</v>
      </c>
      <c r="E216" t="s">
        <v>6490</v>
      </c>
      <c r="F216" t="s">
        <v>6490</v>
      </c>
      <c r="G216">
        <v>1</v>
      </c>
      <c r="H216">
        <v>1</v>
      </c>
      <c r="I216">
        <v>2</v>
      </c>
      <c r="J216" t="s">
        <v>6490</v>
      </c>
      <c r="K216" t="s">
        <v>6490</v>
      </c>
      <c r="L216" t="s">
        <v>6490</v>
      </c>
      <c r="M216" t="s">
        <v>6490</v>
      </c>
      <c r="N216">
        <v>1</v>
      </c>
      <c r="O216">
        <v>1</v>
      </c>
      <c r="P216">
        <v>2</v>
      </c>
      <c r="Q216" t="s">
        <v>6490</v>
      </c>
      <c r="R216" t="s">
        <v>6490</v>
      </c>
      <c r="S216" t="s">
        <v>6490</v>
      </c>
      <c r="T216" t="s">
        <v>6490</v>
      </c>
      <c r="U216">
        <v>1</v>
      </c>
      <c r="V216">
        <v>1</v>
      </c>
      <c r="W216" t="s">
        <v>6490</v>
      </c>
      <c r="X216" t="s">
        <v>6490</v>
      </c>
      <c r="Y216" t="s">
        <v>6490</v>
      </c>
      <c r="Z216" t="s">
        <v>6490</v>
      </c>
      <c r="AA216" t="s">
        <v>6490</v>
      </c>
      <c r="AB216" t="s">
        <v>6490</v>
      </c>
      <c r="AC216" t="s">
        <v>6490</v>
      </c>
    </row>
    <row r="217" spans="1:29" ht="30" customHeight="1" x14ac:dyDescent="0.25">
      <c r="A217" s="13" t="s">
        <v>6557</v>
      </c>
      <c r="B217">
        <v>202</v>
      </c>
      <c r="C217">
        <v>34</v>
      </c>
      <c r="D217">
        <v>38</v>
      </c>
      <c r="E217">
        <v>69</v>
      </c>
      <c r="F217">
        <v>33</v>
      </c>
      <c r="G217">
        <v>20</v>
      </c>
      <c r="H217">
        <v>8</v>
      </c>
      <c r="I217">
        <v>43</v>
      </c>
      <c r="J217" t="s">
        <v>6490</v>
      </c>
      <c r="K217">
        <v>3</v>
      </c>
      <c r="L217">
        <v>9</v>
      </c>
      <c r="M217">
        <v>14</v>
      </c>
      <c r="N217">
        <v>9</v>
      </c>
      <c r="O217">
        <v>8</v>
      </c>
      <c r="P217">
        <v>21</v>
      </c>
      <c r="Q217" t="s">
        <v>6490</v>
      </c>
      <c r="R217" t="s">
        <v>6490</v>
      </c>
      <c r="S217">
        <v>1</v>
      </c>
      <c r="T217">
        <v>3</v>
      </c>
      <c r="U217">
        <v>9</v>
      </c>
      <c r="V217">
        <v>8</v>
      </c>
      <c r="W217">
        <v>19</v>
      </c>
      <c r="X217">
        <v>2</v>
      </c>
      <c r="Y217">
        <v>1</v>
      </c>
      <c r="Z217">
        <v>9</v>
      </c>
      <c r="AA217">
        <v>6</v>
      </c>
      <c r="AB217">
        <v>1</v>
      </c>
      <c r="AC217" t="s">
        <v>6490</v>
      </c>
    </row>
    <row r="218" spans="1:29" x14ac:dyDescent="0.25">
      <c r="A218" t="s">
        <v>4826</v>
      </c>
      <c r="B218">
        <v>8</v>
      </c>
      <c r="C218" t="s">
        <v>6490</v>
      </c>
      <c r="D218" t="s">
        <v>6490</v>
      </c>
      <c r="E218" t="s">
        <v>6490</v>
      </c>
      <c r="F218">
        <v>7</v>
      </c>
      <c r="G218" t="s">
        <v>6490</v>
      </c>
      <c r="H218">
        <v>1</v>
      </c>
      <c r="I218">
        <v>7</v>
      </c>
      <c r="J218" t="s">
        <v>6490</v>
      </c>
      <c r="K218" t="s">
        <v>6490</v>
      </c>
      <c r="L218" t="s">
        <v>6490</v>
      </c>
      <c r="M218">
        <v>6</v>
      </c>
      <c r="N218" t="s">
        <v>6490</v>
      </c>
      <c r="O218">
        <v>1</v>
      </c>
      <c r="P218">
        <v>7</v>
      </c>
      <c r="Q218" t="s">
        <v>6490</v>
      </c>
      <c r="R218" t="s">
        <v>6490</v>
      </c>
      <c r="S218" t="s">
        <v>6490</v>
      </c>
      <c r="T218">
        <v>6</v>
      </c>
      <c r="U218" t="s">
        <v>6490</v>
      </c>
      <c r="V218">
        <v>1</v>
      </c>
      <c r="W218">
        <v>5</v>
      </c>
      <c r="X218" t="s">
        <v>6490</v>
      </c>
      <c r="Y218" t="s">
        <v>6490</v>
      </c>
      <c r="Z218" t="s">
        <v>6490</v>
      </c>
      <c r="AA218">
        <v>5</v>
      </c>
      <c r="AB218" t="s">
        <v>6490</v>
      </c>
      <c r="AC218" t="s">
        <v>6490</v>
      </c>
    </row>
    <row r="219" spans="1:29" x14ac:dyDescent="0.25">
      <c r="A219" t="s">
        <v>4831</v>
      </c>
      <c r="B219" t="s">
        <v>6490</v>
      </c>
      <c r="C219" t="s">
        <v>6490</v>
      </c>
      <c r="D219" t="s">
        <v>6490</v>
      </c>
      <c r="E219" t="s">
        <v>6490</v>
      </c>
      <c r="F219" t="s">
        <v>6490</v>
      </c>
      <c r="G219" t="s">
        <v>6490</v>
      </c>
      <c r="H219" t="s">
        <v>6490</v>
      </c>
      <c r="I219" t="s">
        <v>6490</v>
      </c>
      <c r="J219" t="s">
        <v>6490</v>
      </c>
      <c r="K219" t="s">
        <v>6490</v>
      </c>
      <c r="L219" t="s">
        <v>6490</v>
      </c>
      <c r="M219" t="s">
        <v>6490</v>
      </c>
      <c r="N219" t="s">
        <v>6490</v>
      </c>
      <c r="O219" t="s">
        <v>6490</v>
      </c>
      <c r="P219" t="s">
        <v>6490</v>
      </c>
      <c r="Q219" t="s">
        <v>6490</v>
      </c>
      <c r="R219" t="s">
        <v>6490</v>
      </c>
      <c r="S219" t="s">
        <v>6490</v>
      </c>
      <c r="T219" t="s">
        <v>6490</v>
      </c>
      <c r="U219" t="s">
        <v>6490</v>
      </c>
      <c r="V219" t="s">
        <v>6490</v>
      </c>
      <c r="W219" t="s">
        <v>6490</v>
      </c>
      <c r="X219" t="s">
        <v>6490</v>
      </c>
      <c r="Y219" t="s">
        <v>6490</v>
      </c>
      <c r="Z219" t="s">
        <v>6490</v>
      </c>
      <c r="AA219" t="s">
        <v>6490</v>
      </c>
      <c r="AB219" t="s">
        <v>6490</v>
      </c>
      <c r="AC219" t="s">
        <v>6490</v>
      </c>
    </row>
    <row r="220" spans="1:29" x14ac:dyDescent="0.25">
      <c r="A220" t="s">
        <v>4838</v>
      </c>
      <c r="B220">
        <v>21</v>
      </c>
      <c r="C220">
        <v>3</v>
      </c>
      <c r="D220">
        <v>1</v>
      </c>
      <c r="E220">
        <v>5</v>
      </c>
      <c r="F220">
        <v>1</v>
      </c>
      <c r="G220">
        <v>2</v>
      </c>
      <c r="H220">
        <v>9</v>
      </c>
      <c r="I220">
        <v>12</v>
      </c>
      <c r="J220" t="s">
        <v>6490</v>
      </c>
      <c r="K220" t="s">
        <v>6490</v>
      </c>
      <c r="L220">
        <v>3</v>
      </c>
      <c r="M220" t="s">
        <v>6490</v>
      </c>
      <c r="N220">
        <v>1</v>
      </c>
      <c r="O220">
        <v>8</v>
      </c>
      <c r="P220">
        <v>5</v>
      </c>
      <c r="Q220" t="s">
        <v>6490</v>
      </c>
      <c r="R220" t="s">
        <v>6490</v>
      </c>
      <c r="S220" t="s">
        <v>6490</v>
      </c>
      <c r="T220" t="s">
        <v>6490</v>
      </c>
      <c r="U220" t="s">
        <v>6490</v>
      </c>
      <c r="V220">
        <v>5</v>
      </c>
      <c r="W220" t="s">
        <v>6490</v>
      </c>
      <c r="X220" t="s">
        <v>6490</v>
      </c>
      <c r="Y220" t="s">
        <v>6490</v>
      </c>
      <c r="Z220" t="s">
        <v>6490</v>
      </c>
      <c r="AA220" t="s">
        <v>6490</v>
      </c>
      <c r="AB220" t="s">
        <v>6490</v>
      </c>
      <c r="AC220" t="s">
        <v>6490</v>
      </c>
    </row>
    <row r="221" spans="1:29" x14ac:dyDescent="0.25">
      <c r="A221" t="s">
        <v>4844</v>
      </c>
      <c r="B221">
        <v>32</v>
      </c>
      <c r="C221">
        <v>3</v>
      </c>
      <c r="D221">
        <v>11</v>
      </c>
      <c r="E221">
        <v>11</v>
      </c>
      <c r="F221">
        <v>7</v>
      </c>
      <c r="G221" t="s">
        <v>6490</v>
      </c>
      <c r="H221" t="s">
        <v>6490</v>
      </c>
      <c r="I221" t="s">
        <v>6490</v>
      </c>
      <c r="J221" t="s">
        <v>6490</v>
      </c>
      <c r="K221" t="s">
        <v>6490</v>
      </c>
      <c r="L221" t="s">
        <v>6490</v>
      </c>
      <c r="M221" t="s">
        <v>6490</v>
      </c>
      <c r="N221" t="s">
        <v>6490</v>
      </c>
      <c r="O221" t="s">
        <v>6490</v>
      </c>
      <c r="P221">
        <v>2</v>
      </c>
      <c r="Q221" t="s">
        <v>6490</v>
      </c>
      <c r="R221">
        <v>2</v>
      </c>
      <c r="S221" t="s">
        <v>6490</v>
      </c>
      <c r="T221" t="s">
        <v>6490</v>
      </c>
      <c r="U221" t="s">
        <v>6490</v>
      </c>
      <c r="V221" t="s">
        <v>6490</v>
      </c>
      <c r="W221">
        <v>5</v>
      </c>
      <c r="X221" t="s">
        <v>6490</v>
      </c>
      <c r="Y221" t="s">
        <v>6490</v>
      </c>
      <c r="Z221">
        <v>4</v>
      </c>
      <c r="AA221">
        <v>1</v>
      </c>
      <c r="AB221" t="s">
        <v>6490</v>
      </c>
      <c r="AC221" t="s">
        <v>6490</v>
      </c>
    </row>
    <row r="222" spans="1:29" x14ac:dyDescent="0.25">
      <c r="A222" t="s">
        <v>4895</v>
      </c>
      <c r="B222">
        <v>2</v>
      </c>
      <c r="C222">
        <v>1</v>
      </c>
      <c r="D222" t="s">
        <v>6490</v>
      </c>
      <c r="E222">
        <v>1</v>
      </c>
      <c r="F222" t="s">
        <v>6490</v>
      </c>
      <c r="G222" t="s">
        <v>6490</v>
      </c>
      <c r="H222" t="s">
        <v>6490</v>
      </c>
      <c r="I222" t="s">
        <v>6490</v>
      </c>
      <c r="J222" t="s">
        <v>6490</v>
      </c>
      <c r="K222" t="s">
        <v>6490</v>
      </c>
      <c r="L222" t="s">
        <v>6490</v>
      </c>
      <c r="M222" t="s">
        <v>6490</v>
      </c>
      <c r="N222" t="s">
        <v>6490</v>
      </c>
      <c r="O222" t="s">
        <v>6490</v>
      </c>
      <c r="P222" t="s">
        <v>6490</v>
      </c>
      <c r="Q222" t="s">
        <v>6490</v>
      </c>
      <c r="R222" t="s">
        <v>6490</v>
      </c>
      <c r="S222" t="s">
        <v>6490</v>
      </c>
      <c r="T222" t="s">
        <v>6490</v>
      </c>
      <c r="U222" t="s">
        <v>6490</v>
      </c>
      <c r="V222" t="s">
        <v>6490</v>
      </c>
      <c r="W222" t="s">
        <v>6490</v>
      </c>
      <c r="X222" t="s">
        <v>6490</v>
      </c>
      <c r="Y222" t="s">
        <v>6490</v>
      </c>
      <c r="Z222" t="s">
        <v>6490</v>
      </c>
      <c r="AA222" t="s">
        <v>6490</v>
      </c>
      <c r="AB222" t="s">
        <v>6490</v>
      </c>
      <c r="AC222" t="s">
        <v>6490</v>
      </c>
    </row>
    <row r="223" spans="1:29" x14ac:dyDescent="0.25">
      <c r="A223" t="s">
        <v>4909</v>
      </c>
      <c r="B223">
        <v>4</v>
      </c>
      <c r="C223" t="s">
        <v>6490</v>
      </c>
      <c r="D223">
        <v>1</v>
      </c>
      <c r="E223">
        <v>1</v>
      </c>
      <c r="F223">
        <v>1</v>
      </c>
      <c r="G223">
        <v>1</v>
      </c>
      <c r="H223" t="s">
        <v>6490</v>
      </c>
      <c r="I223">
        <v>1</v>
      </c>
      <c r="J223" t="s">
        <v>6490</v>
      </c>
      <c r="K223" t="s">
        <v>6490</v>
      </c>
      <c r="L223" t="s">
        <v>6490</v>
      </c>
      <c r="M223" t="s">
        <v>6490</v>
      </c>
      <c r="N223">
        <v>1</v>
      </c>
      <c r="O223" t="s">
        <v>6490</v>
      </c>
      <c r="P223">
        <v>1</v>
      </c>
      <c r="Q223" t="s">
        <v>6490</v>
      </c>
      <c r="R223" t="s">
        <v>6490</v>
      </c>
      <c r="S223" t="s">
        <v>6490</v>
      </c>
      <c r="T223" t="s">
        <v>6490</v>
      </c>
      <c r="U223">
        <v>1</v>
      </c>
      <c r="V223" t="s">
        <v>6490</v>
      </c>
      <c r="W223" t="s">
        <v>6490</v>
      </c>
      <c r="X223" t="s">
        <v>6490</v>
      </c>
      <c r="Y223" t="s">
        <v>6490</v>
      </c>
      <c r="Z223" t="s">
        <v>6490</v>
      </c>
      <c r="AA223" t="s">
        <v>6490</v>
      </c>
      <c r="AB223" t="s">
        <v>6490</v>
      </c>
      <c r="AC223" t="s">
        <v>6490</v>
      </c>
    </row>
    <row r="224" spans="1:29" x14ac:dyDescent="0.25">
      <c r="A224" t="s">
        <v>4914</v>
      </c>
      <c r="B224" t="s">
        <v>6490</v>
      </c>
      <c r="C224" t="s">
        <v>6490</v>
      </c>
      <c r="D224" t="s">
        <v>6490</v>
      </c>
      <c r="E224" t="s">
        <v>6490</v>
      </c>
      <c r="F224" t="s">
        <v>6490</v>
      </c>
      <c r="G224" t="s">
        <v>6490</v>
      </c>
      <c r="H224" t="s">
        <v>6490</v>
      </c>
      <c r="I224" t="s">
        <v>6490</v>
      </c>
      <c r="J224" t="s">
        <v>6490</v>
      </c>
      <c r="K224" t="s">
        <v>6490</v>
      </c>
      <c r="L224" t="s">
        <v>6490</v>
      </c>
      <c r="M224" t="s">
        <v>6490</v>
      </c>
      <c r="N224" t="s">
        <v>6490</v>
      </c>
      <c r="O224" t="s">
        <v>6490</v>
      </c>
      <c r="P224" t="s">
        <v>6490</v>
      </c>
      <c r="Q224" t="s">
        <v>6490</v>
      </c>
      <c r="R224" t="s">
        <v>6490</v>
      </c>
      <c r="S224" t="s">
        <v>6490</v>
      </c>
      <c r="T224" t="s">
        <v>6490</v>
      </c>
      <c r="U224" t="s">
        <v>6490</v>
      </c>
      <c r="V224" t="s">
        <v>6490</v>
      </c>
      <c r="W224" t="s">
        <v>6490</v>
      </c>
      <c r="X224" t="s">
        <v>6490</v>
      </c>
      <c r="Y224" t="s">
        <v>6490</v>
      </c>
      <c r="Z224" t="s">
        <v>6490</v>
      </c>
      <c r="AA224" t="s">
        <v>6490</v>
      </c>
      <c r="AB224" t="s">
        <v>6490</v>
      </c>
      <c r="AC224" t="s">
        <v>6490</v>
      </c>
    </row>
    <row r="225" spans="1:29" x14ac:dyDescent="0.25">
      <c r="A225" t="s">
        <v>4920</v>
      </c>
      <c r="B225">
        <v>13</v>
      </c>
      <c r="C225" t="s">
        <v>6490</v>
      </c>
      <c r="D225" t="s">
        <v>6490</v>
      </c>
      <c r="E225">
        <v>1</v>
      </c>
      <c r="F225">
        <v>7</v>
      </c>
      <c r="G225">
        <v>2</v>
      </c>
      <c r="H225">
        <v>3</v>
      </c>
      <c r="I225">
        <v>7</v>
      </c>
      <c r="J225" t="s">
        <v>6490</v>
      </c>
      <c r="K225" t="s">
        <v>6490</v>
      </c>
      <c r="L225">
        <v>1</v>
      </c>
      <c r="M225">
        <v>3</v>
      </c>
      <c r="N225">
        <v>1</v>
      </c>
      <c r="O225">
        <v>2</v>
      </c>
      <c r="P225">
        <v>1</v>
      </c>
      <c r="Q225" t="s">
        <v>6490</v>
      </c>
      <c r="R225" t="s">
        <v>6490</v>
      </c>
      <c r="S225" t="s">
        <v>6490</v>
      </c>
      <c r="T225" t="s">
        <v>6490</v>
      </c>
      <c r="U225" t="s">
        <v>6490</v>
      </c>
      <c r="V225">
        <v>1</v>
      </c>
      <c r="W225" t="s">
        <v>6490</v>
      </c>
      <c r="X225" t="s">
        <v>6490</v>
      </c>
      <c r="Y225" t="s">
        <v>6490</v>
      </c>
      <c r="Z225" t="s">
        <v>6490</v>
      </c>
      <c r="AA225" t="s">
        <v>6490</v>
      </c>
      <c r="AB225" t="s">
        <v>6490</v>
      </c>
      <c r="AC225" t="s">
        <v>6490</v>
      </c>
    </row>
    <row r="226" spans="1:29" x14ac:dyDescent="0.25">
      <c r="A226" t="s">
        <v>4929</v>
      </c>
      <c r="B226">
        <v>1</v>
      </c>
      <c r="C226" t="s">
        <v>6490</v>
      </c>
      <c r="D226" t="s">
        <v>6490</v>
      </c>
      <c r="E226" t="s">
        <v>6490</v>
      </c>
      <c r="F226">
        <v>1</v>
      </c>
      <c r="G226" t="s">
        <v>6490</v>
      </c>
      <c r="H226" t="s">
        <v>6490</v>
      </c>
      <c r="I226" t="s">
        <v>6490</v>
      </c>
      <c r="J226" t="s">
        <v>6490</v>
      </c>
      <c r="K226" t="s">
        <v>6490</v>
      </c>
      <c r="L226" t="s">
        <v>6490</v>
      </c>
      <c r="M226" t="s">
        <v>6490</v>
      </c>
      <c r="N226" t="s">
        <v>6490</v>
      </c>
      <c r="O226" t="s">
        <v>6490</v>
      </c>
      <c r="P226" t="s">
        <v>6490</v>
      </c>
      <c r="Q226" t="s">
        <v>6490</v>
      </c>
      <c r="R226" t="s">
        <v>6490</v>
      </c>
      <c r="S226" t="s">
        <v>6490</v>
      </c>
      <c r="T226" t="s">
        <v>6490</v>
      </c>
      <c r="U226" t="s">
        <v>6490</v>
      </c>
      <c r="V226" t="s">
        <v>6490</v>
      </c>
      <c r="W226">
        <v>1</v>
      </c>
      <c r="X226" t="s">
        <v>6490</v>
      </c>
      <c r="Y226" t="s">
        <v>6490</v>
      </c>
      <c r="Z226" t="s">
        <v>6490</v>
      </c>
      <c r="AA226">
        <v>1</v>
      </c>
      <c r="AB226" t="s">
        <v>6490</v>
      </c>
      <c r="AC226" t="s">
        <v>6490</v>
      </c>
    </row>
    <row r="227" spans="1:29" x14ac:dyDescent="0.25">
      <c r="A227" t="s">
        <v>4938</v>
      </c>
      <c r="B227">
        <v>2</v>
      </c>
      <c r="C227" t="s">
        <v>6490</v>
      </c>
      <c r="D227">
        <v>1</v>
      </c>
      <c r="E227" t="s">
        <v>6490</v>
      </c>
      <c r="F227">
        <v>1</v>
      </c>
      <c r="G227" t="s">
        <v>6490</v>
      </c>
      <c r="H227" t="s">
        <v>6490</v>
      </c>
      <c r="I227">
        <v>1</v>
      </c>
      <c r="J227" t="s">
        <v>6490</v>
      </c>
      <c r="K227" t="s">
        <v>6490</v>
      </c>
      <c r="L227" t="s">
        <v>6490</v>
      </c>
      <c r="M227">
        <v>1</v>
      </c>
      <c r="N227" t="s">
        <v>6490</v>
      </c>
      <c r="O227" t="s">
        <v>6490</v>
      </c>
      <c r="P227">
        <v>1</v>
      </c>
      <c r="Q227" t="s">
        <v>6490</v>
      </c>
      <c r="R227" t="s">
        <v>6490</v>
      </c>
      <c r="S227" t="s">
        <v>6490</v>
      </c>
      <c r="T227">
        <v>1</v>
      </c>
      <c r="U227" t="s">
        <v>6490</v>
      </c>
      <c r="V227" t="s">
        <v>6490</v>
      </c>
      <c r="W227" t="s">
        <v>6490</v>
      </c>
      <c r="X227" t="s">
        <v>6490</v>
      </c>
      <c r="Y227" t="s">
        <v>6490</v>
      </c>
      <c r="Z227" t="s">
        <v>6490</v>
      </c>
      <c r="AA227" t="s">
        <v>6490</v>
      </c>
      <c r="AB227" t="s">
        <v>6490</v>
      </c>
      <c r="AC227" t="s">
        <v>6490</v>
      </c>
    </row>
    <row r="228" spans="1:29" x14ac:dyDescent="0.25">
      <c r="A228" t="s">
        <v>4943</v>
      </c>
      <c r="B228" t="s">
        <v>6490</v>
      </c>
      <c r="C228" t="s">
        <v>6490</v>
      </c>
      <c r="D228" t="s">
        <v>6490</v>
      </c>
      <c r="E228" t="s">
        <v>6490</v>
      </c>
      <c r="F228" t="s">
        <v>6490</v>
      </c>
      <c r="G228" t="s">
        <v>6490</v>
      </c>
      <c r="H228" t="s">
        <v>6490</v>
      </c>
      <c r="I228" t="s">
        <v>6490</v>
      </c>
      <c r="J228" t="s">
        <v>6490</v>
      </c>
      <c r="K228" t="s">
        <v>6490</v>
      </c>
      <c r="L228" t="s">
        <v>6490</v>
      </c>
      <c r="M228" t="s">
        <v>6490</v>
      </c>
      <c r="N228" t="s">
        <v>6490</v>
      </c>
      <c r="O228" t="s">
        <v>6490</v>
      </c>
      <c r="P228" t="s">
        <v>6490</v>
      </c>
      <c r="Q228" t="s">
        <v>6490</v>
      </c>
      <c r="R228" t="s">
        <v>6490</v>
      </c>
      <c r="S228" t="s">
        <v>6490</v>
      </c>
      <c r="T228" t="s">
        <v>6490</v>
      </c>
      <c r="U228" t="s">
        <v>6490</v>
      </c>
      <c r="V228" t="s">
        <v>6490</v>
      </c>
      <c r="W228" t="s">
        <v>6490</v>
      </c>
      <c r="X228" t="s">
        <v>6490</v>
      </c>
      <c r="Y228" t="s">
        <v>6490</v>
      </c>
      <c r="Z228" t="s">
        <v>6490</v>
      </c>
      <c r="AA228" t="s">
        <v>6490</v>
      </c>
      <c r="AB228" t="s">
        <v>6490</v>
      </c>
      <c r="AC228" t="s">
        <v>6490</v>
      </c>
    </row>
    <row r="229" spans="1:29" x14ac:dyDescent="0.25">
      <c r="A229" t="s">
        <v>4952</v>
      </c>
      <c r="B229">
        <v>28</v>
      </c>
      <c r="C229">
        <v>3</v>
      </c>
      <c r="D229">
        <v>5</v>
      </c>
      <c r="E229">
        <v>2</v>
      </c>
      <c r="F229">
        <v>5</v>
      </c>
      <c r="G229">
        <v>7</v>
      </c>
      <c r="H229">
        <v>6</v>
      </c>
      <c r="I229">
        <v>9</v>
      </c>
      <c r="J229" t="s">
        <v>6490</v>
      </c>
      <c r="K229">
        <v>1</v>
      </c>
      <c r="L229" t="s">
        <v>6490</v>
      </c>
      <c r="M229" t="s">
        <v>6490</v>
      </c>
      <c r="N229">
        <v>3</v>
      </c>
      <c r="O229">
        <v>5</v>
      </c>
      <c r="P229">
        <v>13</v>
      </c>
      <c r="Q229" t="s">
        <v>6490</v>
      </c>
      <c r="R229" t="s">
        <v>6490</v>
      </c>
      <c r="S229" t="s">
        <v>6490</v>
      </c>
      <c r="T229">
        <v>2</v>
      </c>
      <c r="U229">
        <v>5</v>
      </c>
      <c r="V229">
        <v>6</v>
      </c>
      <c r="W229">
        <v>2</v>
      </c>
      <c r="X229" t="s">
        <v>6490</v>
      </c>
      <c r="Y229" t="s">
        <v>6490</v>
      </c>
      <c r="Z229" t="s">
        <v>6490</v>
      </c>
      <c r="AA229">
        <v>1</v>
      </c>
      <c r="AB229">
        <v>1</v>
      </c>
      <c r="AC229" t="s">
        <v>6490</v>
      </c>
    </row>
    <row r="230" spans="1:29" x14ac:dyDescent="0.25">
      <c r="A230" t="s">
        <v>4988</v>
      </c>
      <c r="B230" t="s">
        <v>6490</v>
      </c>
      <c r="C230" t="s">
        <v>6490</v>
      </c>
      <c r="D230" t="s">
        <v>6490</v>
      </c>
      <c r="E230" t="s">
        <v>6490</v>
      </c>
      <c r="F230" t="s">
        <v>6490</v>
      </c>
      <c r="G230" t="s">
        <v>6490</v>
      </c>
      <c r="H230" t="s">
        <v>6490</v>
      </c>
      <c r="I230" t="s">
        <v>6490</v>
      </c>
      <c r="J230" t="s">
        <v>6490</v>
      </c>
      <c r="K230" t="s">
        <v>6490</v>
      </c>
      <c r="L230" t="s">
        <v>6490</v>
      </c>
      <c r="M230" t="s">
        <v>6490</v>
      </c>
      <c r="N230" t="s">
        <v>6490</v>
      </c>
      <c r="O230" t="s">
        <v>6490</v>
      </c>
      <c r="P230" t="s">
        <v>6490</v>
      </c>
      <c r="Q230" t="s">
        <v>6490</v>
      </c>
      <c r="R230" t="s">
        <v>6490</v>
      </c>
      <c r="S230" t="s">
        <v>6490</v>
      </c>
      <c r="T230" t="s">
        <v>6490</v>
      </c>
      <c r="U230" t="s">
        <v>6490</v>
      </c>
      <c r="V230" t="s">
        <v>6490</v>
      </c>
      <c r="W230" t="s">
        <v>6490</v>
      </c>
      <c r="X230" t="s">
        <v>6490</v>
      </c>
      <c r="Y230" t="s">
        <v>6490</v>
      </c>
      <c r="Z230" t="s">
        <v>6490</v>
      </c>
      <c r="AA230" t="s">
        <v>6490</v>
      </c>
      <c r="AB230" t="s">
        <v>6490</v>
      </c>
      <c r="AC230" t="s">
        <v>6490</v>
      </c>
    </row>
    <row r="231" spans="1:29" x14ac:dyDescent="0.25">
      <c r="A231" t="s">
        <v>57</v>
      </c>
      <c r="B231">
        <v>8</v>
      </c>
      <c r="C231">
        <v>1</v>
      </c>
      <c r="D231">
        <v>1</v>
      </c>
      <c r="E231">
        <v>4</v>
      </c>
      <c r="F231">
        <v>1</v>
      </c>
      <c r="G231">
        <v>1</v>
      </c>
      <c r="H231" t="s">
        <v>6490</v>
      </c>
      <c r="I231">
        <v>1</v>
      </c>
      <c r="J231" t="s">
        <v>6490</v>
      </c>
      <c r="K231" t="s">
        <v>6490</v>
      </c>
      <c r="L231" t="s">
        <v>6490</v>
      </c>
      <c r="M231" t="s">
        <v>6490</v>
      </c>
      <c r="N231">
        <v>1</v>
      </c>
      <c r="O231" t="s">
        <v>6490</v>
      </c>
      <c r="P231">
        <v>2</v>
      </c>
      <c r="Q231" t="s">
        <v>6490</v>
      </c>
      <c r="R231" t="s">
        <v>6490</v>
      </c>
      <c r="S231">
        <v>1</v>
      </c>
      <c r="T231" t="s">
        <v>6490</v>
      </c>
      <c r="U231">
        <v>1</v>
      </c>
      <c r="V231" t="s">
        <v>6490</v>
      </c>
      <c r="W231" t="s">
        <v>6490</v>
      </c>
      <c r="X231" t="s">
        <v>6490</v>
      </c>
      <c r="Y231" t="s">
        <v>6490</v>
      </c>
      <c r="Z231" t="s">
        <v>6490</v>
      </c>
      <c r="AA231" t="s">
        <v>6490</v>
      </c>
      <c r="AB231" t="s">
        <v>6490</v>
      </c>
      <c r="AC231" t="s">
        <v>6490</v>
      </c>
    </row>
    <row r="232" spans="1:29" x14ac:dyDescent="0.25">
      <c r="A232" t="s">
        <v>5001</v>
      </c>
      <c r="B232">
        <v>5</v>
      </c>
      <c r="C232" t="s">
        <v>6490</v>
      </c>
      <c r="D232" t="s">
        <v>6490</v>
      </c>
      <c r="E232" t="s">
        <v>6490</v>
      </c>
      <c r="F232">
        <v>1</v>
      </c>
      <c r="G232">
        <v>4</v>
      </c>
      <c r="H232" t="s">
        <v>6490</v>
      </c>
      <c r="I232">
        <v>5</v>
      </c>
      <c r="J232" t="s">
        <v>6490</v>
      </c>
      <c r="K232" t="s">
        <v>6490</v>
      </c>
      <c r="L232" t="s">
        <v>6490</v>
      </c>
      <c r="M232">
        <v>1</v>
      </c>
      <c r="N232">
        <v>4</v>
      </c>
      <c r="O232" t="s">
        <v>6490</v>
      </c>
      <c r="P232" t="s">
        <v>6490</v>
      </c>
      <c r="Q232" t="s">
        <v>6490</v>
      </c>
      <c r="R232" t="s">
        <v>6490</v>
      </c>
      <c r="S232" t="s">
        <v>6490</v>
      </c>
      <c r="T232" t="s">
        <v>6490</v>
      </c>
      <c r="U232" t="s">
        <v>6490</v>
      </c>
      <c r="V232" t="s">
        <v>6490</v>
      </c>
      <c r="W232">
        <v>5</v>
      </c>
      <c r="X232" t="s">
        <v>6490</v>
      </c>
      <c r="Y232" t="s">
        <v>6490</v>
      </c>
      <c r="Z232" t="s">
        <v>6490</v>
      </c>
      <c r="AA232">
        <v>1</v>
      </c>
      <c r="AB232">
        <v>4</v>
      </c>
      <c r="AC232" t="s">
        <v>6490</v>
      </c>
    </row>
    <row r="233" spans="1:29" x14ac:dyDescent="0.25">
      <c r="A233" t="s">
        <v>58</v>
      </c>
      <c r="B233">
        <v>41</v>
      </c>
      <c r="C233">
        <v>2</v>
      </c>
      <c r="D233">
        <v>13</v>
      </c>
      <c r="E233">
        <v>14</v>
      </c>
      <c r="F233">
        <v>9</v>
      </c>
      <c r="G233">
        <v>3</v>
      </c>
      <c r="H233" t="s">
        <v>6490</v>
      </c>
      <c r="I233">
        <v>13</v>
      </c>
      <c r="J233" t="s">
        <v>6490</v>
      </c>
      <c r="K233">
        <v>1</v>
      </c>
      <c r="L233">
        <v>5</v>
      </c>
      <c r="M233">
        <v>7</v>
      </c>
      <c r="N233" t="s">
        <v>6490</v>
      </c>
      <c r="O233" t="s">
        <v>6490</v>
      </c>
      <c r="P233">
        <v>1</v>
      </c>
      <c r="Q233" t="s">
        <v>6490</v>
      </c>
      <c r="R233" t="s">
        <v>6490</v>
      </c>
      <c r="S233" t="s">
        <v>6490</v>
      </c>
      <c r="T233" t="s">
        <v>6490</v>
      </c>
      <c r="U233">
        <v>1</v>
      </c>
      <c r="V233" t="s">
        <v>6490</v>
      </c>
      <c r="W233" t="s">
        <v>6490</v>
      </c>
      <c r="X233" t="s">
        <v>6490</v>
      </c>
      <c r="Y233" t="s">
        <v>6490</v>
      </c>
      <c r="Z233" t="s">
        <v>6490</v>
      </c>
      <c r="AA233" t="s">
        <v>6490</v>
      </c>
      <c r="AB233" t="s">
        <v>6490</v>
      </c>
      <c r="AC233" t="s">
        <v>6490</v>
      </c>
    </row>
    <row r="234" spans="1:29" x14ac:dyDescent="0.25">
      <c r="A234" t="s">
        <v>5041</v>
      </c>
      <c r="B234">
        <v>4</v>
      </c>
      <c r="C234" t="s">
        <v>6490</v>
      </c>
      <c r="D234">
        <v>1</v>
      </c>
      <c r="E234">
        <v>1</v>
      </c>
      <c r="F234">
        <v>2</v>
      </c>
      <c r="G234" t="s">
        <v>6490</v>
      </c>
      <c r="H234" t="s">
        <v>6490</v>
      </c>
      <c r="I234" t="s">
        <v>6490</v>
      </c>
      <c r="J234" t="s">
        <v>6490</v>
      </c>
      <c r="K234" t="s">
        <v>6490</v>
      </c>
      <c r="L234" t="s">
        <v>6490</v>
      </c>
      <c r="M234" t="s">
        <v>6490</v>
      </c>
      <c r="N234" t="s">
        <v>6490</v>
      </c>
      <c r="O234" t="s">
        <v>6490</v>
      </c>
      <c r="P234" t="s">
        <v>6490</v>
      </c>
      <c r="Q234" t="s">
        <v>6490</v>
      </c>
      <c r="R234" t="s">
        <v>6490</v>
      </c>
      <c r="S234" t="s">
        <v>6490</v>
      </c>
      <c r="T234" t="s">
        <v>6490</v>
      </c>
      <c r="U234" t="s">
        <v>6490</v>
      </c>
      <c r="V234" t="s">
        <v>6490</v>
      </c>
      <c r="W234" t="s">
        <v>6490</v>
      </c>
      <c r="X234" t="s">
        <v>6490</v>
      </c>
      <c r="Y234" t="s">
        <v>6490</v>
      </c>
      <c r="Z234" t="s">
        <v>6490</v>
      </c>
      <c r="AA234" t="s">
        <v>6490</v>
      </c>
      <c r="AB234" t="s">
        <v>6490</v>
      </c>
      <c r="AC234" t="s">
        <v>6490</v>
      </c>
    </row>
    <row r="235" spans="1:29" x14ac:dyDescent="0.25">
      <c r="A235" t="s">
        <v>5058</v>
      </c>
      <c r="B235">
        <v>6</v>
      </c>
      <c r="C235" t="s">
        <v>6490</v>
      </c>
      <c r="D235">
        <v>2</v>
      </c>
      <c r="E235">
        <v>2</v>
      </c>
      <c r="F235">
        <v>2</v>
      </c>
      <c r="G235" t="s">
        <v>6490</v>
      </c>
      <c r="H235" t="s">
        <v>6490</v>
      </c>
      <c r="I235" t="s">
        <v>6490</v>
      </c>
      <c r="J235" t="s">
        <v>6490</v>
      </c>
      <c r="K235" t="s">
        <v>6490</v>
      </c>
      <c r="L235" t="s">
        <v>6490</v>
      </c>
      <c r="M235" t="s">
        <v>6490</v>
      </c>
      <c r="N235" t="s">
        <v>6490</v>
      </c>
      <c r="O235" t="s">
        <v>6490</v>
      </c>
      <c r="P235" t="s">
        <v>6490</v>
      </c>
      <c r="Q235" t="s">
        <v>6490</v>
      </c>
      <c r="R235" t="s">
        <v>6490</v>
      </c>
      <c r="S235" t="s">
        <v>6490</v>
      </c>
      <c r="T235" t="s">
        <v>6490</v>
      </c>
      <c r="U235" t="s">
        <v>6490</v>
      </c>
      <c r="V235" t="s">
        <v>6490</v>
      </c>
      <c r="W235" t="s">
        <v>6490</v>
      </c>
      <c r="X235" t="s">
        <v>6490</v>
      </c>
      <c r="Y235" t="s">
        <v>6490</v>
      </c>
      <c r="Z235" t="s">
        <v>6490</v>
      </c>
      <c r="AA235" t="s">
        <v>6490</v>
      </c>
      <c r="AB235" t="s">
        <v>6490</v>
      </c>
      <c r="AC235" t="s">
        <v>6490</v>
      </c>
    </row>
    <row r="236" spans="1:29" x14ac:dyDescent="0.25">
      <c r="A236" t="s">
        <v>59</v>
      </c>
      <c r="B236">
        <v>33</v>
      </c>
      <c r="C236">
        <v>1</v>
      </c>
      <c r="D236">
        <v>5</v>
      </c>
      <c r="E236">
        <v>13</v>
      </c>
      <c r="F236">
        <v>8</v>
      </c>
      <c r="G236">
        <v>2</v>
      </c>
      <c r="H236">
        <v>4</v>
      </c>
      <c r="I236">
        <v>7</v>
      </c>
      <c r="J236" t="s">
        <v>6490</v>
      </c>
      <c r="K236">
        <v>1</v>
      </c>
      <c r="L236">
        <v>2</v>
      </c>
      <c r="M236" t="s">
        <v>6490</v>
      </c>
      <c r="N236">
        <v>1</v>
      </c>
      <c r="O236">
        <v>3</v>
      </c>
      <c r="P236">
        <v>3</v>
      </c>
      <c r="Q236" t="s">
        <v>6490</v>
      </c>
      <c r="R236" t="s">
        <v>6490</v>
      </c>
      <c r="S236" t="s">
        <v>6490</v>
      </c>
      <c r="T236" t="s">
        <v>6490</v>
      </c>
      <c r="U236" t="s">
        <v>6490</v>
      </c>
      <c r="V236">
        <v>3</v>
      </c>
      <c r="W236" t="s">
        <v>6490</v>
      </c>
      <c r="X236" t="s">
        <v>6490</v>
      </c>
      <c r="Y236" t="s">
        <v>6490</v>
      </c>
      <c r="Z236" t="s">
        <v>6490</v>
      </c>
      <c r="AA236" t="s">
        <v>6490</v>
      </c>
      <c r="AB236" t="s">
        <v>6490</v>
      </c>
      <c r="AC236" t="s">
        <v>6490</v>
      </c>
    </row>
    <row r="237" spans="1:29" x14ac:dyDescent="0.25">
      <c r="A237" t="s">
        <v>5175</v>
      </c>
      <c r="B237">
        <v>1</v>
      </c>
      <c r="C237" t="s">
        <v>6490</v>
      </c>
      <c r="D237" t="s">
        <v>6490</v>
      </c>
      <c r="E237" t="s">
        <v>6490</v>
      </c>
      <c r="F237" t="s">
        <v>6490</v>
      </c>
      <c r="G237" t="s">
        <v>6490</v>
      </c>
      <c r="H237">
        <v>1</v>
      </c>
      <c r="I237">
        <v>1</v>
      </c>
      <c r="J237" t="s">
        <v>6490</v>
      </c>
      <c r="K237" t="s">
        <v>6490</v>
      </c>
      <c r="L237" t="s">
        <v>6490</v>
      </c>
      <c r="M237" t="s">
        <v>6490</v>
      </c>
      <c r="N237" t="s">
        <v>6490</v>
      </c>
      <c r="O237">
        <v>1</v>
      </c>
      <c r="P237">
        <v>1</v>
      </c>
      <c r="Q237" t="s">
        <v>6490</v>
      </c>
      <c r="R237" t="s">
        <v>6490</v>
      </c>
      <c r="S237" t="s">
        <v>6490</v>
      </c>
      <c r="T237" t="s">
        <v>6490</v>
      </c>
      <c r="U237" t="s">
        <v>6490</v>
      </c>
      <c r="V237">
        <v>1</v>
      </c>
      <c r="W237" t="s">
        <v>6490</v>
      </c>
      <c r="X237" t="s">
        <v>6490</v>
      </c>
      <c r="Y237" t="s">
        <v>6490</v>
      </c>
      <c r="Z237" t="s">
        <v>6490</v>
      </c>
      <c r="AA237" t="s">
        <v>6490</v>
      </c>
      <c r="AB237" t="s">
        <v>6490</v>
      </c>
      <c r="AC237" t="s">
        <v>6490</v>
      </c>
    </row>
    <row r="238" spans="1:29" x14ac:dyDescent="0.25">
      <c r="A238" t="s">
        <v>60</v>
      </c>
      <c r="B238">
        <v>37</v>
      </c>
      <c r="C238">
        <v>8</v>
      </c>
      <c r="D238">
        <v>6</v>
      </c>
      <c r="E238">
        <v>14</v>
      </c>
      <c r="F238">
        <v>7</v>
      </c>
      <c r="G238">
        <v>2</v>
      </c>
      <c r="H238" t="s">
        <v>6490</v>
      </c>
      <c r="I238" t="s">
        <v>6490</v>
      </c>
      <c r="J238" t="s">
        <v>6490</v>
      </c>
      <c r="K238" t="s">
        <v>6490</v>
      </c>
      <c r="L238" t="s">
        <v>6490</v>
      </c>
      <c r="M238" t="s">
        <v>6490</v>
      </c>
      <c r="N238" t="s">
        <v>6490</v>
      </c>
      <c r="O238" t="s">
        <v>6490</v>
      </c>
      <c r="P238" t="s">
        <v>6490</v>
      </c>
      <c r="Q238" t="s">
        <v>6490</v>
      </c>
      <c r="R238" t="s">
        <v>6490</v>
      </c>
      <c r="S238" t="s">
        <v>6490</v>
      </c>
      <c r="T238" t="s">
        <v>6490</v>
      </c>
      <c r="U238" t="s">
        <v>6490</v>
      </c>
      <c r="V238" t="s">
        <v>6490</v>
      </c>
      <c r="W238" t="s">
        <v>6490</v>
      </c>
      <c r="X238" t="s">
        <v>6490</v>
      </c>
      <c r="Y238" t="s">
        <v>6490</v>
      </c>
      <c r="Z238" t="s">
        <v>6490</v>
      </c>
      <c r="AA238" t="s">
        <v>6490</v>
      </c>
      <c r="AB238" t="s">
        <v>6490</v>
      </c>
      <c r="AC238" t="s">
        <v>6490</v>
      </c>
    </row>
    <row r="239" spans="1:29" x14ac:dyDescent="0.25">
      <c r="A239" t="s">
        <v>5265</v>
      </c>
      <c r="B239">
        <v>12</v>
      </c>
      <c r="C239">
        <v>1</v>
      </c>
      <c r="D239">
        <v>2</v>
      </c>
      <c r="E239">
        <v>3</v>
      </c>
      <c r="F239">
        <v>4</v>
      </c>
      <c r="G239">
        <v>2</v>
      </c>
      <c r="H239" t="s">
        <v>6490</v>
      </c>
      <c r="I239">
        <v>5</v>
      </c>
      <c r="J239" t="s">
        <v>6490</v>
      </c>
      <c r="K239">
        <v>1</v>
      </c>
      <c r="L239" t="s">
        <v>6490</v>
      </c>
      <c r="M239">
        <v>3</v>
      </c>
      <c r="N239">
        <v>1</v>
      </c>
      <c r="O239" t="s">
        <v>6490</v>
      </c>
      <c r="P239">
        <v>5</v>
      </c>
      <c r="Q239" t="s">
        <v>6490</v>
      </c>
      <c r="R239">
        <v>1</v>
      </c>
      <c r="S239" t="s">
        <v>6490</v>
      </c>
      <c r="T239">
        <v>3</v>
      </c>
      <c r="U239">
        <v>1</v>
      </c>
      <c r="V239" t="s">
        <v>6490</v>
      </c>
      <c r="W239" t="s">
        <v>6490</v>
      </c>
      <c r="X239" t="s">
        <v>6490</v>
      </c>
      <c r="Y239" t="s">
        <v>6490</v>
      </c>
      <c r="Z239" t="s">
        <v>6490</v>
      </c>
      <c r="AA239" t="s">
        <v>6490</v>
      </c>
      <c r="AB239" t="s">
        <v>6490</v>
      </c>
      <c r="AC239" t="s">
        <v>6490</v>
      </c>
    </row>
    <row r="240" spans="1:29" x14ac:dyDescent="0.25">
      <c r="A240" t="s">
        <v>5273</v>
      </c>
      <c r="B240">
        <v>5</v>
      </c>
      <c r="C240" t="s">
        <v>6490</v>
      </c>
      <c r="D240" t="s">
        <v>6490</v>
      </c>
      <c r="E240">
        <v>1</v>
      </c>
      <c r="F240">
        <v>3</v>
      </c>
      <c r="G240" t="s">
        <v>6490</v>
      </c>
      <c r="H240">
        <v>1</v>
      </c>
      <c r="I240">
        <v>2</v>
      </c>
      <c r="J240" t="s">
        <v>6490</v>
      </c>
      <c r="K240" t="s">
        <v>6490</v>
      </c>
      <c r="L240">
        <v>1</v>
      </c>
      <c r="M240">
        <v>1</v>
      </c>
      <c r="N240" t="s">
        <v>6490</v>
      </c>
      <c r="O240" t="s">
        <v>6490</v>
      </c>
      <c r="P240">
        <v>1</v>
      </c>
      <c r="Q240" t="s">
        <v>6490</v>
      </c>
      <c r="R240" t="s">
        <v>6490</v>
      </c>
      <c r="S240">
        <v>1</v>
      </c>
      <c r="T240" t="s">
        <v>6490</v>
      </c>
      <c r="U240" t="s">
        <v>6490</v>
      </c>
      <c r="V240" t="s">
        <v>6490</v>
      </c>
      <c r="W240" t="s">
        <v>6490</v>
      </c>
      <c r="X240" t="s">
        <v>6490</v>
      </c>
      <c r="Y240" t="s">
        <v>6490</v>
      </c>
      <c r="Z240" t="s">
        <v>6490</v>
      </c>
      <c r="AA240" t="s">
        <v>6490</v>
      </c>
      <c r="AB240" t="s">
        <v>6490</v>
      </c>
      <c r="AC240" t="s">
        <v>6490</v>
      </c>
    </row>
    <row r="241" spans="1:29" ht="30" customHeight="1" x14ac:dyDescent="0.25">
      <c r="A241" s="13" t="s">
        <v>6558</v>
      </c>
      <c r="B241">
        <v>479</v>
      </c>
      <c r="C241">
        <v>40</v>
      </c>
      <c r="D241">
        <v>79</v>
      </c>
      <c r="E241">
        <v>137</v>
      </c>
      <c r="F241">
        <v>113</v>
      </c>
      <c r="G241">
        <v>48</v>
      </c>
      <c r="H241">
        <v>62</v>
      </c>
      <c r="I241">
        <v>185</v>
      </c>
      <c r="J241">
        <v>1</v>
      </c>
      <c r="K241">
        <v>17</v>
      </c>
      <c r="L241">
        <v>36</v>
      </c>
      <c r="M241">
        <v>62</v>
      </c>
      <c r="N241">
        <v>23</v>
      </c>
      <c r="O241">
        <v>46</v>
      </c>
      <c r="P241">
        <v>69</v>
      </c>
      <c r="Q241">
        <v>1</v>
      </c>
      <c r="R241" t="s">
        <v>6490</v>
      </c>
      <c r="S241">
        <v>6</v>
      </c>
      <c r="T241">
        <v>13</v>
      </c>
      <c r="U241">
        <v>13</v>
      </c>
      <c r="V241">
        <v>36</v>
      </c>
      <c r="W241">
        <v>12</v>
      </c>
      <c r="X241" t="s">
        <v>6490</v>
      </c>
      <c r="Y241">
        <v>2</v>
      </c>
      <c r="Z241">
        <v>2</v>
      </c>
      <c r="AA241">
        <v>5</v>
      </c>
      <c r="AB241">
        <v>2</v>
      </c>
      <c r="AC241">
        <v>1</v>
      </c>
    </row>
    <row r="242" spans="1:29" x14ac:dyDescent="0.25">
      <c r="A242" t="s">
        <v>6496</v>
      </c>
      <c r="B242">
        <v>4</v>
      </c>
      <c r="C242" t="s">
        <v>6490</v>
      </c>
      <c r="D242" t="s">
        <v>6490</v>
      </c>
      <c r="E242">
        <v>1</v>
      </c>
      <c r="F242">
        <v>3</v>
      </c>
      <c r="G242" t="s">
        <v>6490</v>
      </c>
      <c r="H242" t="s">
        <v>6490</v>
      </c>
      <c r="I242" t="s">
        <v>6490</v>
      </c>
      <c r="J242" t="s">
        <v>6490</v>
      </c>
      <c r="K242" t="s">
        <v>6490</v>
      </c>
      <c r="L242" t="s">
        <v>6490</v>
      </c>
      <c r="M242" t="s">
        <v>6490</v>
      </c>
      <c r="N242" t="s">
        <v>6490</v>
      </c>
      <c r="O242" t="s">
        <v>6490</v>
      </c>
      <c r="P242" t="s">
        <v>6490</v>
      </c>
      <c r="Q242" t="s">
        <v>6490</v>
      </c>
      <c r="R242" t="s">
        <v>6490</v>
      </c>
      <c r="S242" t="s">
        <v>6490</v>
      </c>
      <c r="T242" t="s">
        <v>6490</v>
      </c>
      <c r="U242" t="s">
        <v>6490</v>
      </c>
      <c r="V242" t="s">
        <v>6490</v>
      </c>
      <c r="W242" t="s">
        <v>6490</v>
      </c>
      <c r="X242" t="s">
        <v>6490</v>
      </c>
      <c r="Y242" t="s">
        <v>6490</v>
      </c>
      <c r="Z242" t="s">
        <v>6490</v>
      </c>
      <c r="AA242" t="s">
        <v>6490</v>
      </c>
      <c r="AB242" t="s">
        <v>6490</v>
      </c>
      <c r="AC242" t="s">
        <v>6490</v>
      </c>
    </row>
    <row r="243" spans="1:29" x14ac:dyDescent="0.25">
      <c r="A243" t="s">
        <v>5290</v>
      </c>
      <c r="B243">
        <v>63</v>
      </c>
      <c r="C243">
        <v>7</v>
      </c>
      <c r="D243">
        <v>10</v>
      </c>
      <c r="E243">
        <v>15</v>
      </c>
      <c r="F243">
        <v>21</v>
      </c>
      <c r="G243">
        <v>9</v>
      </c>
      <c r="H243">
        <v>1</v>
      </c>
      <c r="I243">
        <v>12</v>
      </c>
      <c r="J243" t="s">
        <v>6490</v>
      </c>
      <c r="K243">
        <v>2</v>
      </c>
      <c r="L243">
        <v>2</v>
      </c>
      <c r="M243">
        <v>4</v>
      </c>
      <c r="N243">
        <v>3</v>
      </c>
      <c r="O243">
        <v>1</v>
      </c>
      <c r="P243">
        <v>3</v>
      </c>
      <c r="Q243" t="s">
        <v>6490</v>
      </c>
      <c r="R243" t="s">
        <v>6490</v>
      </c>
      <c r="S243" t="s">
        <v>6490</v>
      </c>
      <c r="T243" t="s">
        <v>6490</v>
      </c>
      <c r="U243">
        <v>2</v>
      </c>
      <c r="V243">
        <v>1</v>
      </c>
      <c r="W243">
        <v>7</v>
      </c>
      <c r="X243">
        <v>2</v>
      </c>
      <c r="Y243" t="s">
        <v>6490</v>
      </c>
      <c r="Z243">
        <v>3</v>
      </c>
      <c r="AA243">
        <v>2</v>
      </c>
      <c r="AB243" t="s">
        <v>6490</v>
      </c>
      <c r="AC243" t="s">
        <v>6490</v>
      </c>
    </row>
    <row r="244" spans="1:29" x14ac:dyDescent="0.25">
      <c r="A244" t="s">
        <v>5324</v>
      </c>
      <c r="B244">
        <v>8</v>
      </c>
      <c r="C244">
        <v>1</v>
      </c>
      <c r="D244">
        <v>1</v>
      </c>
      <c r="E244">
        <v>2</v>
      </c>
      <c r="F244">
        <v>1</v>
      </c>
      <c r="G244">
        <v>2</v>
      </c>
      <c r="H244">
        <v>1</v>
      </c>
      <c r="I244">
        <v>3</v>
      </c>
      <c r="J244" t="s">
        <v>6490</v>
      </c>
      <c r="K244" t="s">
        <v>6490</v>
      </c>
      <c r="L244">
        <v>1</v>
      </c>
      <c r="M244" t="s">
        <v>6490</v>
      </c>
      <c r="N244">
        <v>1</v>
      </c>
      <c r="O244">
        <v>1</v>
      </c>
      <c r="P244">
        <v>3</v>
      </c>
      <c r="Q244" t="s">
        <v>6490</v>
      </c>
      <c r="R244" t="s">
        <v>6490</v>
      </c>
      <c r="S244">
        <v>1</v>
      </c>
      <c r="T244" t="s">
        <v>6490</v>
      </c>
      <c r="U244">
        <v>1</v>
      </c>
      <c r="V244">
        <v>1</v>
      </c>
      <c r="W244" t="s">
        <v>6490</v>
      </c>
      <c r="X244" t="s">
        <v>6490</v>
      </c>
      <c r="Y244" t="s">
        <v>6490</v>
      </c>
      <c r="Z244" t="s">
        <v>6490</v>
      </c>
      <c r="AA244" t="s">
        <v>6490</v>
      </c>
      <c r="AB244" t="s">
        <v>6490</v>
      </c>
      <c r="AC244" t="s">
        <v>6490</v>
      </c>
    </row>
    <row r="245" spans="1:29" x14ac:dyDescent="0.25">
      <c r="A245" t="s">
        <v>2592</v>
      </c>
      <c r="B245">
        <v>15</v>
      </c>
      <c r="C245" t="s">
        <v>6490</v>
      </c>
      <c r="D245">
        <v>4</v>
      </c>
      <c r="E245">
        <v>2</v>
      </c>
      <c r="F245">
        <v>1</v>
      </c>
      <c r="G245">
        <v>4</v>
      </c>
      <c r="H245">
        <v>4</v>
      </c>
      <c r="I245">
        <v>6</v>
      </c>
      <c r="J245" t="s">
        <v>6490</v>
      </c>
      <c r="K245" t="s">
        <v>6490</v>
      </c>
      <c r="L245">
        <v>1</v>
      </c>
      <c r="M245">
        <v>1</v>
      </c>
      <c r="N245">
        <v>2</v>
      </c>
      <c r="O245">
        <v>2</v>
      </c>
      <c r="P245">
        <v>8</v>
      </c>
      <c r="Q245" t="s">
        <v>6490</v>
      </c>
      <c r="R245" t="s">
        <v>6490</v>
      </c>
      <c r="S245">
        <v>1</v>
      </c>
      <c r="T245">
        <v>1</v>
      </c>
      <c r="U245">
        <v>3</v>
      </c>
      <c r="V245">
        <v>3</v>
      </c>
      <c r="W245">
        <v>6</v>
      </c>
      <c r="X245" t="s">
        <v>6490</v>
      </c>
      <c r="Y245" t="s">
        <v>6490</v>
      </c>
      <c r="Z245" t="s">
        <v>6490</v>
      </c>
      <c r="AA245" t="s">
        <v>6490</v>
      </c>
      <c r="AB245">
        <v>3</v>
      </c>
      <c r="AC245">
        <v>3</v>
      </c>
    </row>
    <row r="246" spans="1:29" x14ac:dyDescent="0.25">
      <c r="A246" t="s">
        <v>5341</v>
      </c>
      <c r="B246">
        <v>10</v>
      </c>
      <c r="C246">
        <v>2</v>
      </c>
      <c r="D246" t="s">
        <v>6490</v>
      </c>
      <c r="E246">
        <v>2</v>
      </c>
      <c r="F246">
        <v>1</v>
      </c>
      <c r="G246">
        <v>3</v>
      </c>
      <c r="H246">
        <v>2</v>
      </c>
      <c r="I246" t="s">
        <v>6490</v>
      </c>
      <c r="J246" t="s">
        <v>6490</v>
      </c>
      <c r="K246" t="s">
        <v>6490</v>
      </c>
      <c r="L246" t="s">
        <v>6490</v>
      </c>
      <c r="M246" t="s">
        <v>6490</v>
      </c>
      <c r="N246" t="s">
        <v>6490</v>
      </c>
      <c r="O246" t="s">
        <v>6490</v>
      </c>
      <c r="P246">
        <v>1</v>
      </c>
      <c r="Q246" t="s">
        <v>6490</v>
      </c>
      <c r="R246" t="s">
        <v>6490</v>
      </c>
      <c r="S246" t="s">
        <v>6490</v>
      </c>
      <c r="T246" t="s">
        <v>6490</v>
      </c>
      <c r="U246" t="s">
        <v>6490</v>
      </c>
      <c r="V246">
        <v>1</v>
      </c>
      <c r="W246" t="s">
        <v>6490</v>
      </c>
      <c r="X246" t="s">
        <v>6490</v>
      </c>
      <c r="Y246" t="s">
        <v>6490</v>
      </c>
      <c r="Z246" t="s">
        <v>6490</v>
      </c>
      <c r="AA246" t="s">
        <v>6490</v>
      </c>
      <c r="AB246" t="s">
        <v>6490</v>
      </c>
      <c r="AC246" t="s">
        <v>6490</v>
      </c>
    </row>
    <row r="247" spans="1:29" x14ac:dyDescent="0.25">
      <c r="A247" t="s">
        <v>5348</v>
      </c>
      <c r="B247" t="s">
        <v>6490</v>
      </c>
      <c r="C247" t="s">
        <v>6490</v>
      </c>
      <c r="D247" t="s">
        <v>6490</v>
      </c>
      <c r="E247" t="s">
        <v>6490</v>
      </c>
      <c r="F247" t="s">
        <v>6490</v>
      </c>
      <c r="G247" t="s">
        <v>6490</v>
      </c>
      <c r="H247" t="s">
        <v>6490</v>
      </c>
      <c r="I247" t="s">
        <v>6490</v>
      </c>
      <c r="J247" t="s">
        <v>6490</v>
      </c>
      <c r="K247" t="s">
        <v>6490</v>
      </c>
      <c r="L247" t="s">
        <v>6490</v>
      </c>
      <c r="M247" t="s">
        <v>6490</v>
      </c>
      <c r="N247" t="s">
        <v>6490</v>
      </c>
      <c r="O247" t="s">
        <v>6490</v>
      </c>
      <c r="P247" t="s">
        <v>6490</v>
      </c>
      <c r="Q247" t="s">
        <v>6490</v>
      </c>
      <c r="R247" t="s">
        <v>6490</v>
      </c>
      <c r="S247" t="s">
        <v>6490</v>
      </c>
      <c r="T247" t="s">
        <v>6490</v>
      </c>
      <c r="U247" t="s">
        <v>6490</v>
      </c>
      <c r="V247" t="s">
        <v>6490</v>
      </c>
      <c r="W247" t="s">
        <v>6490</v>
      </c>
      <c r="X247" t="s">
        <v>6490</v>
      </c>
      <c r="Y247" t="s">
        <v>6490</v>
      </c>
      <c r="Z247" t="s">
        <v>6490</v>
      </c>
      <c r="AA247" t="s">
        <v>6490</v>
      </c>
      <c r="AB247" t="s">
        <v>6490</v>
      </c>
      <c r="AC247" t="s">
        <v>6490</v>
      </c>
    </row>
    <row r="248" spans="1:29" x14ac:dyDescent="0.25">
      <c r="A248" t="s">
        <v>5357</v>
      </c>
      <c r="B248" t="s">
        <v>6490</v>
      </c>
      <c r="C248" t="s">
        <v>6490</v>
      </c>
      <c r="D248" t="s">
        <v>6490</v>
      </c>
      <c r="E248" t="s">
        <v>6490</v>
      </c>
      <c r="F248" t="s">
        <v>6490</v>
      </c>
      <c r="G248" t="s">
        <v>6490</v>
      </c>
      <c r="H248" t="s">
        <v>6490</v>
      </c>
      <c r="I248" t="s">
        <v>6490</v>
      </c>
      <c r="J248" t="s">
        <v>6490</v>
      </c>
      <c r="K248" t="s">
        <v>6490</v>
      </c>
      <c r="L248" t="s">
        <v>6490</v>
      </c>
      <c r="M248" t="s">
        <v>6490</v>
      </c>
      <c r="N248" t="s">
        <v>6490</v>
      </c>
      <c r="O248" t="s">
        <v>6490</v>
      </c>
      <c r="P248" t="s">
        <v>6490</v>
      </c>
      <c r="Q248" t="s">
        <v>6490</v>
      </c>
      <c r="R248" t="s">
        <v>6490</v>
      </c>
      <c r="S248" t="s">
        <v>6490</v>
      </c>
      <c r="T248" t="s">
        <v>6490</v>
      </c>
      <c r="U248" t="s">
        <v>6490</v>
      </c>
      <c r="V248" t="s">
        <v>6490</v>
      </c>
      <c r="W248" t="s">
        <v>6490</v>
      </c>
      <c r="X248" t="s">
        <v>6490</v>
      </c>
      <c r="Y248" t="s">
        <v>6490</v>
      </c>
      <c r="Z248" t="s">
        <v>6490</v>
      </c>
      <c r="AA248" t="s">
        <v>6490</v>
      </c>
      <c r="AB248" t="s">
        <v>6490</v>
      </c>
      <c r="AC248" t="s">
        <v>6490</v>
      </c>
    </row>
    <row r="249" spans="1:29" x14ac:dyDescent="0.25">
      <c r="A249" t="s">
        <v>5360</v>
      </c>
      <c r="B249">
        <v>6</v>
      </c>
      <c r="C249" t="s">
        <v>6490</v>
      </c>
      <c r="D249" t="s">
        <v>6490</v>
      </c>
      <c r="E249" t="s">
        <v>6490</v>
      </c>
      <c r="F249" t="s">
        <v>6490</v>
      </c>
      <c r="G249" t="s">
        <v>6490</v>
      </c>
      <c r="H249">
        <v>6</v>
      </c>
      <c r="I249">
        <v>6</v>
      </c>
      <c r="J249" t="s">
        <v>6490</v>
      </c>
      <c r="K249" t="s">
        <v>6490</v>
      </c>
      <c r="L249" t="s">
        <v>6490</v>
      </c>
      <c r="M249" t="s">
        <v>6490</v>
      </c>
      <c r="N249" t="s">
        <v>6490</v>
      </c>
      <c r="O249">
        <v>6</v>
      </c>
      <c r="P249">
        <v>6</v>
      </c>
      <c r="Q249" t="s">
        <v>6490</v>
      </c>
      <c r="R249" t="s">
        <v>6490</v>
      </c>
      <c r="S249" t="s">
        <v>6490</v>
      </c>
      <c r="T249" t="s">
        <v>6490</v>
      </c>
      <c r="U249" t="s">
        <v>6490</v>
      </c>
      <c r="V249">
        <v>6</v>
      </c>
      <c r="W249" t="s">
        <v>6490</v>
      </c>
      <c r="X249" t="s">
        <v>6490</v>
      </c>
      <c r="Y249" t="s">
        <v>6490</v>
      </c>
      <c r="Z249" t="s">
        <v>6490</v>
      </c>
      <c r="AA249" t="s">
        <v>6490</v>
      </c>
      <c r="AB249" t="s">
        <v>6490</v>
      </c>
      <c r="AC249" t="s">
        <v>6490</v>
      </c>
    </row>
    <row r="250" spans="1:29" x14ac:dyDescent="0.25">
      <c r="A250" t="s">
        <v>5373</v>
      </c>
      <c r="B250">
        <v>14</v>
      </c>
      <c r="C250" t="s">
        <v>6490</v>
      </c>
      <c r="D250" t="s">
        <v>6490</v>
      </c>
      <c r="E250">
        <v>2</v>
      </c>
      <c r="F250">
        <v>7</v>
      </c>
      <c r="G250">
        <v>3</v>
      </c>
      <c r="H250">
        <v>2</v>
      </c>
      <c r="I250">
        <v>14</v>
      </c>
      <c r="J250" t="s">
        <v>6490</v>
      </c>
      <c r="K250" t="s">
        <v>6490</v>
      </c>
      <c r="L250">
        <v>2</v>
      </c>
      <c r="M250">
        <v>7</v>
      </c>
      <c r="N250">
        <v>3</v>
      </c>
      <c r="O250">
        <v>2</v>
      </c>
      <c r="P250">
        <v>5</v>
      </c>
      <c r="Q250" t="s">
        <v>6490</v>
      </c>
      <c r="R250" t="s">
        <v>6490</v>
      </c>
      <c r="S250" t="s">
        <v>6490</v>
      </c>
      <c r="T250">
        <v>2</v>
      </c>
      <c r="U250">
        <v>3</v>
      </c>
      <c r="V250" t="s">
        <v>6490</v>
      </c>
      <c r="W250" t="s">
        <v>6490</v>
      </c>
      <c r="X250" t="s">
        <v>6490</v>
      </c>
      <c r="Y250" t="s">
        <v>6490</v>
      </c>
      <c r="Z250" t="s">
        <v>6490</v>
      </c>
      <c r="AA250" t="s">
        <v>6490</v>
      </c>
      <c r="AB250" t="s">
        <v>6490</v>
      </c>
      <c r="AC250" t="s">
        <v>6490</v>
      </c>
    </row>
    <row r="251" spans="1:29" x14ac:dyDescent="0.25">
      <c r="A251" t="s">
        <v>5414</v>
      </c>
      <c r="B251" t="s">
        <v>6490</v>
      </c>
      <c r="C251" t="s">
        <v>6490</v>
      </c>
      <c r="D251" t="s">
        <v>6490</v>
      </c>
      <c r="E251" t="s">
        <v>6490</v>
      </c>
      <c r="F251" t="s">
        <v>6490</v>
      </c>
      <c r="G251" t="s">
        <v>6490</v>
      </c>
      <c r="H251" t="s">
        <v>6490</v>
      </c>
      <c r="I251" t="s">
        <v>6490</v>
      </c>
      <c r="J251" t="s">
        <v>6490</v>
      </c>
      <c r="K251" t="s">
        <v>6490</v>
      </c>
      <c r="L251" t="s">
        <v>6490</v>
      </c>
      <c r="M251" t="s">
        <v>6490</v>
      </c>
      <c r="N251" t="s">
        <v>6490</v>
      </c>
      <c r="O251" t="s">
        <v>6490</v>
      </c>
      <c r="P251" t="s">
        <v>6490</v>
      </c>
      <c r="Q251" t="s">
        <v>6490</v>
      </c>
      <c r="R251" t="s">
        <v>6490</v>
      </c>
      <c r="S251" t="s">
        <v>6490</v>
      </c>
      <c r="T251" t="s">
        <v>6490</v>
      </c>
      <c r="U251" t="s">
        <v>6490</v>
      </c>
      <c r="V251" t="s">
        <v>6490</v>
      </c>
      <c r="W251" t="s">
        <v>6490</v>
      </c>
      <c r="X251" t="s">
        <v>6490</v>
      </c>
      <c r="Y251" t="s">
        <v>6490</v>
      </c>
      <c r="Z251" t="s">
        <v>6490</v>
      </c>
      <c r="AA251" t="s">
        <v>6490</v>
      </c>
      <c r="AB251" t="s">
        <v>6490</v>
      </c>
      <c r="AC251" t="s">
        <v>6490</v>
      </c>
    </row>
    <row r="252" spans="1:29" x14ac:dyDescent="0.25">
      <c r="A252" t="s">
        <v>5419</v>
      </c>
      <c r="B252" t="s">
        <v>6490</v>
      </c>
      <c r="C252" t="s">
        <v>6490</v>
      </c>
      <c r="D252" t="s">
        <v>6490</v>
      </c>
      <c r="E252" t="s">
        <v>6490</v>
      </c>
      <c r="F252" t="s">
        <v>6490</v>
      </c>
      <c r="G252" t="s">
        <v>6490</v>
      </c>
      <c r="H252" t="s">
        <v>6490</v>
      </c>
      <c r="I252" t="s">
        <v>6490</v>
      </c>
      <c r="J252" t="s">
        <v>6490</v>
      </c>
      <c r="K252" t="s">
        <v>6490</v>
      </c>
      <c r="L252" t="s">
        <v>6490</v>
      </c>
      <c r="M252" t="s">
        <v>6490</v>
      </c>
      <c r="N252" t="s">
        <v>6490</v>
      </c>
      <c r="O252" t="s">
        <v>6490</v>
      </c>
      <c r="P252" t="s">
        <v>6490</v>
      </c>
      <c r="Q252" t="s">
        <v>6490</v>
      </c>
      <c r="R252" t="s">
        <v>6490</v>
      </c>
      <c r="S252" t="s">
        <v>6490</v>
      </c>
      <c r="T252" t="s">
        <v>6490</v>
      </c>
      <c r="U252" t="s">
        <v>6490</v>
      </c>
      <c r="V252" t="s">
        <v>6490</v>
      </c>
      <c r="W252" t="s">
        <v>6490</v>
      </c>
      <c r="X252" t="s">
        <v>6490</v>
      </c>
      <c r="Y252" t="s">
        <v>6490</v>
      </c>
      <c r="Z252" t="s">
        <v>6490</v>
      </c>
      <c r="AA252" t="s">
        <v>6490</v>
      </c>
      <c r="AB252" t="s">
        <v>6490</v>
      </c>
      <c r="AC252" t="s">
        <v>6490</v>
      </c>
    </row>
    <row r="253" spans="1:29" x14ac:dyDescent="0.25">
      <c r="A253" t="s">
        <v>61</v>
      </c>
      <c r="B253">
        <v>5</v>
      </c>
      <c r="C253" t="s">
        <v>6490</v>
      </c>
      <c r="D253" t="s">
        <v>6490</v>
      </c>
      <c r="E253">
        <v>3</v>
      </c>
      <c r="F253">
        <v>2</v>
      </c>
      <c r="G253" t="s">
        <v>6490</v>
      </c>
      <c r="H253" t="s">
        <v>6490</v>
      </c>
      <c r="I253" t="s">
        <v>6490</v>
      </c>
      <c r="J253" t="s">
        <v>6490</v>
      </c>
      <c r="K253" t="s">
        <v>6490</v>
      </c>
      <c r="L253" t="s">
        <v>6490</v>
      </c>
      <c r="M253" t="s">
        <v>6490</v>
      </c>
      <c r="N253" t="s">
        <v>6490</v>
      </c>
      <c r="O253" t="s">
        <v>6490</v>
      </c>
      <c r="P253" t="s">
        <v>6490</v>
      </c>
      <c r="Q253" t="s">
        <v>6490</v>
      </c>
      <c r="R253" t="s">
        <v>6490</v>
      </c>
      <c r="S253" t="s">
        <v>6490</v>
      </c>
      <c r="T253" t="s">
        <v>6490</v>
      </c>
      <c r="U253" t="s">
        <v>6490</v>
      </c>
      <c r="V253" t="s">
        <v>6490</v>
      </c>
      <c r="W253">
        <v>1</v>
      </c>
      <c r="X253" t="s">
        <v>6490</v>
      </c>
      <c r="Y253" t="s">
        <v>6490</v>
      </c>
      <c r="Z253">
        <v>1</v>
      </c>
      <c r="AA253" t="s">
        <v>6490</v>
      </c>
      <c r="AB253" t="s">
        <v>6490</v>
      </c>
      <c r="AC253" t="s">
        <v>6490</v>
      </c>
    </row>
    <row r="254" spans="1:29" x14ac:dyDescent="0.25">
      <c r="A254" t="s">
        <v>5432</v>
      </c>
      <c r="B254">
        <v>143</v>
      </c>
      <c r="C254">
        <v>29</v>
      </c>
      <c r="D254">
        <v>34</v>
      </c>
      <c r="E254">
        <v>39</v>
      </c>
      <c r="F254">
        <v>26</v>
      </c>
      <c r="G254">
        <v>9</v>
      </c>
      <c r="H254">
        <v>6</v>
      </c>
      <c r="I254">
        <v>22</v>
      </c>
      <c r="J254">
        <v>3</v>
      </c>
      <c r="K254">
        <v>4</v>
      </c>
      <c r="L254">
        <v>5</v>
      </c>
      <c r="M254">
        <v>6</v>
      </c>
      <c r="N254">
        <v>2</v>
      </c>
      <c r="O254">
        <v>2</v>
      </c>
      <c r="P254">
        <v>11</v>
      </c>
      <c r="Q254" t="s">
        <v>6490</v>
      </c>
      <c r="R254" t="s">
        <v>6490</v>
      </c>
      <c r="S254">
        <v>4</v>
      </c>
      <c r="T254">
        <v>3</v>
      </c>
      <c r="U254">
        <v>2</v>
      </c>
      <c r="V254">
        <v>2</v>
      </c>
      <c r="W254">
        <v>4</v>
      </c>
      <c r="X254" t="s">
        <v>6490</v>
      </c>
      <c r="Y254" t="s">
        <v>6490</v>
      </c>
      <c r="Z254">
        <v>1</v>
      </c>
      <c r="AA254">
        <v>3</v>
      </c>
      <c r="AB254" t="s">
        <v>6490</v>
      </c>
      <c r="AC254" t="s">
        <v>6490</v>
      </c>
    </row>
    <row r="255" spans="1:29" x14ac:dyDescent="0.25">
      <c r="A255" t="s">
        <v>62</v>
      </c>
      <c r="B255">
        <v>43</v>
      </c>
      <c r="C255">
        <v>6</v>
      </c>
      <c r="D255">
        <v>12</v>
      </c>
      <c r="E255">
        <v>12</v>
      </c>
      <c r="F255">
        <v>10</v>
      </c>
      <c r="G255" t="s">
        <v>6490</v>
      </c>
      <c r="H255">
        <v>3</v>
      </c>
      <c r="I255">
        <v>8</v>
      </c>
      <c r="J255" t="s">
        <v>6490</v>
      </c>
      <c r="K255">
        <v>1</v>
      </c>
      <c r="L255">
        <v>3</v>
      </c>
      <c r="M255">
        <v>1</v>
      </c>
      <c r="N255" t="s">
        <v>6490</v>
      </c>
      <c r="O255">
        <v>3</v>
      </c>
      <c r="P255">
        <v>4</v>
      </c>
      <c r="Q255" t="s">
        <v>6490</v>
      </c>
      <c r="R255" t="s">
        <v>6490</v>
      </c>
      <c r="S255" t="s">
        <v>6490</v>
      </c>
      <c r="T255">
        <v>1</v>
      </c>
      <c r="U255" t="s">
        <v>6490</v>
      </c>
      <c r="V255">
        <v>3</v>
      </c>
      <c r="W255" t="s">
        <v>6490</v>
      </c>
      <c r="X255" t="s">
        <v>6490</v>
      </c>
      <c r="Y255" t="s">
        <v>6490</v>
      </c>
      <c r="Z255" t="s">
        <v>6490</v>
      </c>
      <c r="AA255" t="s">
        <v>6490</v>
      </c>
      <c r="AB255" t="s">
        <v>6490</v>
      </c>
      <c r="AC255" t="s">
        <v>6490</v>
      </c>
    </row>
    <row r="256" spans="1:29" x14ac:dyDescent="0.25">
      <c r="A256" t="s">
        <v>5519</v>
      </c>
      <c r="B256">
        <v>19</v>
      </c>
      <c r="C256">
        <v>2</v>
      </c>
      <c r="D256">
        <v>3</v>
      </c>
      <c r="E256">
        <v>4</v>
      </c>
      <c r="F256">
        <v>5</v>
      </c>
      <c r="G256">
        <v>5</v>
      </c>
      <c r="H256" t="s">
        <v>6490</v>
      </c>
      <c r="I256">
        <v>3</v>
      </c>
      <c r="J256" t="s">
        <v>6490</v>
      </c>
      <c r="K256" t="s">
        <v>6490</v>
      </c>
      <c r="L256" t="s">
        <v>6490</v>
      </c>
      <c r="M256">
        <v>1</v>
      </c>
      <c r="N256">
        <v>2</v>
      </c>
      <c r="O256" t="s">
        <v>6490</v>
      </c>
      <c r="P256">
        <v>6</v>
      </c>
      <c r="Q256" t="s">
        <v>6490</v>
      </c>
      <c r="R256" t="s">
        <v>6490</v>
      </c>
      <c r="S256" t="s">
        <v>6490</v>
      </c>
      <c r="T256">
        <v>1</v>
      </c>
      <c r="U256">
        <v>5</v>
      </c>
      <c r="V256" t="s">
        <v>6490</v>
      </c>
      <c r="W256" t="s">
        <v>6490</v>
      </c>
      <c r="X256" t="s">
        <v>6490</v>
      </c>
      <c r="Y256" t="s">
        <v>6490</v>
      </c>
      <c r="Z256" t="s">
        <v>6490</v>
      </c>
      <c r="AA256" t="s">
        <v>6490</v>
      </c>
      <c r="AB256" t="s">
        <v>6490</v>
      </c>
      <c r="AC256" t="s">
        <v>6490</v>
      </c>
    </row>
    <row r="257" spans="1:30" x14ac:dyDescent="0.25">
      <c r="A257" t="s">
        <v>5529</v>
      </c>
      <c r="B257">
        <v>8</v>
      </c>
      <c r="C257">
        <v>1</v>
      </c>
      <c r="D257">
        <v>1</v>
      </c>
      <c r="E257">
        <v>2</v>
      </c>
      <c r="F257">
        <v>1</v>
      </c>
      <c r="G257">
        <v>2</v>
      </c>
      <c r="H257">
        <v>1</v>
      </c>
      <c r="I257">
        <v>6</v>
      </c>
      <c r="J257" t="s">
        <v>6490</v>
      </c>
      <c r="K257">
        <v>1</v>
      </c>
      <c r="L257">
        <v>1</v>
      </c>
      <c r="M257">
        <v>1</v>
      </c>
      <c r="N257">
        <v>2</v>
      </c>
      <c r="O257">
        <v>1</v>
      </c>
      <c r="P257" t="s">
        <v>6490</v>
      </c>
      <c r="Q257" t="s">
        <v>6490</v>
      </c>
      <c r="R257" t="s">
        <v>6490</v>
      </c>
      <c r="S257" t="s">
        <v>6490</v>
      </c>
      <c r="T257" t="s">
        <v>6490</v>
      </c>
      <c r="U257" t="s">
        <v>6490</v>
      </c>
      <c r="V257" t="s">
        <v>6490</v>
      </c>
      <c r="W257" t="s">
        <v>6490</v>
      </c>
      <c r="X257" t="s">
        <v>6490</v>
      </c>
      <c r="Y257" t="s">
        <v>6490</v>
      </c>
      <c r="Z257" t="s">
        <v>6490</v>
      </c>
      <c r="AA257" t="s">
        <v>6490</v>
      </c>
      <c r="AB257" t="s">
        <v>6490</v>
      </c>
      <c r="AC257" t="s">
        <v>6490</v>
      </c>
    </row>
    <row r="258" spans="1:30" x14ac:dyDescent="0.25">
      <c r="A258" t="s">
        <v>5537</v>
      </c>
      <c r="B258" t="s">
        <v>6490</v>
      </c>
      <c r="C258" t="s">
        <v>6490</v>
      </c>
      <c r="D258" t="s">
        <v>6490</v>
      </c>
      <c r="E258" t="s">
        <v>6490</v>
      </c>
      <c r="F258" t="s">
        <v>6490</v>
      </c>
      <c r="G258" t="s">
        <v>6490</v>
      </c>
      <c r="H258" t="s">
        <v>6490</v>
      </c>
      <c r="I258" t="s">
        <v>6490</v>
      </c>
      <c r="J258" t="s">
        <v>6490</v>
      </c>
      <c r="K258" t="s">
        <v>6490</v>
      </c>
      <c r="L258" t="s">
        <v>6490</v>
      </c>
      <c r="M258" t="s">
        <v>6490</v>
      </c>
      <c r="N258" t="s">
        <v>6490</v>
      </c>
      <c r="O258" t="s">
        <v>6490</v>
      </c>
      <c r="P258" t="s">
        <v>6490</v>
      </c>
      <c r="Q258" t="s">
        <v>6490</v>
      </c>
      <c r="R258" t="s">
        <v>6490</v>
      </c>
      <c r="S258" t="s">
        <v>6490</v>
      </c>
      <c r="T258" t="s">
        <v>6490</v>
      </c>
      <c r="U258" t="s">
        <v>6490</v>
      </c>
      <c r="V258" t="s">
        <v>6490</v>
      </c>
      <c r="W258" t="s">
        <v>6490</v>
      </c>
      <c r="X258" t="s">
        <v>6490</v>
      </c>
      <c r="Y258" t="s">
        <v>6490</v>
      </c>
      <c r="Z258" t="s">
        <v>6490</v>
      </c>
      <c r="AA258" t="s">
        <v>6490</v>
      </c>
      <c r="AB258" t="s">
        <v>6490</v>
      </c>
      <c r="AC258" t="s">
        <v>6490</v>
      </c>
    </row>
    <row r="259" spans="1:30" x14ac:dyDescent="0.25">
      <c r="A259" t="s">
        <v>5541</v>
      </c>
      <c r="B259">
        <v>12</v>
      </c>
      <c r="C259">
        <v>1</v>
      </c>
      <c r="D259">
        <v>3</v>
      </c>
      <c r="E259">
        <v>6</v>
      </c>
      <c r="F259">
        <v>1</v>
      </c>
      <c r="G259">
        <v>1</v>
      </c>
      <c r="H259" t="s">
        <v>6490</v>
      </c>
      <c r="I259">
        <v>3</v>
      </c>
      <c r="J259" t="s">
        <v>6490</v>
      </c>
      <c r="K259">
        <v>1</v>
      </c>
      <c r="L259">
        <v>1</v>
      </c>
      <c r="M259" t="s">
        <v>6490</v>
      </c>
      <c r="N259">
        <v>1</v>
      </c>
      <c r="O259" t="s">
        <v>6490</v>
      </c>
      <c r="P259" t="s">
        <v>6490</v>
      </c>
      <c r="Q259" t="s">
        <v>6490</v>
      </c>
      <c r="R259" t="s">
        <v>6490</v>
      </c>
      <c r="S259" t="s">
        <v>6490</v>
      </c>
      <c r="T259" t="s">
        <v>6490</v>
      </c>
      <c r="U259" t="s">
        <v>6490</v>
      </c>
      <c r="V259" t="s">
        <v>6490</v>
      </c>
      <c r="W259" t="s">
        <v>6490</v>
      </c>
      <c r="X259" t="s">
        <v>6490</v>
      </c>
      <c r="Y259" t="s">
        <v>6490</v>
      </c>
      <c r="Z259" t="s">
        <v>6490</v>
      </c>
      <c r="AA259" t="s">
        <v>6490</v>
      </c>
      <c r="AB259" t="s">
        <v>6490</v>
      </c>
      <c r="AC259" t="s">
        <v>6490</v>
      </c>
    </row>
    <row r="260" spans="1:30" x14ac:dyDescent="0.25">
      <c r="A260" t="s">
        <v>63</v>
      </c>
      <c r="B260">
        <v>18</v>
      </c>
      <c r="C260">
        <v>1</v>
      </c>
      <c r="D260">
        <v>3</v>
      </c>
      <c r="E260">
        <v>9</v>
      </c>
      <c r="F260">
        <v>1</v>
      </c>
      <c r="G260">
        <v>4</v>
      </c>
      <c r="H260" t="s">
        <v>6490</v>
      </c>
      <c r="I260">
        <v>1</v>
      </c>
      <c r="J260" t="s">
        <v>6490</v>
      </c>
      <c r="K260" t="s">
        <v>6490</v>
      </c>
      <c r="L260" t="s">
        <v>6490</v>
      </c>
      <c r="M260">
        <v>1</v>
      </c>
      <c r="N260" t="s">
        <v>6490</v>
      </c>
      <c r="O260" t="s">
        <v>6490</v>
      </c>
      <c r="P260" t="s">
        <v>6490</v>
      </c>
      <c r="Q260" t="s">
        <v>6490</v>
      </c>
      <c r="R260" t="s">
        <v>6490</v>
      </c>
      <c r="S260" t="s">
        <v>6490</v>
      </c>
      <c r="T260" t="s">
        <v>6490</v>
      </c>
      <c r="U260" t="s">
        <v>6490</v>
      </c>
      <c r="V260" t="s">
        <v>6490</v>
      </c>
      <c r="W260" t="s">
        <v>6490</v>
      </c>
      <c r="X260" t="s">
        <v>6490</v>
      </c>
      <c r="Y260" t="s">
        <v>6490</v>
      </c>
      <c r="Z260" t="s">
        <v>6490</v>
      </c>
      <c r="AA260" t="s">
        <v>6490</v>
      </c>
      <c r="AB260" t="s">
        <v>6490</v>
      </c>
      <c r="AC260" t="s">
        <v>6490</v>
      </c>
    </row>
    <row r="261" spans="1:30" x14ac:dyDescent="0.25">
      <c r="A261" t="s">
        <v>5595</v>
      </c>
      <c r="B261" t="s">
        <v>6490</v>
      </c>
      <c r="C261" t="s">
        <v>6490</v>
      </c>
      <c r="D261" t="s">
        <v>6490</v>
      </c>
      <c r="E261" t="s">
        <v>6490</v>
      </c>
      <c r="F261" t="s">
        <v>6490</v>
      </c>
      <c r="G261" t="s">
        <v>6490</v>
      </c>
      <c r="H261" t="s">
        <v>6490</v>
      </c>
      <c r="I261" t="s">
        <v>6490</v>
      </c>
      <c r="J261" t="s">
        <v>6490</v>
      </c>
      <c r="K261" t="s">
        <v>6490</v>
      </c>
      <c r="L261" t="s">
        <v>6490</v>
      </c>
      <c r="M261" t="s">
        <v>6490</v>
      </c>
      <c r="N261" t="s">
        <v>6490</v>
      </c>
      <c r="O261" t="s">
        <v>6490</v>
      </c>
      <c r="P261" t="s">
        <v>6490</v>
      </c>
      <c r="Q261" t="s">
        <v>6490</v>
      </c>
      <c r="R261" t="s">
        <v>6490</v>
      </c>
      <c r="S261" t="s">
        <v>6490</v>
      </c>
      <c r="T261" t="s">
        <v>6490</v>
      </c>
      <c r="U261" t="s">
        <v>6490</v>
      </c>
      <c r="V261" t="s">
        <v>6490</v>
      </c>
      <c r="W261" t="s">
        <v>6490</v>
      </c>
      <c r="X261" t="s">
        <v>6490</v>
      </c>
      <c r="Y261" t="s">
        <v>6490</v>
      </c>
      <c r="Z261" t="s">
        <v>6490</v>
      </c>
      <c r="AA261" t="s">
        <v>6490</v>
      </c>
      <c r="AB261" t="s">
        <v>6490</v>
      </c>
      <c r="AC261" t="s">
        <v>6490</v>
      </c>
    </row>
    <row r="262" spans="1:30" x14ac:dyDescent="0.25">
      <c r="A262" t="s">
        <v>64</v>
      </c>
      <c r="B262">
        <v>10</v>
      </c>
      <c r="C262">
        <v>3</v>
      </c>
      <c r="D262">
        <v>1</v>
      </c>
      <c r="E262">
        <v>1</v>
      </c>
      <c r="F262">
        <v>2</v>
      </c>
      <c r="G262">
        <v>2</v>
      </c>
      <c r="H262">
        <v>1</v>
      </c>
      <c r="I262">
        <v>4</v>
      </c>
      <c r="J262" t="s">
        <v>6490</v>
      </c>
      <c r="K262" t="s">
        <v>6490</v>
      </c>
      <c r="L262" t="s">
        <v>6490</v>
      </c>
      <c r="M262">
        <v>1</v>
      </c>
      <c r="N262">
        <v>2</v>
      </c>
      <c r="O262">
        <v>1</v>
      </c>
      <c r="P262">
        <v>4</v>
      </c>
      <c r="Q262" t="s">
        <v>6490</v>
      </c>
      <c r="R262" t="s">
        <v>6490</v>
      </c>
      <c r="S262" t="s">
        <v>6490</v>
      </c>
      <c r="T262">
        <v>1</v>
      </c>
      <c r="U262">
        <v>2</v>
      </c>
      <c r="V262">
        <v>1</v>
      </c>
      <c r="W262">
        <v>5</v>
      </c>
      <c r="X262">
        <v>3</v>
      </c>
      <c r="Y262">
        <v>1</v>
      </c>
      <c r="Z262" t="s">
        <v>6490</v>
      </c>
      <c r="AA262" t="s">
        <v>6490</v>
      </c>
      <c r="AB262">
        <v>1</v>
      </c>
      <c r="AC262" t="s">
        <v>6490</v>
      </c>
    </row>
    <row r="263" spans="1:30" x14ac:dyDescent="0.25">
      <c r="A263" t="s">
        <v>5619</v>
      </c>
      <c r="B263">
        <v>6</v>
      </c>
      <c r="C263" t="s">
        <v>6490</v>
      </c>
      <c r="D263">
        <v>3</v>
      </c>
      <c r="E263" t="s">
        <v>6490</v>
      </c>
      <c r="F263">
        <v>2</v>
      </c>
      <c r="G263" t="s">
        <v>6490</v>
      </c>
      <c r="H263">
        <v>1</v>
      </c>
      <c r="I263">
        <v>1</v>
      </c>
      <c r="J263" t="s">
        <v>6490</v>
      </c>
      <c r="K263" t="s">
        <v>6490</v>
      </c>
      <c r="L263" t="s">
        <v>6490</v>
      </c>
      <c r="M263" t="s">
        <v>6490</v>
      </c>
      <c r="N263" t="s">
        <v>6490</v>
      </c>
      <c r="O263">
        <v>1</v>
      </c>
      <c r="P263">
        <v>1</v>
      </c>
      <c r="Q263" t="s">
        <v>6490</v>
      </c>
      <c r="R263" t="s">
        <v>6490</v>
      </c>
      <c r="S263" t="s">
        <v>6490</v>
      </c>
      <c r="T263" t="s">
        <v>6490</v>
      </c>
      <c r="U263" t="s">
        <v>6490</v>
      </c>
      <c r="V263">
        <v>1</v>
      </c>
      <c r="W263" t="s">
        <v>6490</v>
      </c>
      <c r="X263" t="s">
        <v>6490</v>
      </c>
      <c r="Y263" t="s">
        <v>6490</v>
      </c>
      <c r="Z263" t="s">
        <v>6490</v>
      </c>
      <c r="AA263" t="s">
        <v>6490</v>
      </c>
      <c r="AB263" t="s">
        <v>6490</v>
      </c>
      <c r="AC263" t="s">
        <v>6490</v>
      </c>
    </row>
    <row r="264" spans="1:30" x14ac:dyDescent="0.25">
      <c r="A264" t="s">
        <v>5621</v>
      </c>
      <c r="B264" t="s">
        <v>6490</v>
      </c>
      <c r="C264" t="s">
        <v>6490</v>
      </c>
      <c r="D264" t="s">
        <v>6490</v>
      </c>
      <c r="E264" t="s">
        <v>6490</v>
      </c>
      <c r="F264" t="s">
        <v>6490</v>
      </c>
      <c r="G264" t="s">
        <v>6490</v>
      </c>
      <c r="H264" t="s">
        <v>6490</v>
      </c>
      <c r="I264" t="s">
        <v>6490</v>
      </c>
      <c r="J264" t="s">
        <v>6490</v>
      </c>
      <c r="K264" t="s">
        <v>6490</v>
      </c>
      <c r="L264" t="s">
        <v>6490</v>
      </c>
      <c r="M264" t="s">
        <v>6490</v>
      </c>
      <c r="N264" t="s">
        <v>6490</v>
      </c>
      <c r="O264" t="s">
        <v>6490</v>
      </c>
      <c r="P264" t="s">
        <v>6490</v>
      </c>
      <c r="Q264" t="s">
        <v>6490</v>
      </c>
      <c r="R264" t="s">
        <v>6490</v>
      </c>
      <c r="S264" t="s">
        <v>6490</v>
      </c>
      <c r="T264" t="s">
        <v>6490</v>
      </c>
      <c r="U264" t="s">
        <v>6490</v>
      </c>
      <c r="V264" t="s">
        <v>6490</v>
      </c>
      <c r="W264" t="s">
        <v>6490</v>
      </c>
      <c r="X264" t="s">
        <v>6490</v>
      </c>
      <c r="Y264" t="s">
        <v>6490</v>
      </c>
      <c r="Z264" t="s">
        <v>6490</v>
      </c>
      <c r="AA264" t="s">
        <v>6490</v>
      </c>
      <c r="AB264" t="s">
        <v>6490</v>
      </c>
      <c r="AC264" t="s">
        <v>6490</v>
      </c>
    </row>
    <row r="265" spans="1:30" x14ac:dyDescent="0.25">
      <c r="A265" t="s">
        <v>5624</v>
      </c>
      <c r="B265">
        <v>21</v>
      </c>
      <c r="C265">
        <v>2</v>
      </c>
      <c r="D265">
        <v>6</v>
      </c>
      <c r="E265">
        <v>5</v>
      </c>
      <c r="F265">
        <v>1</v>
      </c>
      <c r="G265">
        <v>2</v>
      </c>
      <c r="H265">
        <v>5</v>
      </c>
      <c r="I265">
        <v>3</v>
      </c>
      <c r="J265" t="s">
        <v>6490</v>
      </c>
      <c r="K265" t="s">
        <v>6490</v>
      </c>
      <c r="L265" t="s">
        <v>6490</v>
      </c>
      <c r="M265">
        <v>1</v>
      </c>
      <c r="N265" t="s">
        <v>6490</v>
      </c>
      <c r="O265">
        <v>2</v>
      </c>
      <c r="P265">
        <v>7</v>
      </c>
      <c r="Q265" t="s">
        <v>6490</v>
      </c>
      <c r="R265">
        <v>1</v>
      </c>
      <c r="S265" t="s">
        <v>6490</v>
      </c>
      <c r="T265">
        <v>1</v>
      </c>
      <c r="U265" t="s">
        <v>6490</v>
      </c>
      <c r="V265">
        <v>5</v>
      </c>
      <c r="W265" t="s">
        <v>6490</v>
      </c>
      <c r="X265" t="s">
        <v>6490</v>
      </c>
      <c r="Y265" t="s">
        <v>6490</v>
      </c>
      <c r="Z265" t="s">
        <v>6490</v>
      </c>
      <c r="AA265" t="s">
        <v>6490</v>
      </c>
      <c r="AB265" t="s">
        <v>6490</v>
      </c>
      <c r="AC265" t="s">
        <v>6490</v>
      </c>
    </row>
    <row r="266" spans="1:30" x14ac:dyDescent="0.25">
      <c r="A266" t="s">
        <v>5644</v>
      </c>
      <c r="B266" t="s">
        <v>6490</v>
      </c>
      <c r="C266" t="s">
        <v>6490</v>
      </c>
      <c r="D266" t="s">
        <v>6490</v>
      </c>
      <c r="E266" t="s">
        <v>6490</v>
      </c>
      <c r="F266" t="s">
        <v>6490</v>
      </c>
      <c r="G266" t="s">
        <v>6490</v>
      </c>
      <c r="H266" t="s">
        <v>6490</v>
      </c>
      <c r="I266" t="s">
        <v>6490</v>
      </c>
      <c r="J266" t="s">
        <v>6490</v>
      </c>
      <c r="K266" t="s">
        <v>6490</v>
      </c>
      <c r="L266" t="s">
        <v>6490</v>
      </c>
      <c r="M266" t="s">
        <v>6490</v>
      </c>
      <c r="N266" t="s">
        <v>6490</v>
      </c>
      <c r="O266" t="s">
        <v>6490</v>
      </c>
      <c r="P266" t="s">
        <v>6490</v>
      </c>
      <c r="Q266" t="s">
        <v>6490</v>
      </c>
      <c r="R266" t="s">
        <v>6490</v>
      </c>
      <c r="S266" t="s">
        <v>6490</v>
      </c>
      <c r="T266" t="s">
        <v>6490</v>
      </c>
      <c r="U266" t="s">
        <v>6490</v>
      </c>
      <c r="V266" t="s">
        <v>6490</v>
      </c>
      <c r="W266" t="s">
        <v>6490</v>
      </c>
      <c r="X266" t="s">
        <v>6490</v>
      </c>
      <c r="Y266" t="s">
        <v>6490</v>
      </c>
      <c r="Z266" t="s">
        <v>6490</v>
      </c>
      <c r="AA266" t="s">
        <v>6490</v>
      </c>
      <c r="AB266" t="s">
        <v>6490</v>
      </c>
      <c r="AC266" t="s">
        <v>6490</v>
      </c>
    </row>
    <row r="267" spans="1:30" x14ac:dyDescent="0.25">
      <c r="A267" t="s">
        <v>6559</v>
      </c>
    </row>
    <row r="268" spans="1:30" ht="30" customHeight="1" x14ac:dyDescent="0.25">
      <c r="A268" s="13" t="s">
        <v>6560</v>
      </c>
      <c r="B268">
        <v>13</v>
      </c>
      <c r="C268">
        <v>1</v>
      </c>
      <c r="D268">
        <v>1</v>
      </c>
      <c r="E268">
        <v>4</v>
      </c>
      <c r="F268">
        <v>6</v>
      </c>
      <c r="G268">
        <v>1</v>
      </c>
      <c r="H268" t="s">
        <v>6490</v>
      </c>
      <c r="I268">
        <v>2</v>
      </c>
      <c r="J268" t="s">
        <v>6490</v>
      </c>
      <c r="K268" t="s">
        <v>6490</v>
      </c>
      <c r="L268" t="s">
        <v>6490</v>
      </c>
      <c r="M268">
        <v>2</v>
      </c>
      <c r="N268" t="s">
        <v>6490</v>
      </c>
      <c r="O268" t="s">
        <v>6490</v>
      </c>
      <c r="P268" t="s">
        <v>6490</v>
      </c>
      <c r="Q268" t="s">
        <v>6490</v>
      </c>
      <c r="R268" t="s">
        <v>6490</v>
      </c>
      <c r="S268" t="s">
        <v>6490</v>
      </c>
      <c r="T268" t="s">
        <v>6490</v>
      </c>
      <c r="U268" t="s">
        <v>6490</v>
      </c>
      <c r="V268" t="s">
        <v>6490</v>
      </c>
      <c r="W268" t="s">
        <v>6490</v>
      </c>
      <c r="X268" t="s">
        <v>6490</v>
      </c>
      <c r="Y268" t="s">
        <v>6490</v>
      </c>
      <c r="Z268" t="s">
        <v>6490</v>
      </c>
      <c r="AA268" t="s">
        <v>6490</v>
      </c>
      <c r="AB268" t="s">
        <v>6490</v>
      </c>
      <c r="AC268" t="s">
        <v>6490</v>
      </c>
      <c r="AD268" t="str">
        <f t="array" aca="1" ref="AD268" ca="1">RIGHT(CELL("nomfichier",E268),LEN(CELL("nomfichier",E268))-FIND("]",CELL("nomfichier",E268)))</f>
        <v>G</v>
      </c>
    </row>
    <row r="269" spans="1:30" x14ac:dyDescent="0.25">
      <c r="A269" t="s">
        <v>5652</v>
      </c>
      <c r="B269">
        <v>4</v>
      </c>
      <c r="C269" t="s">
        <v>6490</v>
      </c>
      <c r="D269" t="s">
        <v>6490</v>
      </c>
      <c r="E269">
        <v>1</v>
      </c>
      <c r="F269" t="s">
        <v>6490</v>
      </c>
      <c r="G269">
        <v>1</v>
      </c>
      <c r="H269">
        <v>2</v>
      </c>
      <c r="I269">
        <v>3</v>
      </c>
      <c r="J269" t="s">
        <v>6490</v>
      </c>
      <c r="K269" t="s">
        <v>6490</v>
      </c>
      <c r="L269" t="s">
        <v>6490</v>
      </c>
      <c r="M269" t="s">
        <v>6490</v>
      </c>
      <c r="N269">
        <v>1</v>
      </c>
      <c r="O269">
        <v>2</v>
      </c>
      <c r="P269">
        <v>3</v>
      </c>
      <c r="Q269" t="s">
        <v>6490</v>
      </c>
      <c r="R269" t="s">
        <v>6490</v>
      </c>
      <c r="S269" t="s">
        <v>6490</v>
      </c>
      <c r="T269" t="s">
        <v>6490</v>
      </c>
      <c r="U269">
        <v>1</v>
      </c>
      <c r="V269">
        <v>2</v>
      </c>
      <c r="W269" t="s">
        <v>6490</v>
      </c>
      <c r="X269" t="s">
        <v>6490</v>
      </c>
      <c r="Y269" t="s">
        <v>6490</v>
      </c>
      <c r="Z269" t="s">
        <v>6490</v>
      </c>
      <c r="AA269" t="s">
        <v>6490</v>
      </c>
      <c r="AB269" t="s">
        <v>6490</v>
      </c>
      <c r="AC269" t="s">
        <v>6490</v>
      </c>
    </row>
    <row r="270" spans="1:30" x14ac:dyDescent="0.25">
      <c r="A270" t="s">
        <v>5657</v>
      </c>
      <c r="B270">
        <v>10</v>
      </c>
      <c r="C270">
        <v>1</v>
      </c>
      <c r="D270">
        <v>3</v>
      </c>
      <c r="E270">
        <v>2</v>
      </c>
      <c r="F270">
        <v>3</v>
      </c>
      <c r="G270">
        <v>1</v>
      </c>
      <c r="H270" t="s">
        <v>6490</v>
      </c>
      <c r="I270">
        <v>2</v>
      </c>
      <c r="J270" t="s">
        <v>6490</v>
      </c>
      <c r="K270" t="s">
        <v>6490</v>
      </c>
      <c r="L270" t="s">
        <v>6490</v>
      </c>
      <c r="M270">
        <v>1</v>
      </c>
      <c r="N270">
        <v>1</v>
      </c>
      <c r="O270" t="s">
        <v>6490</v>
      </c>
      <c r="P270">
        <v>2</v>
      </c>
      <c r="Q270" t="s">
        <v>6490</v>
      </c>
      <c r="R270" t="s">
        <v>6490</v>
      </c>
      <c r="S270" t="s">
        <v>6490</v>
      </c>
      <c r="T270">
        <v>1</v>
      </c>
      <c r="U270">
        <v>1</v>
      </c>
      <c r="V270" t="s">
        <v>6490</v>
      </c>
      <c r="W270">
        <v>1</v>
      </c>
      <c r="X270" t="s">
        <v>6490</v>
      </c>
      <c r="Y270" t="s">
        <v>6490</v>
      </c>
      <c r="Z270" t="s">
        <v>6490</v>
      </c>
      <c r="AA270">
        <v>1</v>
      </c>
      <c r="AB270" t="s">
        <v>6490</v>
      </c>
      <c r="AC270" t="s">
        <v>6490</v>
      </c>
    </row>
    <row r="271" spans="1:30" x14ac:dyDescent="0.25">
      <c r="A271" t="s">
        <v>5660</v>
      </c>
      <c r="B271">
        <v>2</v>
      </c>
      <c r="C271" t="s">
        <v>6490</v>
      </c>
      <c r="D271" t="s">
        <v>6490</v>
      </c>
      <c r="E271">
        <v>1</v>
      </c>
      <c r="F271" t="s">
        <v>6490</v>
      </c>
      <c r="G271">
        <v>1</v>
      </c>
      <c r="H271" t="s">
        <v>6490</v>
      </c>
      <c r="I271">
        <v>1</v>
      </c>
      <c r="J271" t="s">
        <v>6490</v>
      </c>
      <c r="K271" t="s">
        <v>6490</v>
      </c>
      <c r="L271" t="s">
        <v>6490</v>
      </c>
      <c r="M271" t="s">
        <v>6490</v>
      </c>
      <c r="N271">
        <v>1</v>
      </c>
      <c r="O271" t="s">
        <v>6490</v>
      </c>
      <c r="P271">
        <v>1</v>
      </c>
      <c r="Q271" t="s">
        <v>6490</v>
      </c>
      <c r="R271" t="s">
        <v>6490</v>
      </c>
      <c r="S271" t="s">
        <v>6490</v>
      </c>
      <c r="T271" t="s">
        <v>6490</v>
      </c>
      <c r="U271">
        <v>1</v>
      </c>
      <c r="V271" t="s">
        <v>6490</v>
      </c>
      <c r="W271">
        <v>2</v>
      </c>
      <c r="X271" t="s">
        <v>6490</v>
      </c>
      <c r="Y271" t="s">
        <v>6490</v>
      </c>
      <c r="Z271">
        <v>1</v>
      </c>
      <c r="AA271" t="s">
        <v>6490</v>
      </c>
      <c r="AB271">
        <v>1</v>
      </c>
      <c r="AC271" t="s">
        <v>6490</v>
      </c>
    </row>
    <row r="272" spans="1:30" x14ac:dyDescent="0.25">
      <c r="A272" t="s">
        <v>5667</v>
      </c>
      <c r="B272" t="s">
        <v>6490</v>
      </c>
      <c r="C272" t="s">
        <v>6490</v>
      </c>
      <c r="D272" t="s">
        <v>6490</v>
      </c>
      <c r="E272" t="s">
        <v>6490</v>
      </c>
      <c r="F272" t="s">
        <v>6490</v>
      </c>
      <c r="G272" t="s">
        <v>6490</v>
      </c>
      <c r="H272" t="s">
        <v>6490</v>
      </c>
      <c r="I272" t="s">
        <v>6490</v>
      </c>
      <c r="J272" t="s">
        <v>6490</v>
      </c>
      <c r="K272" t="s">
        <v>6490</v>
      </c>
      <c r="L272" t="s">
        <v>6490</v>
      </c>
      <c r="M272" t="s">
        <v>6490</v>
      </c>
      <c r="N272" t="s">
        <v>6490</v>
      </c>
      <c r="O272" t="s">
        <v>6490</v>
      </c>
      <c r="P272" t="s">
        <v>6490</v>
      </c>
      <c r="Q272" t="s">
        <v>6490</v>
      </c>
      <c r="R272" t="s">
        <v>6490</v>
      </c>
      <c r="S272" t="s">
        <v>6490</v>
      </c>
      <c r="T272" t="s">
        <v>6490</v>
      </c>
      <c r="U272" t="s">
        <v>6490</v>
      </c>
      <c r="V272" t="s">
        <v>6490</v>
      </c>
      <c r="W272" t="s">
        <v>6490</v>
      </c>
      <c r="X272" t="s">
        <v>6490</v>
      </c>
      <c r="Y272" t="s">
        <v>6490</v>
      </c>
      <c r="Z272" t="s">
        <v>6490</v>
      </c>
      <c r="AA272" t="s">
        <v>6490</v>
      </c>
      <c r="AB272" t="s">
        <v>6490</v>
      </c>
      <c r="AC272" t="s">
        <v>6490</v>
      </c>
    </row>
    <row r="273" spans="1:29" x14ac:dyDescent="0.25">
      <c r="A273" t="s">
        <v>5672</v>
      </c>
      <c r="B273">
        <v>12</v>
      </c>
      <c r="C273" t="s">
        <v>6490</v>
      </c>
      <c r="D273">
        <v>1</v>
      </c>
      <c r="E273" t="s">
        <v>6490</v>
      </c>
      <c r="F273">
        <v>3</v>
      </c>
      <c r="G273">
        <v>3</v>
      </c>
      <c r="H273">
        <v>5</v>
      </c>
      <c r="I273">
        <v>8</v>
      </c>
      <c r="J273" t="s">
        <v>6490</v>
      </c>
      <c r="K273" t="s">
        <v>6490</v>
      </c>
      <c r="L273" t="s">
        <v>6490</v>
      </c>
      <c r="M273">
        <v>2</v>
      </c>
      <c r="N273">
        <v>3</v>
      </c>
      <c r="O273">
        <v>3</v>
      </c>
      <c r="P273">
        <v>9</v>
      </c>
      <c r="Q273" t="s">
        <v>6490</v>
      </c>
      <c r="R273" t="s">
        <v>6490</v>
      </c>
      <c r="S273" t="s">
        <v>6490</v>
      </c>
      <c r="T273">
        <v>2</v>
      </c>
      <c r="U273">
        <v>3</v>
      </c>
      <c r="V273">
        <v>4</v>
      </c>
      <c r="W273">
        <v>4</v>
      </c>
      <c r="X273" t="s">
        <v>6490</v>
      </c>
      <c r="Y273" t="s">
        <v>6490</v>
      </c>
      <c r="Z273" t="s">
        <v>6490</v>
      </c>
      <c r="AA273">
        <v>3</v>
      </c>
      <c r="AB273" t="s">
        <v>6490</v>
      </c>
      <c r="AC273">
        <v>1</v>
      </c>
    </row>
    <row r="274" spans="1:29" x14ac:dyDescent="0.25">
      <c r="A274" t="s">
        <v>5680</v>
      </c>
      <c r="B274" t="s">
        <v>6490</v>
      </c>
      <c r="C274" t="s">
        <v>6490</v>
      </c>
      <c r="D274" t="s">
        <v>6490</v>
      </c>
      <c r="E274" t="s">
        <v>6490</v>
      </c>
      <c r="F274" t="s">
        <v>6490</v>
      </c>
      <c r="G274" t="s">
        <v>6490</v>
      </c>
      <c r="H274" t="s">
        <v>6490</v>
      </c>
      <c r="I274" t="s">
        <v>6490</v>
      </c>
      <c r="J274" t="s">
        <v>6490</v>
      </c>
      <c r="K274" t="s">
        <v>6490</v>
      </c>
      <c r="L274" t="s">
        <v>6490</v>
      </c>
      <c r="M274" t="s">
        <v>6490</v>
      </c>
      <c r="N274" t="s">
        <v>6490</v>
      </c>
      <c r="O274" t="s">
        <v>6490</v>
      </c>
      <c r="P274" t="s">
        <v>6490</v>
      </c>
      <c r="Q274" t="s">
        <v>6490</v>
      </c>
      <c r="R274" t="s">
        <v>6490</v>
      </c>
      <c r="S274" t="s">
        <v>6490</v>
      </c>
      <c r="T274" t="s">
        <v>6490</v>
      </c>
      <c r="U274" t="s">
        <v>6490</v>
      </c>
      <c r="V274" t="s">
        <v>6490</v>
      </c>
      <c r="W274" t="s">
        <v>6490</v>
      </c>
      <c r="X274" t="s">
        <v>6490</v>
      </c>
      <c r="Y274" t="s">
        <v>6490</v>
      </c>
      <c r="Z274" t="s">
        <v>6490</v>
      </c>
      <c r="AA274" t="s">
        <v>6490</v>
      </c>
      <c r="AB274" t="s">
        <v>6490</v>
      </c>
      <c r="AC274" t="s">
        <v>6490</v>
      </c>
    </row>
    <row r="275" spans="1:29" x14ac:dyDescent="0.25">
      <c r="A275" t="s">
        <v>5685</v>
      </c>
      <c r="B275">
        <v>4</v>
      </c>
      <c r="C275">
        <v>3</v>
      </c>
      <c r="D275" t="s">
        <v>6490</v>
      </c>
      <c r="E275" t="s">
        <v>6490</v>
      </c>
      <c r="F275" t="s">
        <v>6490</v>
      </c>
      <c r="G275">
        <v>1</v>
      </c>
      <c r="H275" t="s">
        <v>6490</v>
      </c>
      <c r="I275">
        <v>1</v>
      </c>
      <c r="J275" t="s">
        <v>6490</v>
      </c>
      <c r="K275" t="s">
        <v>6490</v>
      </c>
      <c r="L275" t="s">
        <v>6490</v>
      </c>
      <c r="M275" t="s">
        <v>6490</v>
      </c>
      <c r="N275">
        <v>1</v>
      </c>
      <c r="O275" t="s">
        <v>6490</v>
      </c>
      <c r="P275">
        <v>1</v>
      </c>
      <c r="Q275" t="s">
        <v>6490</v>
      </c>
      <c r="R275" t="s">
        <v>6490</v>
      </c>
      <c r="S275" t="s">
        <v>6490</v>
      </c>
      <c r="T275" t="s">
        <v>6490</v>
      </c>
      <c r="U275">
        <v>1</v>
      </c>
      <c r="V275" t="s">
        <v>6490</v>
      </c>
      <c r="W275" t="s">
        <v>6490</v>
      </c>
      <c r="X275" t="s">
        <v>6490</v>
      </c>
      <c r="Y275" t="s">
        <v>6490</v>
      </c>
      <c r="Z275" t="s">
        <v>6490</v>
      </c>
      <c r="AA275" t="s">
        <v>6490</v>
      </c>
      <c r="AB275" t="s">
        <v>6490</v>
      </c>
      <c r="AC275" t="s">
        <v>6490</v>
      </c>
    </row>
    <row r="276" spans="1:29" x14ac:dyDescent="0.25">
      <c r="A276" t="s">
        <v>5716</v>
      </c>
      <c r="B276">
        <v>1</v>
      </c>
      <c r="C276" t="s">
        <v>6490</v>
      </c>
      <c r="D276" t="s">
        <v>6490</v>
      </c>
      <c r="E276" t="s">
        <v>6490</v>
      </c>
      <c r="F276" t="s">
        <v>6490</v>
      </c>
      <c r="G276" t="s">
        <v>6490</v>
      </c>
      <c r="H276">
        <v>1</v>
      </c>
      <c r="I276" t="s">
        <v>6490</v>
      </c>
      <c r="J276" t="s">
        <v>6490</v>
      </c>
      <c r="K276" t="s">
        <v>6490</v>
      </c>
      <c r="L276" t="s">
        <v>6490</v>
      </c>
      <c r="M276" t="s">
        <v>6490</v>
      </c>
      <c r="N276" t="s">
        <v>6490</v>
      </c>
      <c r="O276" t="s">
        <v>6490</v>
      </c>
      <c r="P276" t="s">
        <v>6490</v>
      </c>
      <c r="Q276" t="s">
        <v>6490</v>
      </c>
      <c r="R276" t="s">
        <v>6490</v>
      </c>
      <c r="S276" t="s">
        <v>6490</v>
      </c>
      <c r="T276" t="s">
        <v>6490</v>
      </c>
      <c r="U276" t="s">
        <v>6490</v>
      </c>
      <c r="V276" t="s">
        <v>6490</v>
      </c>
      <c r="W276" t="s">
        <v>6490</v>
      </c>
      <c r="X276" t="s">
        <v>6490</v>
      </c>
      <c r="Y276" t="s">
        <v>6490</v>
      </c>
      <c r="Z276" t="s">
        <v>6490</v>
      </c>
      <c r="AA276" t="s">
        <v>6490</v>
      </c>
      <c r="AB276" t="s">
        <v>6490</v>
      </c>
      <c r="AC276" t="s">
        <v>6490</v>
      </c>
    </row>
    <row r="277" spans="1:29" x14ac:dyDescent="0.25">
      <c r="A277" t="s">
        <v>5734</v>
      </c>
      <c r="B277" t="s">
        <v>6490</v>
      </c>
      <c r="C277" t="s">
        <v>6490</v>
      </c>
      <c r="D277" t="s">
        <v>6490</v>
      </c>
      <c r="E277" t="s">
        <v>6490</v>
      </c>
      <c r="F277" t="s">
        <v>6490</v>
      </c>
      <c r="G277" t="s">
        <v>6490</v>
      </c>
      <c r="H277" t="s">
        <v>6490</v>
      </c>
      <c r="I277" t="s">
        <v>6490</v>
      </c>
      <c r="J277" t="s">
        <v>6490</v>
      </c>
      <c r="K277" t="s">
        <v>6490</v>
      </c>
      <c r="L277" t="s">
        <v>6490</v>
      </c>
      <c r="M277" t="s">
        <v>6490</v>
      </c>
      <c r="N277" t="s">
        <v>6490</v>
      </c>
      <c r="O277" t="s">
        <v>6490</v>
      </c>
      <c r="P277" t="s">
        <v>6490</v>
      </c>
      <c r="Q277" t="s">
        <v>6490</v>
      </c>
      <c r="R277" t="s">
        <v>6490</v>
      </c>
      <c r="S277" t="s">
        <v>6490</v>
      </c>
      <c r="T277" t="s">
        <v>6490</v>
      </c>
      <c r="U277" t="s">
        <v>6490</v>
      </c>
      <c r="V277" t="s">
        <v>6490</v>
      </c>
      <c r="W277" t="s">
        <v>6490</v>
      </c>
      <c r="X277" t="s">
        <v>6490</v>
      </c>
      <c r="Y277" t="s">
        <v>6490</v>
      </c>
      <c r="Z277" t="s">
        <v>6490</v>
      </c>
      <c r="AA277" t="s">
        <v>6490</v>
      </c>
      <c r="AB277" t="s">
        <v>6490</v>
      </c>
      <c r="AC277" t="s">
        <v>6490</v>
      </c>
    </row>
    <row r="278" spans="1:29" x14ac:dyDescent="0.25">
      <c r="A278" t="s">
        <v>5774</v>
      </c>
      <c r="B278">
        <v>3</v>
      </c>
      <c r="C278" t="s">
        <v>6490</v>
      </c>
      <c r="D278" t="s">
        <v>6490</v>
      </c>
      <c r="E278" t="s">
        <v>6490</v>
      </c>
      <c r="F278">
        <v>2</v>
      </c>
      <c r="G278">
        <v>1</v>
      </c>
      <c r="H278" t="s">
        <v>6490</v>
      </c>
      <c r="I278">
        <v>2</v>
      </c>
      <c r="J278" t="s">
        <v>6490</v>
      </c>
      <c r="K278" t="s">
        <v>6490</v>
      </c>
      <c r="L278" t="s">
        <v>6490</v>
      </c>
      <c r="M278">
        <v>1</v>
      </c>
      <c r="N278">
        <v>1</v>
      </c>
      <c r="O278" t="s">
        <v>6490</v>
      </c>
      <c r="P278">
        <v>2</v>
      </c>
      <c r="Q278" t="s">
        <v>6490</v>
      </c>
      <c r="R278" t="s">
        <v>6490</v>
      </c>
      <c r="S278" t="s">
        <v>6490</v>
      </c>
      <c r="T278">
        <v>1</v>
      </c>
      <c r="U278">
        <v>1</v>
      </c>
      <c r="V278" t="s">
        <v>6490</v>
      </c>
      <c r="W278" t="s">
        <v>6490</v>
      </c>
      <c r="X278" t="s">
        <v>6490</v>
      </c>
      <c r="Y278" t="s">
        <v>6490</v>
      </c>
      <c r="Z278" t="s">
        <v>6490</v>
      </c>
      <c r="AA278" t="s">
        <v>6490</v>
      </c>
      <c r="AB278" t="s">
        <v>6490</v>
      </c>
      <c r="AC278" t="s">
        <v>6490</v>
      </c>
    </row>
    <row r="279" spans="1:29" x14ac:dyDescent="0.25">
      <c r="A279" t="s">
        <v>5785</v>
      </c>
      <c r="B279">
        <v>5</v>
      </c>
      <c r="C279" t="s">
        <v>6490</v>
      </c>
      <c r="D279" t="s">
        <v>6490</v>
      </c>
      <c r="E279">
        <v>1</v>
      </c>
      <c r="F279" t="s">
        <v>6490</v>
      </c>
      <c r="G279">
        <v>2</v>
      </c>
      <c r="H279">
        <v>2</v>
      </c>
      <c r="I279">
        <v>2</v>
      </c>
      <c r="J279" t="s">
        <v>6490</v>
      </c>
      <c r="K279" t="s">
        <v>6490</v>
      </c>
      <c r="L279" t="s">
        <v>6490</v>
      </c>
      <c r="M279" t="s">
        <v>6490</v>
      </c>
      <c r="N279">
        <v>2</v>
      </c>
      <c r="O279" t="s">
        <v>6490</v>
      </c>
      <c r="P279">
        <v>3</v>
      </c>
      <c r="Q279" t="s">
        <v>6490</v>
      </c>
      <c r="R279" t="s">
        <v>6490</v>
      </c>
      <c r="S279" t="s">
        <v>6490</v>
      </c>
      <c r="T279" t="s">
        <v>6490</v>
      </c>
      <c r="U279">
        <v>1</v>
      </c>
      <c r="V279">
        <v>2</v>
      </c>
      <c r="W279" t="s">
        <v>6490</v>
      </c>
      <c r="X279" t="s">
        <v>6490</v>
      </c>
      <c r="Y279" t="s">
        <v>6490</v>
      </c>
      <c r="Z279" t="s">
        <v>6490</v>
      </c>
      <c r="AA279" t="s">
        <v>6490</v>
      </c>
      <c r="AB279" t="s">
        <v>6490</v>
      </c>
      <c r="AC279" t="s">
        <v>6490</v>
      </c>
    </row>
    <row r="280" spans="1:29" x14ac:dyDescent="0.25">
      <c r="A280" t="s">
        <v>6502</v>
      </c>
      <c r="B280">
        <v>2</v>
      </c>
      <c r="C280" t="s">
        <v>6490</v>
      </c>
      <c r="D280" t="s">
        <v>6490</v>
      </c>
      <c r="E280" t="s">
        <v>6490</v>
      </c>
      <c r="F280">
        <v>1</v>
      </c>
      <c r="G280" t="s">
        <v>6490</v>
      </c>
      <c r="H280">
        <v>1</v>
      </c>
      <c r="I280">
        <v>2</v>
      </c>
      <c r="J280" t="s">
        <v>6490</v>
      </c>
      <c r="K280" t="s">
        <v>6490</v>
      </c>
      <c r="L280" t="s">
        <v>6490</v>
      </c>
      <c r="M280">
        <v>1</v>
      </c>
      <c r="N280" t="s">
        <v>6490</v>
      </c>
      <c r="O280">
        <v>1</v>
      </c>
      <c r="P280">
        <v>2</v>
      </c>
      <c r="Q280" t="s">
        <v>6490</v>
      </c>
      <c r="R280" t="s">
        <v>6490</v>
      </c>
      <c r="S280" t="s">
        <v>6490</v>
      </c>
      <c r="T280">
        <v>1</v>
      </c>
      <c r="U280" t="s">
        <v>6490</v>
      </c>
      <c r="V280">
        <v>1</v>
      </c>
      <c r="W280" t="s">
        <v>6490</v>
      </c>
      <c r="X280" t="s">
        <v>6490</v>
      </c>
      <c r="Y280" t="s">
        <v>6490</v>
      </c>
      <c r="Z280" t="s">
        <v>6490</v>
      </c>
      <c r="AA280" t="s">
        <v>6490</v>
      </c>
      <c r="AB280" t="s">
        <v>6490</v>
      </c>
      <c r="AC280" t="s">
        <v>6490</v>
      </c>
    </row>
    <row r="281" spans="1:29" x14ac:dyDescent="0.25">
      <c r="A281" t="s">
        <v>5797</v>
      </c>
      <c r="B281" t="s">
        <v>6490</v>
      </c>
      <c r="C281" t="s">
        <v>6490</v>
      </c>
      <c r="D281" t="s">
        <v>6490</v>
      </c>
      <c r="E281" t="s">
        <v>6490</v>
      </c>
      <c r="F281" t="s">
        <v>6490</v>
      </c>
      <c r="G281" t="s">
        <v>6490</v>
      </c>
      <c r="H281" t="s">
        <v>6490</v>
      </c>
      <c r="I281" t="s">
        <v>6490</v>
      </c>
      <c r="J281" t="s">
        <v>6490</v>
      </c>
      <c r="K281" t="s">
        <v>6490</v>
      </c>
      <c r="L281" t="s">
        <v>6490</v>
      </c>
      <c r="M281" t="s">
        <v>6490</v>
      </c>
      <c r="N281" t="s">
        <v>6490</v>
      </c>
      <c r="O281" t="s">
        <v>6490</v>
      </c>
      <c r="P281" t="s">
        <v>6490</v>
      </c>
      <c r="Q281" t="s">
        <v>6490</v>
      </c>
      <c r="R281" t="s">
        <v>6490</v>
      </c>
      <c r="S281" t="s">
        <v>6490</v>
      </c>
      <c r="T281" t="s">
        <v>6490</v>
      </c>
      <c r="U281" t="s">
        <v>6490</v>
      </c>
      <c r="V281" t="s">
        <v>6490</v>
      </c>
      <c r="W281" t="s">
        <v>6490</v>
      </c>
      <c r="X281" t="s">
        <v>6490</v>
      </c>
      <c r="Y281" t="s">
        <v>6490</v>
      </c>
      <c r="Z281" t="s">
        <v>6490</v>
      </c>
      <c r="AA281" t="s">
        <v>6490</v>
      </c>
      <c r="AB281" t="s">
        <v>6490</v>
      </c>
      <c r="AC281" t="s">
        <v>6490</v>
      </c>
    </row>
    <row r="282" spans="1:29" x14ac:dyDescent="0.25">
      <c r="A282" t="s">
        <v>5802</v>
      </c>
      <c r="B282">
        <v>16</v>
      </c>
      <c r="C282" t="s">
        <v>6490</v>
      </c>
      <c r="D282" t="s">
        <v>6490</v>
      </c>
      <c r="E282">
        <v>4</v>
      </c>
      <c r="F282">
        <v>3</v>
      </c>
      <c r="G282">
        <v>6</v>
      </c>
      <c r="H282">
        <v>3</v>
      </c>
      <c r="I282">
        <v>13</v>
      </c>
      <c r="J282" t="s">
        <v>6490</v>
      </c>
      <c r="K282" t="s">
        <v>6490</v>
      </c>
      <c r="L282">
        <v>3</v>
      </c>
      <c r="M282">
        <v>2</v>
      </c>
      <c r="N282">
        <v>5</v>
      </c>
      <c r="O282">
        <v>3</v>
      </c>
      <c r="P282">
        <v>9</v>
      </c>
      <c r="Q282" t="s">
        <v>6490</v>
      </c>
      <c r="R282" t="s">
        <v>6490</v>
      </c>
      <c r="S282">
        <v>2</v>
      </c>
      <c r="T282">
        <v>1</v>
      </c>
      <c r="U282">
        <v>3</v>
      </c>
      <c r="V282">
        <v>3</v>
      </c>
      <c r="W282" t="s">
        <v>6490</v>
      </c>
      <c r="X282" t="s">
        <v>6490</v>
      </c>
      <c r="Y282" t="s">
        <v>6490</v>
      </c>
      <c r="Z282" t="s">
        <v>6490</v>
      </c>
      <c r="AA282" t="s">
        <v>6490</v>
      </c>
      <c r="AB282" t="s">
        <v>6490</v>
      </c>
      <c r="AC282" t="s">
        <v>6490</v>
      </c>
    </row>
    <row r="283" spans="1:29" x14ac:dyDescent="0.25">
      <c r="A283" t="s">
        <v>5844</v>
      </c>
      <c r="B283">
        <v>2</v>
      </c>
      <c r="C283" t="s">
        <v>6490</v>
      </c>
      <c r="D283">
        <v>1</v>
      </c>
      <c r="E283">
        <v>1</v>
      </c>
      <c r="F283" t="s">
        <v>6490</v>
      </c>
      <c r="G283" t="s">
        <v>6490</v>
      </c>
      <c r="H283" t="s">
        <v>6490</v>
      </c>
      <c r="I283">
        <v>1</v>
      </c>
      <c r="J283" t="s">
        <v>6490</v>
      </c>
      <c r="K283" t="s">
        <v>6490</v>
      </c>
      <c r="L283">
        <v>1</v>
      </c>
      <c r="M283" t="s">
        <v>6490</v>
      </c>
      <c r="N283" t="s">
        <v>6490</v>
      </c>
      <c r="O283" t="s">
        <v>6490</v>
      </c>
      <c r="P283" t="s">
        <v>6490</v>
      </c>
      <c r="Q283" t="s">
        <v>6490</v>
      </c>
      <c r="R283" t="s">
        <v>6490</v>
      </c>
      <c r="S283" t="s">
        <v>6490</v>
      </c>
      <c r="T283" t="s">
        <v>6490</v>
      </c>
      <c r="U283" t="s">
        <v>6490</v>
      </c>
      <c r="V283" t="s">
        <v>6490</v>
      </c>
      <c r="W283" t="s">
        <v>6490</v>
      </c>
      <c r="X283" t="s">
        <v>6490</v>
      </c>
      <c r="Y283" t="s">
        <v>6490</v>
      </c>
      <c r="Z283" t="s">
        <v>6490</v>
      </c>
      <c r="AA283" t="s">
        <v>6490</v>
      </c>
      <c r="AB283" t="s">
        <v>6490</v>
      </c>
      <c r="AC283" t="s">
        <v>6490</v>
      </c>
    </row>
    <row r="284" spans="1:29" x14ac:dyDescent="0.25">
      <c r="A284" t="s">
        <v>5851</v>
      </c>
      <c r="B284">
        <v>2</v>
      </c>
      <c r="C284" t="s">
        <v>6490</v>
      </c>
      <c r="D284" t="s">
        <v>6490</v>
      </c>
      <c r="E284">
        <v>1</v>
      </c>
      <c r="F284">
        <v>1</v>
      </c>
      <c r="G284" t="s">
        <v>6490</v>
      </c>
      <c r="H284" t="s">
        <v>6490</v>
      </c>
      <c r="I284" t="s">
        <v>6490</v>
      </c>
      <c r="J284" t="s">
        <v>6490</v>
      </c>
      <c r="K284" t="s">
        <v>6490</v>
      </c>
      <c r="L284" t="s">
        <v>6490</v>
      </c>
      <c r="M284" t="s">
        <v>6490</v>
      </c>
      <c r="N284" t="s">
        <v>6490</v>
      </c>
      <c r="O284" t="s">
        <v>6490</v>
      </c>
      <c r="P284">
        <v>2</v>
      </c>
      <c r="Q284" t="s">
        <v>6490</v>
      </c>
      <c r="R284" t="s">
        <v>6490</v>
      </c>
      <c r="S284">
        <v>1</v>
      </c>
      <c r="T284">
        <v>1</v>
      </c>
      <c r="U284" t="s">
        <v>6490</v>
      </c>
      <c r="V284" t="s">
        <v>6490</v>
      </c>
      <c r="W284" t="s">
        <v>6490</v>
      </c>
      <c r="X284" t="s">
        <v>6490</v>
      </c>
      <c r="Y284" t="s">
        <v>6490</v>
      </c>
      <c r="Z284" t="s">
        <v>6490</v>
      </c>
      <c r="AA284" t="s">
        <v>6490</v>
      </c>
      <c r="AB284" t="s">
        <v>6490</v>
      </c>
      <c r="AC284" t="s">
        <v>6490</v>
      </c>
    </row>
    <row r="285" spans="1:29" x14ac:dyDescent="0.25">
      <c r="A285" t="s">
        <v>5856</v>
      </c>
      <c r="B285">
        <v>3</v>
      </c>
      <c r="C285" t="s">
        <v>6490</v>
      </c>
      <c r="D285" t="s">
        <v>6490</v>
      </c>
      <c r="E285" t="s">
        <v>6490</v>
      </c>
      <c r="F285" t="s">
        <v>6490</v>
      </c>
      <c r="G285">
        <v>2</v>
      </c>
      <c r="H285">
        <v>1</v>
      </c>
      <c r="I285">
        <v>2</v>
      </c>
      <c r="J285" t="s">
        <v>6490</v>
      </c>
      <c r="K285" t="s">
        <v>6490</v>
      </c>
      <c r="L285" t="s">
        <v>6490</v>
      </c>
      <c r="M285" t="s">
        <v>6490</v>
      </c>
      <c r="N285">
        <v>1</v>
      </c>
      <c r="O285">
        <v>1</v>
      </c>
      <c r="P285">
        <v>2</v>
      </c>
      <c r="Q285" t="s">
        <v>6490</v>
      </c>
      <c r="R285" t="s">
        <v>6490</v>
      </c>
      <c r="S285" t="s">
        <v>6490</v>
      </c>
      <c r="T285" t="s">
        <v>6490</v>
      </c>
      <c r="U285">
        <v>1</v>
      </c>
      <c r="V285">
        <v>1</v>
      </c>
      <c r="W285" t="s">
        <v>6490</v>
      </c>
      <c r="X285" t="s">
        <v>6490</v>
      </c>
      <c r="Y285" t="s">
        <v>6490</v>
      </c>
      <c r="Z285" t="s">
        <v>6490</v>
      </c>
      <c r="AA285" t="s">
        <v>6490</v>
      </c>
      <c r="AB285" t="s">
        <v>6490</v>
      </c>
      <c r="AC285" t="s">
        <v>6490</v>
      </c>
    </row>
    <row r="286" spans="1:29" x14ac:dyDescent="0.25">
      <c r="A286" t="s">
        <v>5859</v>
      </c>
      <c r="B286">
        <v>56</v>
      </c>
      <c r="C286">
        <v>3</v>
      </c>
      <c r="D286">
        <v>9</v>
      </c>
      <c r="E286">
        <v>20</v>
      </c>
      <c r="F286">
        <v>18</v>
      </c>
      <c r="G286">
        <v>5</v>
      </c>
      <c r="H286">
        <v>1</v>
      </c>
      <c r="I286">
        <v>7</v>
      </c>
      <c r="J286" t="s">
        <v>6490</v>
      </c>
      <c r="K286">
        <v>2</v>
      </c>
      <c r="L286">
        <v>1</v>
      </c>
      <c r="M286">
        <v>2</v>
      </c>
      <c r="N286">
        <v>2</v>
      </c>
      <c r="O286" t="s">
        <v>6490</v>
      </c>
      <c r="P286">
        <v>2</v>
      </c>
      <c r="Q286" t="s">
        <v>6490</v>
      </c>
      <c r="R286" t="s">
        <v>6490</v>
      </c>
      <c r="S286" t="s">
        <v>6490</v>
      </c>
      <c r="T286">
        <v>2</v>
      </c>
      <c r="U286" t="s">
        <v>6490</v>
      </c>
      <c r="V286" t="s">
        <v>6490</v>
      </c>
      <c r="W286">
        <v>19</v>
      </c>
      <c r="X286" t="s">
        <v>6490</v>
      </c>
      <c r="Y286">
        <v>4</v>
      </c>
      <c r="Z286">
        <v>6</v>
      </c>
      <c r="AA286">
        <v>7</v>
      </c>
      <c r="AB286">
        <v>2</v>
      </c>
      <c r="AC286" t="s">
        <v>6490</v>
      </c>
    </row>
    <row r="287" spans="1:29" x14ac:dyDescent="0.25">
      <c r="A287" t="s">
        <v>66</v>
      </c>
      <c r="B287">
        <v>11</v>
      </c>
      <c r="C287">
        <v>2</v>
      </c>
      <c r="D287">
        <v>1</v>
      </c>
      <c r="E287">
        <v>1</v>
      </c>
      <c r="F287" t="s">
        <v>6490</v>
      </c>
      <c r="G287">
        <v>2</v>
      </c>
      <c r="H287">
        <v>5</v>
      </c>
      <c r="I287">
        <v>3</v>
      </c>
      <c r="J287" t="s">
        <v>6490</v>
      </c>
      <c r="K287" t="s">
        <v>6490</v>
      </c>
      <c r="L287" t="s">
        <v>6490</v>
      </c>
      <c r="M287" t="s">
        <v>6490</v>
      </c>
      <c r="N287" t="s">
        <v>6490</v>
      </c>
      <c r="O287">
        <v>3</v>
      </c>
      <c r="P287">
        <v>3</v>
      </c>
      <c r="Q287" t="s">
        <v>6490</v>
      </c>
      <c r="R287" t="s">
        <v>6490</v>
      </c>
      <c r="S287" t="s">
        <v>6490</v>
      </c>
      <c r="T287" t="s">
        <v>6490</v>
      </c>
      <c r="U287" t="s">
        <v>6490</v>
      </c>
      <c r="V287">
        <v>3</v>
      </c>
      <c r="W287" t="s">
        <v>6490</v>
      </c>
      <c r="X287" t="s">
        <v>6490</v>
      </c>
      <c r="Y287" t="s">
        <v>6490</v>
      </c>
      <c r="Z287" t="s">
        <v>6490</v>
      </c>
      <c r="AA287" t="s">
        <v>6490</v>
      </c>
      <c r="AB287" t="s">
        <v>6490</v>
      </c>
      <c r="AC287" t="s">
        <v>6490</v>
      </c>
    </row>
    <row r="288" spans="1:29" x14ac:dyDescent="0.25">
      <c r="A288" t="s">
        <v>5922</v>
      </c>
      <c r="B288" t="s">
        <v>6490</v>
      </c>
      <c r="C288" t="s">
        <v>6490</v>
      </c>
      <c r="D288" t="s">
        <v>6490</v>
      </c>
      <c r="E288" t="s">
        <v>6490</v>
      </c>
      <c r="F288" t="s">
        <v>6490</v>
      </c>
      <c r="G288" t="s">
        <v>6490</v>
      </c>
      <c r="H288" t="s">
        <v>6490</v>
      </c>
      <c r="I288" t="s">
        <v>6490</v>
      </c>
      <c r="J288" t="s">
        <v>6490</v>
      </c>
      <c r="K288" t="s">
        <v>6490</v>
      </c>
      <c r="L288" t="s">
        <v>6490</v>
      </c>
      <c r="M288" t="s">
        <v>6490</v>
      </c>
      <c r="N288" t="s">
        <v>6490</v>
      </c>
      <c r="O288" t="s">
        <v>6490</v>
      </c>
      <c r="P288" t="s">
        <v>6490</v>
      </c>
      <c r="Q288" t="s">
        <v>6490</v>
      </c>
      <c r="R288" t="s">
        <v>6490</v>
      </c>
      <c r="S288" t="s">
        <v>6490</v>
      </c>
      <c r="T288" t="s">
        <v>6490</v>
      </c>
      <c r="U288" t="s">
        <v>6490</v>
      </c>
      <c r="V288" t="s">
        <v>6490</v>
      </c>
      <c r="W288" t="s">
        <v>6490</v>
      </c>
      <c r="X288" t="s">
        <v>6490</v>
      </c>
      <c r="Y288" t="s">
        <v>6490</v>
      </c>
      <c r="Z288" t="s">
        <v>6490</v>
      </c>
      <c r="AA288" t="s">
        <v>6490</v>
      </c>
      <c r="AB288" t="s">
        <v>6490</v>
      </c>
      <c r="AC288" t="s">
        <v>6490</v>
      </c>
    </row>
    <row r="289" spans="1:29" x14ac:dyDescent="0.25">
      <c r="A289" t="s">
        <v>5929</v>
      </c>
      <c r="B289">
        <v>88</v>
      </c>
      <c r="C289">
        <v>14</v>
      </c>
      <c r="D289">
        <v>24</v>
      </c>
      <c r="E289">
        <v>29</v>
      </c>
      <c r="F289">
        <v>14</v>
      </c>
      <c r="G289">
        <v>3</v>
      </c>
      <c r="H289">
        <v>4</v>
      </c>
      <c r="I289">
        <v>3</v>
      </c>
      <c r="J289" t="s">
        <v>6490</v>
      </c>
      <c r="K289" t="s">
        <v>6490</v>
      </c>
      <c r="L289">
        <v>1</v>
      </c>
      <c r="M289">
        <v>1</v>
      </c>
      <c r="N289" t="s">
        <v>6490</v>
      </c>
      <c r="O289">
        <v>1</v>
      </c>
      <c r="P289">
        <v>1</v>
      </c>
      <c r="Q289">
        <v>1</v>
      </c>
      <c r="R289" t="s">
        <v>6490</v>
      </c>
      <c r="S289" t="s">
        <v>6490</v>
      </c>
      <c r="T289" t="s">
        <v>6490</v>
      </c>
      <c r="U289" t="s">
        <v>6490</v>
      </c>
      <c r="V289" t="s">
        <v>6490</v>
      </c>
      <c r="W289" t="s">
        <v>6490</v>
      </c>
      <c r="X289" t="s">
        <v>6490</v>
      </c>
      <c r="Y289" t="s">
        <v>6490</v>
      </c>
      <c r="Z289" t="s">
        <v>6490</v>
      </c>
      <c r="AA289" t="s">
        <v>6490</v>
      </c>
      <c r="AB289" t="s">
        <v>6490</v>
      </c>
      <c r="AC289" t="s">
        <v>6490</v>
      </c>
    </row>
    <row r="290" spans="1:29" x14ac:dyDescent="0.25">
      <c r="A290" t="s">
        <v>6027</v>
      </c>
      <c r="B290">
        <v>20</v>
      </c>
      <c r="C290" t="s">
        <v>6490</v>
      </c>
      <c r="D290">
        <v>6</v>
      </c>
      <c r="E290">
        <v>4</v>
      </c>
      <c r="F290">
        <v>6</v>
      </c>
      <c r="G290">
        <v>2</v>
      </c>
      <c r="H290">
        <v>2</v>
      </c>
      <c r="I290">
        <v>14</v>
      </c>
      <c r="J290" t="s">
        <v>6490</v>
      </c>
      <c r="K290">
        <v>3</v>
      </c>
      <c r="L290">
        <v>2</v>
      </c>
      <c r="M290">
        <v>5</v>
      </c>
      <c r="N290">
        <v>2</v>
      </c>
      <c r="O290">
        <v>2</v>
      </c>
      <c r="P290">
        <v>3</v>
      </c>
      <c r="Q290" t="s">
        <v>6490</v>
      </c>
      <c r="R290" t="s">
        <v>6490</v>
      </c>
      <c r="S290" t="s">
        <v>6490</v>
      </c>
      <c r="T290">
        <v>1</v>
      </c>
      <c r="U290">
        <v>1</v>
      </c>
      <c r="V290">
        <v>1</v>
      </c>
      <c r="W290">
        <v>5</v>
      </c>
      <c r="X290" t="s">
        <v>6490</v>
      </c>
      <c r="Y290">
        <v>2</v>
      </c>
      <c r="Z290">
        <v>1</v>
      </c>
      <c r="AA290">
        <v>2</v>
      </c>
      <c r="AB290" t="s">
        <v>6490</v>
      </c>
      <c r="AC290" t="s">
        <v>6490</v>
      </c>
    </row>
    <row r="291" spans="1:29" x14ac:dyDescent="0.25">
      <c r="A291" t="s">
        <v>6042</v>
      </c>
      <c r="B291">
        <v>2</v>
      </c>
      <c r="C291" t="s">
        <v>6490</v>
      </c>
      <c r="D291" t="s">
        <v>6490</v>
      </c>
      <c r="E291" t="s">
        <v>6490</v>
      </c>
      <c r="F291">
        <v>1</v>
      </c>
      <c r="G291" t="s">
        <v>6490</v>
      </c>
      <c r="H291">
        <v>1</v>
      </c>
      <c r="I291">
        <v>1</v>
      </c>
      <c r="J291" t="s">
        <v>6490</v>
      </c>
      <c r="K291" t="s">
        <v>6490</v>
      </c>
      <c r="L291" t="s">
        <v>6490</v>
      </c>
      <c r="M291">
        <v>1</v>
      </c>
      <c r="N291" t="s">
        <v>6490</v>
      </c>
      <c r="O291" t="s">
        <v>6490</v>
      </c>
      <c r="P291">
        <v>1</v>
      </c>
      <c r="Q291" t="s">
        <v>6490</v>
      </c>
      <c r="R291" t="s">
        <v>6490</v>
      </c>
      <c r="S291" t="s">
        <v>6490</v>
      </c>
      <c r="T291" t="s">
        <v>6490</v>
      </c>
      <c r="U291" t="s">
        <v>6490</v>
      </c>
      <c r="V291">
        <v>1</v>
      </c>
      <c r="W291" t="s">
        <v>6490</v>
      </c>
      <c r="X291" t="s">
        <v>6490</v>
      </c>
      <c r="Y291" t="s">
        <v>6490</v>
      </c>
      <c r="Z291" t="s">
        <v>6490</v>
      </c>
      <c r="AA291" t="s">
        <v>6490</v>
      </c>
      <c r="AB291" t="s">
        <v>6490</v>
      </c>
      <c r="AC291" t="s">
        <v>6490</v>
      </c>
    </row>
    <row r="292" spans="1:29" x14ac:dyDescent="0.25">
      <c r="A292" t="s">
        <v>6047</v>
      </c>
      <c r="B292" t="s">
        <v>6490</v>
      </c>
      <c r="C292" t="s">
        <v>6490</v>
      </c>
      <c r="D292" t="s">
        <v>6490</v>
      </c>
      <c r="E292" t="s">
        <v>6490</v>
      </c>
      <c r="F292" t="s">
        <v>6490</v>
      </c>
      <c r="G292" t="s">
        <v>6490</v>
      </c>
      <c r="H292" t="s">
        <v>6490</v>
      </c>
      <c r="I292" t="s">
        <v>6490</v>
      </c>
      <c r="J292" t="s">
        <v>6490</v>
      </c>
      <c r="K292" t="s">
        <v>6490</v>
      </c>
      <c r="L292" t="s">
        <v>6490</v>
      </c>
      <c r="M292" t="s">
        <v>6490</v>
      </c>
      <c r="N292" t="s">
        <v>6490</v>
      </c>
      <c r="O292" t="s">
        <v>6490</v>
      </c>
      <c r="P292" t="s">
        <v>6490</v>
      </c>
      <c r="Q292" t="s">
        <v>6490</v>
      </c>
      <c r="R292" t="s">
        <v>6490</v>
      </c>
      <c r="S292" t="s">
        <v>6490</v>
      </c>
      <c r="T292" t="s">
        <v>6490</v>
      </c>
      <c r="U292" t="s">
        <v>6490</v>
      </c>
      <c r="V292" t="s">
        <v>6490</v>
      </c>
      <c r="W292" t="s">
        <v>6490</v>
      </c>
      <c r="X292" t="s">
        <v>6490</v>
      </c>
      <c r="Y292" t="s">
        <v>6490</v>
      </c>
      <c r="Z292" t="s">
        <v>6490</v>
      </c>
      <c r="AA292" t="s">
        <v>6490</v>
      </c>
      <c r="AB292" t="s">
        <v>6490</v>
      </c>
      <c r="AC292" t="s">
        <v>6490</v>
      </c>
    </row>
    <row r="293" spans="1:29" x14ac:dyDescent="0.25">
      <c r="A293" t="s">
        <v>6050</v>
      </c>
      <c r="B293">
        <v>1</v>
      </c>
      <c r="C293" t="s">
        <v>6490</v>
      </c>
      <c r="D293" t="s">
        <v>6490</v>
      </c>
      <c r="E293" t="s">
        <v>6490</v>
      </c>
      <c r="F293" t="s">
        <v>6490</v>
      </c>
      <c r="G293" t="s">
        <v>6490</v>
      </c>
      <c r="H293">
        <v>1</v>
      </c>
      <c r="I293">
        <v>1</v>
      </c>
      <c r="J293" t="s">
        <v>6490</v>
      </c>
      <c r="K293" t="s">
        <v>6490</v>
      </c>
      <c r="L293" t="s">
        <v>6490</v>
      </c>
      <c r="M293" t="s">
        <v>6490</v>
      </c>
      <c r="N293" t="s">
        <v>6490</v>
      </c>
      <c r="O293">
        <v>1</v>
      </c>
      <c r="P293">
        <v>1</v>
      </c>
      <c r="Q293" t="s">
        <v>6490</v>
      </c>
      <c r="R293" t="s">
        <v>6490</v>
      </c>
      <c r="S293" t="s">
        <v>6490</v>
      </c>
      <c r="T293" t="s">
        <v>6490</v>
      </c>
      <c r="U293" t="s">
        <v>6490</v>
      </c>
      <c r="V293">
        <v>1</v>
      </c>
      <c r="W293" t="s">
        <v>6490</v>
      </c>
      <c r="X293" t="s">
        <v>6490</v>
      </c>
      <c r="Y293" t="s">
        <v>6490</v>
      </c>
      <c r="Z293" t="s">
        <v>6490</v>
      </c>
      <c r="AA293" t="s">
        <v>6490</v>
      </c>
      <c r="AB293" t="s">
        <v>6490</v>
      </c>
      <c r="AC293" t="s">
        <v>6490</v>
      </c>
    </row>
    <row r="294" spans="1:29" x14ac:dyDescent="0.25">
      <c r="A294" t="s">
        <v>6055</v>
      </c>
      <c r="B294">
        <v>3</v>
      </c>
      <c r="C294" t="s">
        <v>6490</v>
      </c>
      <c r="D294" t="s">
        <v>6490</v>
      </c>
      <c r="E294" t="s">
        <v>6490</v>
      </c>
      <c r="F294" t="s">
        <v>6490</v>
      </c>
      <c r="G294">
        <v>1</v>
      </c>
      <c r="H294">
        <v>2</v>
      </c>
      <c r="I294">
        <v>1</v>
      </c>
      <c r="J294" t="s">
        <v>6490</v>
      </c>
      <c r="K294" t="s">
        <v>6490</v>
      </c>
      <c r="L294" t="s">
        <v>6490</v>
      </c>
      <c r="M294" t="s">
        <v>6490</v>
      </c>
      <c r="N294" t="s">
        <v>6490</v>
      </c>
      <c r="O294">
        <v>1</v>
      </c>
      <c r="P294">
        <v>1</v>
      </c>
      <c r="Q294" t="s">
        <v>6490</v>
      </c>
      <c r="R294" t="s">
        <v>6490</v>
      </c>
      <c r="S294" t="s">
        <v>6490</v>
      </c>
      <c r="T294" t="s">
        <v>6490</v>
      </c>
      <c r="U294" t="s">
        <v>6490</v>
      </c>
      <c r="V294">
        <v>1</v>
      </c>
      <c r="W294" t="s">
        <v>6490</v>
      </c>
      <c r="X294" t="s">
        <v>6490</v>
      </c>
      <c r="Y294" t="s">
        <v>6490</v>
      </c>
      <c r="Z294" t="s">
        <v>6490</v>
      </c>
      <c r="AA294" t="s">
        <v>6490</v>
      </c>
      <c r="AB294" t="s">
        <v>6490</v>
      </c>
      <c r="AC294" t="s">
        <v>6490</v>
      </c>
    </row>
    <row r="295" spans="1:29" x14ac:dyDescent="0.25">
      <c r="A295" t="s">
        <v>65</v>
      </c>
      <c r="B295">
        <v>100</v>
      </c>
      <c r="C295" t="s">
        <v>6490</v>
      </c>
      <c r="D295" t="s">
        <v>6490</v>
      </c>
      <c r="E295" t="s">
        <v>6490</v>
      </c>
      <c r="F295" t="s">
        <v>6490</v>
      </c>
      <c r="G295" t="s">
        <v>6490</v>
      </c>
      <c r="H295" t="s">
        <v>6490</v>
      </c>
      <c r="I295" t="s">
        <v>6490</v>
      </c>
      <c r="J295" t="s">
        <v>6490</v>
      </c>
      <c r="K295" t="s">
        <v>6490</v>
      </c>
      <c r="L295" t="s">
        <v>6490</v>
      </c>
      <c r="M295" t="s">
        <v>6490</v>
      </c>
      <c r="N295" t="s">
        <v>6490</v>
      </c>
      <c r="O295" t="s">
        <v>6490</v>
      </c>
      <c r="P295" t="s">
        <v>6490</v>
      </c>
      <c r="Q295" t="s">
        <v>6490</v>
      </c>
      <c r="R295" t="s">
        <v>6490</v>
      </c>
      <c r="S295" t="s">
        <v>6490</v>
      </c>
      <c r="T295" t="s">
        <v>6490</v>
      </c>
      <c r="U295" t="s">
        <v>6490</v>
      </c>
      <c r="V295" t="s">
        <v>6490</v>
      </c>
      <c r="W295" t="s">
        <v>6490</v>
      </c>
      <c r="X295" t="s">
        <v>6490</v>
      </c>
      <c r="Y295" t="s">
        <v>6490</v>
      </c>
      <c r="Z295" t="s">
        <v>6490</v>
      </c>
      <c r="AA295" t="s">
        <v>6490</v>
      </c>
      <c r="AB295" t="s">
        <v>6490</v>
      </c>
      <c r="AC295" t="s">
        <v>6490</v>
      </c>
    </row>
    <row r="296" spans="1:29" x14ac:dyDescent="0.25">
      <c r="A296" t="s">
        <v>6075</v>
      </c>
      <c r="B296">
        <v>2</v>
      </c>
      <c r="C296" t="s">
        <v>6490</v>
      </c>
      <c r="D296" t="s">
        <v>6490</v>
      </c>
      <c r="E296">
        <v>1</v>
      </c>
      <c r="F296" t="s">
        <v>6490</v>
      </c>
      <c r="G296" t="s">
        <v>6490</v>
      </c>
      <c r="H296">
        <v>1</v>
      </c>
      <c r="I296">
        <v>1</v>
      </c>
      <c r="J296" t="s">
        <v>6490</v>
      </c>
      <c r="K296" t="s">
        <v>6490</v>
      </c>
      <c r="L296" t="s">
        <v>6490</v>
      </c>
      <c r="M296" t="s">
        <v>6490</v>
      </c>
      <c r="N296" t="s">
        <v>6490</v>
      </c>
      <c r="O296">
        <v>1</v>
      </c>
      <c r="P296">
        <v>1</v>
      </c>
      <c r="Q296" t="s">
        <v>6490</v>
      </c>
      <c r="R296" t="s">
        <v>6490</v>
      </c>
      <c r="S296" t="s">
        <v>6490</v>
      </c>
      <c r="T296" t="s">
        <v>6490</v>
      </c>
      <c r="U296" t="s">
        <v>6490</v>
      </c>
      <c r="V296">
        <v>1</v>
      </c>
      <c r="W296" t="s">
        <v>6490</v>
      </c>
      <c r="X296" t="s">
        <v>6490</v>
      </c>
      <c r="Y296" t="s">
        <v>6490</v>
      </c>
      <c r="Z296" t="s">
        <v>6490</v>
      </c>
      <c r="AA296" t="s">
        <v>6490</v>
      </c>
      <c r="AB296" t="s">
        <v>6490</v>
      </c>
      <c r="AC296" t="s">
        <v>6490</v>
      </c>
    </row>
    <row r="297" spans="1:29" x14ac:dyDescent="0.25">
      <c r="A297" t="s">
        <v>6080</v>
      </c>
      <c r="B297">
        <v>2</v>
      </c>
      <c r="C297" t="s">
        <v>6490</v>
      </c>
      <c r="D297">
        <v>1</v>
      </c>
      <c r="E297" t="s">
        <v>6490</v>
      </c>
      <c r="F297">
        <v>1</v>
      </c>
      <c r="G297" t="s">
        <v>6490</v>
      </c>
      <c r="H297" t="s">
        <v>6490</v>
      </c>
      <c r="I297" t="s">
        <v>6490</v>
      </c>
      <c r="J297" t="s">
        <v>6490</v>
      </c>
      <c r="K297" t="s">
        <v>6490</v>
      </c>
      <c r="L297" t="s">
        <v>6490</v>
      </c>
      <c r="M297" t="s">
        <v>6490</v>
      </c>
      <c r="N297" t="s">
        <v>6490</v>
      </c>
      <c r="O297" t="s">
        <v>6490</v>
      </c>
      <c r="P297" t="s">
        <v>6490</v>
      </c>
      <c r="Q297" t="s">
        <v>6490</v>
      </c>
      <c r="R297" t="s">
        <v>6490</v>
      </c>
      <c r="S297" t="s">
        <v>6490</v>
      </c>
      <c r="T297" t="s">
        <v>6490</v>
      </c>
      <c r="U297" t="s">
        <v>6490</v>
      </c>
      <c r="V297" t="s">
        <v>6490</v>
      </c>
      <c r="W297" t="s">
        <v>6490</v>
      </c>
      <c r="X297" t="s">
        <v>6490</v>
      </c>
      <c r="Y297" t="s">
        <v>6490</v>
      </c>
      <c r="Z297" t="s">
        <v>6490</v>
      </c>
      <c r="AA297" t="s">
        <v>6490</v>
      </c>
      <c r="AB297" t="s">
        <v>6490</v>
      </c>
      <c r="AC297" t="s">
        <v>6490</v>
      </c>
    </row>
    <row r="298" spans="1:29" x14ac:dyDescent="0.25">
      <c r="A298" t="s">
        <v>6497</v>
      </c>
      <c r="B298">
        <v>59</v>
      </c>
      <c r="C298">
        <v>11</v>
      </c>
      <c r="D298">
        <v>13</v>
      </c>
      <c r="E298">
        <v>15</v>
      </c>
      <c r="F298">
        <v>11</v>
      </c>
      <c r="G298">
        <v>7</v>
      </c>
      <c r="H298">
        <v>2</v>
      </c>
      <c r="I298">
        <v>15</v>
      </c>
      <c r="J298" t="s">
        <v>6490</v>
      </c>
      <c r="K298">
        <v>3</v>
      </c>
      <c r="L298">
        <v>4</v>
      </c>
      <c r="M298">
        <v>4</v>
      </c>
      <c r="N298">
        <v>3</v>
      </c>
      <c r="O298">
        <v>1</v>
      </c>
      <c r="P298">
        <v>12</v>
      </c>
      <c r="Q298" t="s">
        <v>6490</v>
      </c>
      <c r="R298" t="s">
        <v>6490</v>
      </c>
      <c r="S298">
        <v>3</v>
      </c>
      <c r="T298">
        <v>3</v>
      </c>
      <c r="U298">
        <v>4</v>
      </c>
      <c r="V298">
        <v>2</v>
      </c>
      <c r="W298">
        <v>2</v>
      </c>
      <c r="X298" t="s">
        <v>6490</v>
      </c>
      <c r="Y298" t="s">
        <v>6490</v>
      </c>
      <c r="Z298" t="s">
        <v>6490</v>
      </c>
      <c r="AA298" t="s">
        <v>6490</v>
      </c>
      <c r="AB298">
        <v>2</v>
      </c>
      <c r="AC298" t="s">
        <v>6490</v>
      </c>
    </row>
    <row r="299" spans="1:29" x14ac:dyDescent="0.25">
      <c r="A299" t="s">
        <v>6134</v>
      </c>
      <c r="B299">
        <v>2</v>
      </c>
      <c r="C299" t="s">
        <v>6490</v>
      </c>
      <c r="D299" t="s">
        <v>6490</v>
      </c>
      <c r="E299" t="s">
        <v>6490</v>
      </c>
      <c r="F299">
        <v>1</v>
      </c>
      <c r="G299" t="s">
        <v>6490</v>
      </c>
      <c r="H299">
        <v>1</v>
      </c>
      <c r="I299" t="s">
        <v>6490</v>
      </c>
      <c r="J299" t="s">
        <v>6490</v>
      </c>
      <c r="K299" t="s">
        <v>6490</v>
      </c>
      <c r="L299" t="s">
        <v>6490</v>
      </c>
      <c r="M299" t="s">
        <v>6490</v>
      </c>
      <c r="N299" t="s">
        <v>6490</v>
      </c>
      <c r="O299" t="s">
        <v>6490</v>
      </c>
      <c r="P299" t="s">
        <v>6490</v>
      </c>
      <c r="Q299" t="s">
        <v>6490</v>
      </c>
      <c r="R299" t="s">
        <v>6490</v>
      </c>
      <c r="S299" t="s">
        <v>6490</v>
      </c>
      <c r="T299" t="s">
        <v>6490</v>
      </c>
      <c r="U299" t="s">
        <v>6490</v>
      </c>
      <c r="V299" t="s">
        <v>6490</v>
      </c>
      <c r="W299" t="s">
        <v>6490</v>
      </c>
      <c r="X299" t="s">
        <v>6490</v>
      </c>
      <c r="Y299" t="s">
        <v>6490</v>
      </c>
      <c r="Z299" t="s">
        <v>6490</v>
      </c>
      <c r="AA299" t="s">
        <v>6490</v>
      </c>
      <c r="AB299" t="s">
        <v>6490</v>
      </c>
      <c r="AC299" t="s">
        <v>6490</v>
      </c>
    </row>
    <row r="300" spans="1:29" x14ac:dyDescent="0.25">
      <c r="A300" t="s">
        <v>6137</v>
      </c>
      <c r="B300" t="s">
        <v>6490</v>
      </c>
      <c r="C300" t="s">
        <v>6490</v>
      </c>
      <c r="D300" t="s">
        <v>6490</v>
      </c>
      <c r="E300" t="s">
        <v>6490</v>
      </c>
      <c r="F300" t="s">
        <v>6490</v>
      </c>
      <c r="G300" t="s">
        <v>6490</v>
      </c>
      <c r="H300" t="s">
        <v>6490</v>
      </c>
      <c r="I300" t="s">
        <v>6490</v>
      </c>
      <c r="J300" t="s">
        <v>6490</v>
      </c>
      <c r="K300" t="s">
        <v>6490</v>
      </c>
      <c r="L300" t="s">
        <v>6490</v>
      </c>
      <c r="M300" t="s">
        <v>6490</v>
      </c>
      <c r="N300" t="s">
        <v>6490</v>
      </c>
      <c r="O300" t="s">
        <v>6490</v>
      </c>
      <c r="P300" t="s">
        <v>6490</v>
      </c>
      <c r="Q300" t="s">
        <v>6490</v>
      </c>
      <c r="R300" t="s">
        <v>6490</v>
      </c>
      <c r="S300" t="s">
        <v>6490</v>
      </c>
      <c r="T300" t="s">
        <v>6490</v>
      </c>
      <c r="U300" t="s">
        <v>6490</v>
      </c>
      <c r="V300" t="s">
        <v>6490</v>
      </c>
      <c r="W300" t="s">
        <v>6490</v>
      </c>
      <c r="X300" t="s">
        <v>6490</v>
      </c>
      <c r="Y300" t="s">
        <v>6490</v>
      </c>
      <c r="Z300" t="s">
        <v>6490</v>
      </c>
      <c r="AA300" t="s">
        <v>6490</v>
      </c>
      <c r="AB300" t="s">
        <v>6490</v>
      </c>
      <c r="AC300" t="s">
        <v>6490</v>
      </c>
    </row>
    <row r="301" spans="1:29" x14ac:dyDescent="0.25">
      <c r="A301" t="s">
        <v>6148</v>
      </c>
      <c r="B301">
        <v>13</v>
      </c>
      <c r="C301">
        <v>2</v>
      </c>
      <c r="D301">
        <v>2</v>
      </c>
      <c r="E301">
        <v>2</v>
      </c>
      <c r="F301">
        <v>2</v>
      </c>
      <c r="G301">
        <v>4</v>
      </c>
      <c r="H301">
        <v>1</v>
      </c>
      <c r="I301">
        <v>2</v>
      </c>
      <c r="J301" t="s">
        <v>6490</v>
      </c>
      <c r="K301" t="s">
        <v>6490</v>
      </c>
      <c r="L301" t="s">
        <v>6490</v>
      </c>
      <c r="M301">
        <v>1</v>
      </c>
      <c r="N301">
        <v>1</v>
      </c>
      <c r="O301" t="s">
        <v>6490</v>
      </c>
      <c r="P301">
        <v>2</v>
      </c>
      <c r="Q301" t="s">
        <v>6490</v>
      </c>
      <c r="R301" t="s">
        <v>6490</v>
      </c>
      <c r="S301" t="s">
        <v>6490</v>
      </c>
      <c r="T301">
        <v>1</v>
      </c>
      <c r="U301">
        <v>1</v>
      </c>
      <c r="V301" t="s">
        <v>6490</v>
      </c>
      <c r="W301" t="s">
        <v>6490</v>
      </c>
      <c r="X301" t="s">
        <v>6490</v>
      </c>
      <c r="Y301" t="s">
        <v>6490</v>
      </c>
      <c r="Z301" t="s">
        <v>6490</v>
      </c>
      <c r="AA301" t="s">
        <v>6490</v>
      </c>
      <c r="AB301" t="s">
        <v>6490</v>
      </c>
      <c r="AC301" t="s">
        <v>6490</v>
      </c>
    </row>
    <row r="302" spans="1:29" x14ac:dyDescent="0.25">
      <c r="A302" t="s">
        <v>6159</v>
      </c>
      <c r="B302" t="s">
        <v>6490</v>
      </c>
      <c r="C302" t="s">
        <v>6490</v>
      </c>
      <c r="D302" t="s">
        <v>6490</v>
      </c>
      <c r="E302" t="s">
        <v>6490</v>
      </c>
      <c r="F302" t="s">
        <v>6490</v>
      </c>
      <c r="G302" t="s">
        <v>6490</v>
      </c>
      <c r="H302" t="s">
        <v>6490</v>
      </c>
      <c r="I302" t="s">
        <v>6490</v>
      </c>
      <c r="J302" t="s">
        <v>6490</v>
      </c>
      <c r="K302" t="s">
        <v>6490</v>
      </c>
      <c r="L302" t="s">
        <v>6490</v>
      </c>
      <c r="M302" t="s">
        <v>6490</v>
      </c>
      <c r="N302" t="s">
        <v>6490</v>
      </c>
      <c r="O302" t="s">
        <v>6490</v>
      </c>
      <c r="P302" t="s">
        <v>6490</v>
      </c>
      <c r="Q302" t="s">
        <v>6490</v>
      </c>
      <c r="R302" t="s">
        <v>6490</v>
      </c>
      <c r="S302" t="s">
        <v>6490</v>
      </c>
      <c r="T302" t="s">
        <v>6490</v>
      </c>
      <c r="U302" t="s">
        <v>6490</v>
      </c>
      <c r="V302" t="s">
        <v>6490</v>
      </c>
      <c r="W302" t="s">
        <v>6490</v>
      </c>
      <c r="X302" t="s">
        <v>6490</v>
      </c>
      <c r="Y302" t="s">
        <v>6490</v>
      </c>
      <c r="Z302" t="s">
        <v>6490</v>
      </c>
      <c r="AA302" t="s">
        <v>6490</v>
      </c>
      <c r="AB302" t="s">
        <v>6490</v>
      </c>
      <c r="AC302" t="s">
        <v>6490</v>
      </c>
    </row>
    <row r="303" spans="1:29" x14ac:dyDescent="0.25">
      <c r="A303" t="s">
        <v>6174</v>
      </c>
      <c r="B303">
        <v>10</v>
      </c>
      <c r="C303">
        <v>2</v>
      </c>
      <c r="D303" t="s">
        <v>6490</v>
      </c>
      <c r="E303">
        <v>2</v>
      </c>
      <c r="F303" t="s">
        <v>6490</v>
      </c>
      <c r="G303">
        <v>2</v>
      </c>
      <c r="H303">
        <v>4</v>
      </c>
      <c r="I303" t="s">
        <v>6490</v>
      </c>
      <c r="J303" t="s">
        <v>6490</v>
      </c>
      <c r="K303" t="s">
        <v>6490</v>
      </c>
      <c r="L303" t="s">
        <v>6490</v>
      </c>
      <c r="M303" t="s">
        <v>6490</v>
      </c>
      <c r="N303" t="s">
        <v>6490</v>
      </c>
      <c r="O303" t="s">
        <v>6490</v>
      </c>
      <c r="P303">
        <v>4</v>
      </c>
      <c r="Q303" t="s">
        <v>6490</v>
      </c>
      <c r="R303" t="s">
        <v>6490</v>
      </c>
      <c r="S303" t="s">
        <v>6490</v>
      </c>
      <c r="T303" t="s">
        <v>6490</v>
      </c>
      <c r="U303" t="s">
        <v>6490</v>
      </c>
      <c r="V303">
        <v>4</v>
      </c>
      <c r="W303">
        <v>1</v>
      </c>
      <c r="X303" t="s">
        <v>6490</v>
      </c>
      <c r="Y303" t="s">
        <v>6490</v>
      </c>
      <c r="Z303">
        <v>1</v>
      </c>
      <c r="AA303" t="s">
        <v>6490</v>
      </c>
      <c r="AB303" t="s">
        <v>6490</v>
      </c>
      <c r="AC303" t="s">
        <v>6490</v>
      </c>
    </row>
    <row r="304" spans="1:29" x14ac:dyDescent="0.25">
      <c r="A304" t="s">
        <v>6183</v>
      </c>
      <c r="B304">
        <v>7</v>
      </c>
      <c r="C304" t="s">
        <v>6490</v>
      </c>
      <c r="D304" t="s">
        <v>6490</v>
      </c>
      <c r="E304">
        <v>2</v>
      </c>
      <c r="F304">
        <v>2</v>
      </c>
      <c r="G304">
        <v>1</v>
      </c>
      <c r="H304">
        <v>2</v>
      </c>
      <c r="I304" t="s">
        <v>6490</v>
      </c>
      <c r="J304" t="s">
        <v>6490</v>
      </c>
      <c r="K304" t="s">
        <v>6490</v>
      </c>
      <c r="L304" t="s">
        <v>6490</v>
      </c>
      <c r="M304" t="s">
        <v>6490</v>
      </c>
      <c r="N304" t="s">
        <v>6490</v>
      </c>
      <c r="O304" t="s">
        <v>6490</v>
      </c>
      <c r="P304" t="s">
        <v>6490</v>
      </c>
      <c r="Q304" t="s">
        <v>6490</v>
      </c>
      <c r="R304" t="s">
        <v>6490</v>
      </c>
      <c r="S304" t="s">
        <v>6490</v>
      </c>
      <c r="T304" t="s">
        <v>6490</v>
      </c>
      <c r="U304" t="s">
        <v>6490</v>
      </c>
      <c r="V304" t="s">
        <v>6490</v>
      </c>
      <c r="W304" t="s">
        <v>6490</v>
      </c>
      <c r="X304" t="s">
        <v>6490</v>
      </c>
      <c r="Y304" t="s">
        <v>6490</v>
      </c>
      <c r="Z304" t="s">
        <v>6490</v>
      </c>
      <c r="AA304" t="s">
        <v>6490</v>
      </c>
      <c r="AB304" t="s">
        <v>6490</v>
      </c>
      <c r="AC304" t="s">
        <v>6490</v>
      </c>
    </row>
    <row r="305" spans="1:29" x14ac:dyDescent="0.25">
      <c r="A305" t="s">
        <v>6190</v>
      </c>
      <c r="B305">
        <v>7</v>
      </c>
      <c r="C305" t="s">
        <v>6490</v>
      </c>
      <c r="D305">
        <v>3</v>
      </c>
      <c r="E305">
        <v>3</v>
      </c>
      <c r="F305">
        <v>1</v>
      </c>
      <c r="G305" t="s">
        <v>6490</v>
      </c>
      <c r="H305" t="s">
        <v>6490</v>
      </c>
      <c r="I305" t="s">
        <v>6490</v>
      </c>
      <c r="J305" t="s">
        <v>6490</v>
      </c>
      <c r="K305" t="s">
        <v>6490</v>
      </c>
      <c r="L305" t="s">
        <v>6490</v>
      </c>
      <c r="M305" t="s">
        <v>6490</v>
      </c>
      <c r="N305" t="s">
        <v>6490</v>
      </c>
      <c r="O305" t="s">
        <v>6490</v>
      </c>
      <c r="P305" t="s">
        <v>6490</v>
      </c>
      <c r="Q305" t="s">
        <v>6490</v>
      </c>
      <c r="R305" t="s">
        <v>6490</v>
      </c>
      <c r="S305" t="s">
        <v>6490</v>
      </c>
      <c r="T305" t="s">
        <v>6490</v>
      </c>
      <c r="U305" t="s">
        <v>6490</v>
      </c>
      <c r="V305" t="s">
        <v>6490</v>
      </c>
      <c r="W305" t="s">
        <v>6490</v>
      </c>
      <c r="X305" t="s">
        <v>6490</v>
      </c>
      <c r="Y305" t="s">
        <v>6490</v>
      </c>
      <c r="Z305" t="s">
        <v>6490</v>
      </c>
      <c r="AA305" t="s">
        <v>6490</v>
      </c>
      <c r="AB305" t="s">
        <v>6490</v>
      </c>
      <c r="AC305" t="s">
        <v>6490</v>
      </c>
    </row>
    <row r="306" spans="1:29" x14ac:dyDescent="0.25">
      <c r="A306" t="s">
        <v>6199</v>
      </c>
      <c r="B306">
        <v>3</v>
      </c>
      <c r="C306" t="s">
        <v>6490</v>
      </c>
      <c r="D306" t="s">
        <v>6490</v>
      </c>
      <c r="E306">
        <v>1</v>
      </c>
      <c r="F306">
        <v>1</v>
      </c>
      <c r="G306">
        <v>1</v>
      </c>
      <c r="H306" t="s">
        <v>6490</v>
      </c>
      <c r="I306" t="s">
        <v>6490</v>
      </c>
      <c r="J306" t="s">
        <v>6490</v>
      </c>
      <c r="K306" t="s">
        <v>6490</v>
      </c>
      <c r="L306" t="s">
        <v>6490</v>
      </c>
      <c r="M306" t="s">
        <v>6490</v>
      </c>
      <c r="N306" t="s">
        <v>6490</v>
      </c>
      <c r="O306" t="s">
        <v>6490</v>
      </c>
      <c r="P306" t="s">
        <v>6490</v>
      </c>
      <c r="Q306" t="s">
        <v>6490</v>
      </c>
      <c r="R306" t="s">
        <v>6490</v>
      </c>
      <c r="S306" t="s">
        <v>6490</v>
      </c>
      <c r="T306" t="s">
        <v>6490</v>
      </c>
      <c r="U306" t="s">
        <v>6490</v>
      </c>
      <c r="V306" t="s">
        <v>6490</v>
      </c>
      <c r="W306" t="s">
        <v>6490</v>
      </c>
      <c r="X306" t="s">
        <v>6490</v>
      </c>
      <c r="Y306" t="s">
        <v>6490</v>
      </c>
      <c r="Z306" t="s">
        <v>6490</v>
      </c>
      <c r="AA306" t="s">
        <v>6490</v>
      </c>
      <c r="AB306" t="s">
        <v>6490</v>
      </c>
      <c r="AC306" t="s">
        <v>6490</v>
      </c>
    </row>
    <row r="307" spans="1:29" x14ac:dyDescent="0.25">
      <c r="A307" t="s">
        <v>6206</v>
      </c>
      <c r="B307" t="s">
        <v>6490</v>
      </c>
      <c r="C307" t="s">
        <v>6490</v>
      </c>
      <c r="D307" t="s">
        <v>6490</v>
      </c>
      <c r="E307" t="s">
        <v>6490</v>
      </c>
      <c r="F307" t="s">
        <v>6490</v>
      </c>
      <c r="G307" t="s">
        <v>6490</v>
      </c>
      <c r="H307" t="s">
        <v>6490</v>
      </c>
      <c r="I307" t="s">
        <v>6490</v>
      </c>
      <c r="J307" t="s">
        <v>6490</v>
      </c>
      <c r="K307" t="s">
        <v>6490</v>
      </c>
      <c r="L307" t="s">
        <v>6490</v>
      </c>
      <c r="M307" t="s">
        <v>6490</v>
      </c>
      <c r="N307" t="s">
        <v>6490</v>
      </c>
      <c r="O307" t="s">
        <v>6490</v>
      </c>
      <c r="P307" t="s">
        <v>6490</v>
      </c>
      <c r="Q307" t="s">
        <v>6490</v>
      </c>
      <c r="R307" t="s">
        <v>6490</v>
      </c>
      <c r="S307" t="s">
        <v>6490</v>
      </c>
      <c r="T307" t="s">
        <v>6490</v>
      </c>
      <c r="U307" t="s">
        <v>6490</v>
      </c>
      <c r="V307" t="s">
        <v>6490</v>
      </c>
      <c r="W307" t="s">
        <v>6490</v>
      </c>
      <c r="X307" t="s">
        <v>6490</v>
      </c>
      <c r="Y307" t="s">
        <v>6490</v>
      </c>
      <c r="Z307" t="s">
        <v>6490</v>
      </c>
      <c r="AA307" t="s">
        <v>6490</v>
      </c>
      <c r="AB307" t="s">
        <v>6490</v>
      </c>
      <c r="AC307" t="s">
        <v>6490</v>
      </c>
    </row>
    <row r="308" spans="1:29" x14ac:dyDescent="0.25">
      <c r="A308" t="s">
        <v>6211</v>
      </c>
      <c r="B308">
        <v>79</v>
      </c>
      <c r="C308">
        <v>1</v>
      </c>
      <c r="D308">
        <v>6</v>
      </c>
      <c r="E308">
        <v>21</v>
      </c>
      <c r="F308">
        <v>27</v>
      </c>
      <c r="G308">
        <v>17</v>
      </c>
      <c r="H308">
        <v>7</v>
      </c>
      <c r="I308">
        <v>11</v>
      </c>
      <c r="J308" t="s">
        <v>6490</v>
      </c>
      <c r="K308">
        <v>1</v>
      </c>
      <c r="L308">
        <v>2</v>
      </c>
      <c r="M308">
        <v>4</v>
      </c>
      <c r="N308">
        <v>2</v>
      </c>
      <c r="O308">
        <v>2</v>
      </c>
      <c r="P308">
        <v>45</v>
      </c>
      <c r="Q308" t="s">
        <v>6490</v>
      </c>
      <c r="R308" t="s">
        <v>6490</v>
      </c>
      <c r="S308">
        <v>12</v>
      </c>
      <c r="T308">
        <v>16</v>
      </c>
      <c r="U308">
        <v>12</v>
      </c>
      <c r="V308">
        <v>5</v>
      </c>
      <c r="W308">
        <v>14</v>
      </c>
      <c r="X308" t="s">
        <v>6490</v>
      </c>
      <c r="Y308">
        <v>1</v>
      </c>
      <c r="Z308">
        <v>5</v>
      </c>
      <c r="AA308">
        <v>3</v>
      </c>
      <c r="AB308">
        <v>5</v>
      </c>
      <c r="AC308" t="s">
        <v>6490</v>
      </c>
    </row>
    <row r="309" spans="1:29" x14ac:dyDescent="0.25">
      <c r="A309" t="s">
        <v>6250</v>
      </c>
      <c r="B309">
        <v>10</v>
      </c>
      <c r="C309">
        <v>1</v>
      </c>
      <c r="D309" t="s">
        <v>6490</v>
      </c>
      <c r="E309">
        <v>3</v>
      </c>
      <c r="F309">
        <v>1</v>
      </c>
      <c r="G309">
        <v>1</v>
      </c>
      <c r="H309">
        <v>4</v>
      </c>
      <c r="I309">
        <v>4</v>
      </c>
      <c r="J309" t="s">
        <v>6490</v>
      </c>
      <c r="K309" t="s">
        <v>6490</v>
      </c>
      <c r="L309">
        <v>1</v>
      </c>
      <c r="M309">
        <v>1</v>
      </c>
      <c r="N309">
        <v>1</v>
      </c>
      <c r="O309">
        <v>1</v>
      </c>
      <c r="P309">
        <v>3</v>
      </c>
      <c r="Q309" t="s">
        <v>6490</v>
      </c>
      <c r="R309" t="s">
        <v>6490</v>
      </c>
      <c r="S309" t="s">
        <v>6490</v>
      </c>
      <c r="T309" t="s">
        <v>6490</v>
      </c>
      <c r="U309" t="s">
        <v>6490</v>
      </c>
      <c r="V309">
        <v>3</v>
      </c>
      <c r="W309" t="s">
        <v>6490</v>
      </c>
      <c r="X309" t="s">
        <v>6490</v>
      </c>
      <c r="Y309" t="s">
        <v>6490</v>
      </c>
      <c r="Z309" t="s">
        <v>6490</v>
      </c>
      <c r="AA309" t="s">
        <v>6490</v>
      </c>
      <c r="AB309" t="s">
        <v>6490</v>
      </c>
      <c r="AC309" t="s">
        <v>6490</v>
      </c>
    </row>
    <row r="310" spans="1:29" x14ac:dyDescent="0.25">
      <c r="A310" t="s">
        <v>6259</v>
      </c>
      <c r="B310">
        <v>68</v>
      </c>
      <c r="C310">
        <v>4</v>
      </c>
      <c r="D310">
        <v>12</v>
      </c>
      <c r="E310">
        <v>30</v>
      </c>
      <c r="F310">
        <v>19</v>
      </c>
      <c r="G310">
        <v>2</v>
      </c>
      <c r="H310">
        <v>1</v>
      </c>
      <c r="I310">
        <v>14</v>
      </c>
      <c r="J310" t="s">
        <v>6490</v>
      </c>
      <c r="K310" t="s">
        <v>6490</v>
      </c>
      <c r="L310">
        <v>5</v>
      </c>
      <c r="M310">
        <v>6</v>
      </c>
      <c r="N310">
        <v>2</v>
      </c>
      <c r="O310">
        <v>1</v>
      </c>
      <c r="P310" t="s">
        <v>6490</v>
      </c>
      <c r="Q310" t="s">
        <v>6490</v>
      </c>
      <c r="R310" t="s">
        <v>6490</v>
      </c>
      <c r="S310" t="s">
        <v>6490</v>
      </c>
      <c r="T310" t="s">
        <v>6490</v>
      </c>
      <c r="U310" t="s">
        <v>6490</v>
      </c>
      <c r="V310" t="s">
        <v>6490</v>
      </c>
      <c r="W310">
        <v>13</v>
      </c>
      <c r="X310" t="s">
        <v>6490</v>
      </c>
      <c r="Y310" t="s">
        <v>6490</v>
      </c>
      <c r="Z310">
        <v>4</v>
      </c>
      <c r="AA310">
        <v>6</v>
      </c>
      <c r="AB310">
        <v>2</v>
      </c>
      <c r="AC310">
        <v>1</v>
      </c>
    </row>
    <row r="311" spans="1:29" x14ac:dyDescent="0.25">
      <c r="A311" t="s">
        <v>6415</v>
      </c>
      <c r="B311">
        <v>15</v>
      </c>
      <c r="C311">
        <v>4</v>
      </c>
      <c r="D311">
        <v>1</v>
      </c>
      <c r="E311">
        <v>1</v>
      </c>
      <c r="F311">
        <v>4</v>
      </c>
      <c r="G311">
        <v>2</v>
      </c>
      <c r="H311">
        <v>3</v>
      </c>
      <c r="I311">
        <v>5</v>
      </c>
      <c r="J311" t="s">
        <v>6490</v>
      </c>
      <c r="K311" t="s">
        <v>6490</v>
      </c>
      <c r="L311" t="s">
        <v>6490</v>
      </c>
      <c r="M311">
        <v>1</v>
      </c>
      <c r="N311">
        <v>1</v>
      </c>
      <c r="O311">
        <v>3</v>
      </c>
      <c r="P311">
        <v>8</v>
      </c>
      <c r="Q311">
        <v>1</v>
      </c>
      <c r="R311" t="s">
        <v>6490</v>
      </c>
      <c r="S311" t="s">
        <v>6490</v>
      </c>
      <c r="T311">
        <v>3</v>
      </c>
      <c r="U311">
        <v>1</v>
      </c>
      <c r="V311">
        <v>3</v>
      </c>
      <c r="W311" t="s">
        <v>6490</v>
      </c>
      <c r="X311" t="s">
        <v>6490</v>
      </c>
      <c r="Y311" t="s">
        <v>6490</v>
      </c>
      <c r="Z311" t="s">
        <v>6490</v>
      </c>
      <c r="AA311" t="s">
        <v>6490</v>
      </c>
      <c r="AB311" t="s">
        <v>6490</v>
      </c>
      <c r="AC311" t="s">
        <v>6490</v>
      </c>
    </row>
    <row r="312" spans="1:29" x14ac:dyDescent="0.25">
      <c r="A312" t="s">
        <v>6433</v>
      </c>
      <c r="B312">
        <v>20</v>
      </c>
      <c r="C312">
        <v>2</v>
      </c>
      <c r="D312">
        <v>2</v>
      </c>
      <c r="E312">
        <v>4</v>
      </c>
      <c r="F312">
        <v>4</v>
      </c>
      <c r="G312">
        <v>4</v>
      </c>
      <c r="H312">
        <v>4</v>
      </c>
      <c r="I312">
        <v>3</v>
      </c>
      <c r="J312" t="s">
        <v>6490</v>
      </c>
      <c r="K312" t="s">
        <v>6490</v>
      </c>
      <c r="L312" t="s">
        <v>6490</v>
      </c>
      <c r="M312" t="s">
        <v>6490</v>
      </c>
      <c r="N312" t="s">
        <v>6490</v>
      </c>
      <c r="O312">
        <v>3</v>
      </c>
      <c r="P312">
        <v>5</v>
      </c>
      <c r="Q312" t="s">
        <v>6490</v>
      </c>
      <c r="R312" t="s">
        <v>6490</v>
      </c>
      <c r="S312">
        <v>1</v>
      </c>
      <c r="T312" t="s">
        <v>6490</v>
      </c>
      <c r="U312">
        <v>1</v>
      </c>
      <c r="V312">
        <v>3</v>
      </c>
      <c r="W312" t="s">
        <v>6490</v>
      </c>
      <c r="X312" t="s">
        <v>6490</v>
      </c>
      <c r="Y312" t="s">
        <v>6490</v>
      </c>
      <c r="Z312" t="s">
        <v>6490</v>
      </c>
      <c r="AA312" t="s">
        <v>6490</v>
      </c>
      <c r="AB312" t="s">
        <v>6490</v>
      </c>
      <c r="AC312" t="s">
        <v>6490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Cockpit</vt:lpstr>
      <vt:lpstr>A</vt:lpstr>
      <vt:lpstr>A1</vt:lpstr>
      <vt:lpstr>B</vt:lpstr>
      <vt:lpstr>C</vt:lpstr>
      <vt:lpstr>D</vt:lpstr>
      <vt:lpstr>E</vt:lpstr>
      <vt:lpstr>F</vt:lpstr>
      <vt:lpstr>G</vt:lpstr>
      <vt:lpstr>F!Impression_des_titres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Krieg Matthieu</dc:creator>
  <cp:lastModifiedBy>Krieg Matthieu</cp:lastModifiedBy>
  <dcterms:created xsi:type="dcterms:W3CDTF">2026-04-07T19:07:40Z</dcterms:created>
  <dcterms:modified xsi:type="dcterms:W3CDTF">2026-05-27T08:50:11Z</dcterms:modified>
</cp:coreProperties>
</file>